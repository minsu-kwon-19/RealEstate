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내덕동" sheetId="6" r:id="rId6"/>
    <sheet name="내수읍" sheetId="7" r:id="rId7"/>
    <sheet name="사천동" sheetId="8" r:id="rId8"/>
    <sheet name="오창읍" sheetId="9" r:id="rId9"/>
    <sheet name="우암동" sheetId="10" r:id="rId10"/>
    <sheet name="율량동" sheetId="11" r:id="rId11"/>
    <sheet name="주성동" sheetId="12" r:id="rId12"/>
    <sheet name="주중동" sheetId="13" r:id="rId13"/>
    <sheet name="양식" sheetId="14" r:id="rId14"/>
  </sheets>
  <definedNames>
    <definedName name="_xlnm._FilterDatabase" localSheetId="1" hidden="1">단지추출_가격표용!$A$3:$U$151</definedName>
    <definedName name="_xlnm.Print_Area" localSheetId="5">내덕동!$A$1:$U$6</definedName>
    <definedName name="_xlnm.Print_Area" localSheetId="6">내수읍!$A$1:$U$6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사천동!$A$1:$U$6</definedName>
    <definedName name="_xlnm.Print_Area" localSheetId="13">양식!$A$1:$U$6</definedName>
    <definedName name="_xlnm.Print_Area" localSheetId="8">오창읍!$A$1:$U$6</definedName>
    <definedName name="_xlnm.Print_Area" localSheetId="9">우암동!$A$1:$U$6</definedName>
    <definedName name="_xlnm.Print_Area" localSheetId="10">율량동!$A$1:$U$6</definedName>
    <definedName name="_xlnm.Print_Area" localSheetId="11">주성동!$A$1:$U$6</definedName>
    <definedName name="_xlnm.Print_Area" localSheetId="12">주중동!$A$1:$U$6</definedName>
    <definedName name="_xlnm.Print_Titles" localSheetId="5">내덕동!$1:$3</definedName>
    <definedName name="_xlnm.Print_Titles" localSheetId="6">내수읍!$1:$3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사천동!$1:$3</definedName>
    <definedName name="_xlnm.Print_Titles" localSheetId="13">양식!$1:$3</definedName>
    <definedName name="_xlnm.Print_Titles" localSheetId="8">오창읍!$1:$3</definedName>
    <definedName name="_xlnm.Print_Titles" localSheetId="9">우암동!$1:$3</definedName>
    <definedName name="_xlnm.Print_Titles" localSheetId="10">율량동!$1:$3</definedName>
    <definedName name="_xlnm.Print_Titles" localSheetId="11">주성동!$1:$3</definedName>
    <definedName name="_xlnm.Print_Titles" localSheetId="12">주중동!$1:$3</definedName>
  </definedNames>
  <calcPr calcId="162913"/>
</workbook>
</file>

<file path=xl/calcChain.xml><?xml version="1.0" encoding="utf-8"?>
<calcChain xmlns="http://schemas.openxmlformats.org/spreadsheetml/2006/main">
  <c r="P20" i="2" l="1"/>
  <c r="O20" i="2"/>
  <c r="N20" i="2"/>
  <c r="M20" i="2"/>
  <c r="P4" i="2"/>
  <c r="O4" i="2"/>
  <c r="N4" i="2"/>
  <c r="M4" i="2"/>
  <c r="P9" i="2"/>
  <c r="O9" i="2"/>
  <c r="N9" i="2"/>
  <c r="M9" i="2"/>
  <c r="P17" i="2"/>
  <c r="O17" i="2"/>
  <c r="N17" i="2"/>
  <c r="M17" i="2"/>
  <c r="P19" i="2"/>
  <c r="O19" i="2"/>
  <c r="N19" i="2"/>
  <c r="M19" i="2"/>
  <c r="P151" i="2"/>
  <c r="O151" i="2"/>
  <c r="N151" i="2"/>
  <c r="M151" i="2"/>
  <c r="P150" i="2"/>
  <c r="O150" i="2"/>
  <c r="N150" i="2"/>
  <c r="M150" i="2"/>
  <c r="P10" i="2"/>
  <c r="O10" i="2"/>
  <c r="N10" i="2"/>
  <c r="M10" i="2"/>
  <c r="P78" i="2"/>
  <c r="O78" i="2"/>
  <c r="N78" i="2"/>
  <c r="M78" i="2"/>
  <c r="P81" i="2"/>
  <c r="O81" i="2"/>
  <c r="N81" i="2"/>
  <c r="M81" i="2"/>
  <c r="P149" i="2"/>
  <c r="O149" i="2"/>
  <c r="N149" i="2"/>
  <c r="M149" i="2"/>
  <c r="P148" i="2"/>
  <c r="O148" i="2"/>
  <c r="N148" i="2"/>
  <c r="M148" i="2"/>
  <c r="P38" i="2"/>
  <c r="O38" i="2"/>
  <c r="N38" i="2"/>
  <c r="M38" i="2"/>
  <c r="P60" i="2"/>
  <c r="O60" i="2"/>
  <c r="N60" i="2"/>
  <c r="M60" i="2"/>
  <c r="P67" i="2"/>
  <c r="O67" i="2"/>
  <c r="N67" i="2"/>
  <c r="M67" i="2"/>
  <c r="P147" i="2"/>
  <c r="O147" i="2"/>
  <c r="N147" i="2"/>
  <c r="M147" i="2"/>
  <c r="P63" i="2"/>
  <c r="O63" i="2"/>
  <c r="N63" i="2"/>
  <c r="M63" i="2"/>
  <c r="P66" i="2"/>
  <c r="O66" i="2"/>
  <c r="N66" i="2"/>
  <c r="M66" i="2"/>
  <c r="P146" i="2"/>
  <c r="O146" i="2"/>
  <c r="N146" i="2"/>
  <c r="M146" i="2"/>
  <c r="P145" i="2"/>
  <c r="O145" i="2"/>
  <c r="N145" i="2"/>
  <c r="M145" i="2"/>
  <c r="P76" i="2"/>
  <c r="O76" i="2"/>
  <c r="N76" i="2"/>
  <c r="M76" i="2"/>
  <c r="P83" i="2"/>
  <c r="O83" i="2"/>
  <c r="N83" i="2"/>
  <c r="M83" i="2"/>
  <c r="P144" i="2"/>
  <c r="O144" i="2"/>
  <c r="N144" i="2"/>
  <c r="M144" i="2"/>
  <c r="P23" i="2"/>
  <c r="O23" i="2"/>
  <c r="N23" i="2"/>
  <c r="M23" i="2"/>
  <c r="P143" i="2"/>
  <c r="O143" i="2"/>
  <c r="N143" i="2"/>
  <c r="M143" i="2"/>
  <c r="P44" i="2"/>
  <c r="O44" i="2"/>
  <c r="N44" i="2"/>
  <c r="M44" i="2"/>
  <c r="P58" i="2"/>
  <c r="O58" i="2"/>
  <c r="N58" i="2"/>
  <c r="M58" i="2"/>
  <c r="P70" i="2"/>
  <c r="O70" i="2"/>
  <c r="N70" i="2"/>
  <c r="M70" i="2"/>
  <c r="P74" i="2"/>
  <c r="O74" i="2"/>
  <c r="N74" i="2"/>
  <c r="M74" i="2"/>
  <c r="P142" i="2"/>
  <c r="O142" i="2"/>
  <c r="N142" i="2"/>
  <c r="M142" i="2"/>
  <c r="P86" i="2"/>
  <c r="O86" i="2"/>
  <c r="N86" i="2"/>
  <c r="M86" i="2"/>
  <c r="P59" i="2"/>
  <c r="O59" i="2"/>
  <c r="N59" i="2"/>
  <c r="M59" i="2"/>
  <c r="P73" i="2"/>
  <c r="O73" i="2"/>
  <c r="N73" i="2"/>
  <c r="M73" i="2"/>
  <c r="P64" i="2"/>
  <c r="O64" i="2"/>
  <c r="N64" i="2"/>
  <c r="M64" i="2"/>
  <c r="P68" i="2"/>
  <c r="O68" i="2"/>
  <c r="N68" i="2"/>
  <c r="M68" i="2"/>
  <c r="P141" i="2"/>
  <c r="O141" i="2"/>
  <c r="N141" i="2"/>
  <c r="M141" i="2"/>
  <c r="P140" i="2"/>
  <c r="O140" i="2"/>
  <c r="N140" i="2"/>
  <c r="M140" i="2"/>
  <c r="P139" i="2"/>
  <c r="O139" i="2"/>
  <c r="N139" i="2"/>
  <c r="M139" i="2"/>
  <c r="P47" i="2"/>
  <c r="O47" i="2"/>
  <c r="N47" i="2"/>
  <c r="M47" i="2"/>
  <c r="P61" i="2"/>
  <c r="O61" i="2"/>
  <c r="N61" i="2"/>
  <c r="M61" i="2"/>
  <c r="P72" i="2"/>
  <c r="O72" i="2"/>
  <c r="N72" i="2"/>
  <c r="M72" i="2"/>
  <c r="P138" i="2"/>
  <c r="O138" i="2"/>
  <c r="N138" i="2"/>
  <c r="M138" i="2"/>
  <c r="P137" i="2"/>
  <c r="O137" i="2"/>
  <c r="N137" i="2"/>
  <c r="M137" i="2"/>
  <c r="P21" i="2"/>
  <c r="O21" i="2"/>
  <c r="N21" i="2"/>
  <c r="M21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85" i="2"/>
  <c r="O85" i="2"/>
  <c r="N85" i="2"/>
  <c r="M85" i="2"/>
  <c r="P133" i="2"/>
  <c r="O133" i="2"/>
  <c r="N133" i="2"/>
  <c r="M133" i="2"/>
  <c r="P132" i="2"/>
  <c r="O132" i="2"/>
  <c r="N132" i="2"/>
  <c r="M132" i="2"/>
  <c r="P131" i="2"/>
  <c r="O131" i="2"/>
  <c r="N131" i="2"/>
  <c r="M131" i="2"/>
  <c r="P26" i="2"/>
  <c r="O26" i="2"/>
  <c r="N26" i="2"/>
  <c r="M26" i="2"/>
  <c r="P43" i="2"/>
  <c r="O43" i="2"/>
  <c r="N43" i="2"/>
  <c r="M43" i="2"/>
  <c r="P52" i="2"/>
  <c r="O52" i="2"/>
  <c r="N52" i="2"/>
  <c r="M52" i="2"/>
  <c r="P29" i="2"/>
  <c r="O29" i="2"/>
  <c r="N29" i="2"/>
  <c r="M29" i="2"/>
  <c r="P36" i="2"/>
  <c r="O36" i="2"/>
  <c r="N36" i="2"/>
  <c r="M36" i="2"/>
  <c r="P51" i="2"/>
  <c r="O51" i="2"/>
  <c r="N51" i="2"/>
  <c r="M51" i="2"/>
  <c r="P130" i="2"/>
  <c r="O130" i="2"/>
  <c r="N130" i="2"/>
  <c r="M130" i="2"/>
  <c r="P129" i="2"/>
  <c r="O129" i="2"/>
  <c r="N129" i="2"/>
  <c r="M129" i="2"/>
  <c r="P128" i="2"/>
  <c r="O128" i="2"/>
  <c r="N128" i="2"/>
  <c r="M128" i="2"/>
  <c r="P45" i="2"/>
  <c r="O45" i="2"/>
  <c r="N45" i="2"/>
  <c r="M45" i="2"/>
  <c r="P53" i="2"/>
  <c r="O53" i="2"/>
  <c r="N53" i="2"/>
  <c r="M53" i="2"/>
  <c r="P35" i="2"/>
  <c r="O35" i="2"/>
  <c r="N35" i="2"/>
  <c r="M35" i="2"/>
  <c r="P49" i="2"/>
  <c r="O49" i="2"/>
  <c r="N49" i="2"/>
  <c r="M49" i="2"/>
  <c r="P57" i="2"/>
  <c r="O57" i="2"/>
  <c r="N57" i="2"/>
  <c r="M57" i="2"/>
  <c r="P127" i="2"/>
  <c r="O127" i="2"/>
  <c r="N127" i="2"/>
  <c r="M127" i="2"/>
  <c r="P13" i="2"/>
  <c r="O13" i="2"/>
  <c r="N13" i="2"/>
  <c r="M13" i="2"/>
  <c r="P22" i="2"/>
  <c r="O22" i="2"/>
  <c r="N22" i="2"/>
  <c r="M22" i="2"/>
  <c r="P34" i="2"/>
  <c r="O34" i="2"/>
  <c r="N34" i="2"/>
  <c r="M34" i="2"/>
  <c r="P126" i="2"/>
  <c r="O126" i="2"/>
  <c r="N126" i="2"/>
  <c r="M126" i="2"/>
  <c r="P8" i="2"/>
  <c r="O8" i="2"/>
  <c r="N8" i="2"/>
  <c r="M8" i="2"/>
  <c r="P125" i="2"/>
  <c r="O125" i="2"/>
  <c r="N125" i="2"/>
  <c r="M125" i="2"/>
  <c r="P31" i="2"/>
  <c r="O31" i="2"/>
  <c r="N31" i="2"/>
  <c r="M31" i="2"/>
  <c r="P46" i="2"/>
  <c r="O46" i="2"/>
  <c r="N46" i="2"/>
  <c r="M46" i="2"/>
  <c r="P55" i="2"/>
  <c r="O55" i="2"/>
  <c r="N55" i="2"/>
  <c r="M55" i="2"/>
  <c r="P7" i="2"/>
  <c r="O7" i="2"/>
  <c r="N7" i="2"/>
  <c r="M7" i="2"/>
  <c r="P18" i="2"/>
  <c r="O18" i="2"/>
  <c r="N18" i="2"/>
  <c r="M18" i="2"/>
  <c r="P40" i="2"/>
  <c r="O40" i="2"/>
  <c r="N40" i="2"/>
  <c r="M40" i="2"/>
  <c r="P54" i="2"/>
  <c r="O54" i="2"/>
  <c r="N54" i="2"/>
  <c r="M54" i="2"/>
  <c r="P124" i="2"/>
  <c r="O124" i="2"/>
  <c r="N124" i="2"/>
  <c r="M124" i="2"/>
  <c r="P32" i="2"/>
  <c r="O32" i="2"/>
  <c r="N32" i="2"/>
  <c r="M32" i="2"/>
  <c r="P48" i="2"/>
  <c r="O48" i="2"/>
  <c r="N48" i="2"/>
  <c r="M48" i="2"/>
  <c r="P6" i="2"/>
  <c r="O6" i="2"/>
  <c r="N6" i="2"/>
  <c r="M6" i="2"/>
  <c r="P12" i="2"/>
  <c r="O12" i="2"/>
  <c r="N12" i="2"/>
  <c r="M12" i="2"/>
  <c r="P30" i="2"/>
  <c r="O30" i="2"/>
  <c r="N30" i="2"/>
  <c r="M30" i="2"/>
  <c r="P42" i="2"/>
  <c r="O42" i="2"/>
  <c r="N42" i="2"/>
  <c r="M42" i="2"/>
  <c r="P50" i="2"/>
  <c r="O50" i="2"/>
  <c r="N50" i="2"/>
  <c r="M50" i="2"/>
  <c r="P33" i="2"/>
  <c r="O33" i="2"/>
  <c r="N33" i="2"/>
  <c r="M33" i="2"/>
  <c r="P41" i="2"/>
  <c r="O41" i="2"/>
  <c r="N41" i="2"/>
  <c r="M41" i="2"/>
  <c r="P56" i="2"/>
  <c r="O56" i="2"/>
  <c r="N56" i="2"/>
  <c r="M56" i="2"/>
  <c r="P25" i="2"/>
  <c r="O25" i="2"/>
  <c r="N25" i="2"/>
  <c r="M25" i="2"/>
  <c r="P37" i="2"/>
  <c r="O37" i="2"/>
  <c r="N37" i="2"/>
  <c r="M37" i="2"/>
  <c r="P28" i="2"/>
  <c r="O28" i="2"/>
  <c r="N28" i="2"/>
  <c r="M28" i="2"/>
  <c r="P123" i="2"/>
  <c r="O123" i="2"/>
  <c r="N123" i="2"/>
  <c r="M123" i="2"/>
  <c r="P5" i="2"/>
  <c r="O5" i="2"/>
  <c r="N5" i="2"/>
  <c r="M5" i="2"/>
  <c r="P16" i="2"/>
  <c r="O16" i="2"/>
  <c r="N16" i="2"/>
  <c r="M16" i="2"/>
  <c r="P122" i="2"/>
  <c r="O122" i="2"/>
  <c r="N122" i="2"/>
  <c r="M122" i="2"/>
  <c r="P121" i="2"/>
  <c r="O121" i="2"/>
  <c r="N121" i="2"/>
  <c r="M121" i="2"/>
  <c r="P88" i="2"/>
  <c r="O88" i="2"/>
  <c r="N88" i="2"/>
  <c r="M88" i="2"/>
  <c r="P120" i="2"/>
  <c r="O120" i="2"/>
  <c r="N120" i="2"/>
  <c r="M120" i="2"/>
  <c r="P69" i="2"/>
  <c r="O69" i="2"/>
  <c r="N69" i="2"/>
  <c r="M69" i="2"/>
  <c r="P75" i="2"/>
  <c r="O75" i="2"/>
  <c r="N75" i="2"/>
  <c r="M75" i="2"/>
  <c r="P79" i="2"/>
  <c r="O79" i="2"/>
  <c r="N79" i="2"/>
  <c r="M79" i="2"/>
  <c r="P80" i="2"/>
  <c r="O80" i="2"/>
  <c r="N80" i="2"/>
  <c r="M80" i="2"/>
  <c r="P119" i="2"/>
  <c r="O119" i="2"/>
  <c r="N119" i="2"/>
  <c r="M119" i="2"/>
  <c r="P14" i="2"/>
  <c r="O14" i="2"/>
  <c r="N14" i="2"/>
  <c r="M14" i="2"/>
  <c r="P24" i="2"/>
  <c r="O24" i="2"/>
  <c r="N24" i="2"/>
  <c r="M24" i="2"/>
  <c r="P65" i="2"/>
  <c r="O65" i="2"/>
  <c r="N65" i="2"/>
  <c r="M65" i="2"/>
  <c r="P118" i="2"/>
  <c r="O118" i="2"/>
  <c r="N118" i="2"/>
  <c r="M118" i="2"/>
  <c r="P87" i="2"/>
  <c r="O87" i="2"/>
  <c r="N87" i="2"/>
  <c r="M87" i="2"/>
  <c r="P91" i="2"/>
  <c r="O91" i="2"/>
  <c r="N91" i="2"/>
  <c r="M91" i="2"/>
  <c r="P117" i="2"/>
  <c r="O117" i="2"/>
  <c r="N117" i="2"/>
  <c r="M117" i="2"/>
  <c r="P116" i="2"/>
  <c r="O116" i="2"/>
  <c r="N116" i="2"/>
  <c r="M116" i="2"/>
  <c r="P115" i="2"/>
  <c r="O115" i="2"/>
  <c r="N115" i="2"/>
  <c r="M115" i="2"/>
  <c r="P11" i="2"/>
  <c r="O11" i="2"/>
  <c r="N11" i="2"/>
  <c r="M11" i="2"/>
  <c r="P114" i="2"/>
  <c r="O114" i="2"/>
  <c r="N114" i="2"/>
  <c r="M114" i="2"/>
  <c r="P113" i="2"/>
  <c r="O113" i="2"/>
  <c r="N113" i="2"/>
  <c r="M113" i="2"/>
  <c r="P39" i="2"/>
  <c r="O39" i="2"/>
  <c r="N39" i="2"/>
  <c r="M39" i="2"/>
  <c r="P112" i="2"/>
  <c r="O112" i="2"/>
  <c r="N112" i="2"/>
  <c r="M112" i="2"/>
  <c r="P111" i="2"/>
  <c r="O111" i="2"/>
  <c r="N111" i="2"/>
  <c r="M111" i="2"/>
  <c r="P84" i="2"/>
  <c r="O84" i="2"/>
  <c r="N84" i="2"/>
  <c r="M84" i="2"/>
  <c r="P110" i="2"/>
  <c r="O110" i="2"/>
  <c r="N110" i="2"/>
  <c r="M110" i="2"/>
  <c r="P90" i="2"/>
  <c r="O90" i="2"/>
  <c r="N90" i="2"/>
  <c r="M90" i="2"/>
  <c r="P92" i="2"/>
  <c r="O92" i="2"/>
  <c r="N92" i="2"/>
  <c r="M92" i="2"/>
  <c r="P109" i="2"/>
  <c r="O109" i="2"/>
  <c r="N109" i="2"/>
  <c r="M109" i="2"/>
  <c r="P108" i="2"/>
  <c r="O108" i="2"/>
  <c r="N108" i="2"/>
  <c r="M108" i="2"/>
  <c r="P82" i="2"/>
  <c r="O82" i="2"/>
  <c r="N82" i="2"/>
  <c r="M82" i="2"/>
  <c r="P107" i="2"/>
  <c r="O107" i="2"/>
  <c r="N107" i="2"/>
  <c r="M107" i="2"/>
  <c r="P106" i="2"/>
  <c r="O106" i="2"/>
  <c r="N106" i="2"/>
  <c r="M106" i="2"/>
  <c r="P105" i="2"/>
  <c r="O105" i="2"/>
  <c r="N105" i="2"/>
  <c r="M105" i="2"/>
  <c r="P89" i="2"/>
  <c r="O89" i="2"/>
  <c r="N89" i="2"/>
  <c r="M89" i="2"/>
  <c r="P104" i="2"/>
  <c r="O104" i="2"/>
  <c r="N104" i="2"/>
  <c r="M104" i="2"/>
  <c r="P103" i="2"/>
  <c r="O103" i="2"/>
  <c r="N103" i="2"/>
  <c r="M103" i="2"/>
  <c r="P102" i="2"/>
  <c r="O102" i="2"/>
  <c r="N102" i="2"/>
  <c r="M102" i="2"/>
  <c r="P101" i="2"/>
  <c r="O101" i="2"/>
  <c r="N101" i="2"/>
  <c r="M101" i="2"/>
  <c r="P100" i="2"/>
  <c r="O100" i="2"/>
  <c r="N100" i="2"/>
  <c r="M100" i="2"/>
  <c r="P99" i="2"/>
  <c r="O99" i="2"/>
  <c r="N99" i="2"/>
  <c r="M99" i="2"/>
  <c r="P98" i="2"/>
  <c r="O98" i="2"/>
  <c r="N98" i="2"/>
  <c r="M98" i="2"/>
  <c r="P97" i="2"/>
  <c r="O97" i="2"/>
  <c r="N97" i="2"/>
  <c r="M97" i="2"/>
  <c r="P96" i="2"/>
  <c r="O96" i="2"/>
  <c r="N96" i="2"/>
  <c r="M96" i="2"/>
  <c r="P95" i="2"/>
  <c r="O95" i="2"/>
  <c r="N95" i="2"/>
  <c r="M95" i="2"/>
  <c r="P62" i="2"/>
  <c r="O62" i="2"/>
  <c r="N62" i="2"/>
  <c r="M62" i="2"/>
  <c r="P71" i="2"/>
  <c r="O71" i="2"/>
  <c r="N71" i="2"/>
  <c r="M71" i="2"/>
  <c r="P77" i="2"/>
  <c r="O77" i="2"/>
  <c r="N77" i="2"/>
  <c r="M77" i="2"/>
  <c r="P15" i="2"/>
  <c r="O15" i="2"/>
  <c r="N15" i="2"/>
  <c r="M15" i="2"/>
  <c r="P27" i="2"/>
  <c r="O27" i="2"/>
  <c r="N27" i="2"/>
  <c r="M27" i="2"/>
  <c r="P94" i="2"/>
  <c r="O94" i="2"/>
  <c r="N94" i="2"/>
  <c r="M94" i="2"/>
  <c r="P93" i="2"/>
  <c r="O93" i="2"/>
  <c r="N93" i="2"/>
  <c r="M93" i="2"/>
  <c r="AU243" i="1"/>
  <c r="AR243" i="1"/>
  <c r="AP243" i="1"/>
  <c r="AI243" i="1"/>
  <c r="AH243" i="1"/>
  <c r="AF243" i="1"/>
  <c r="AE243" i="1"/>
  <c r="AB243" i="1"/>
  <c r="AA243" i="1"/>
  <c r="Z243" i="1"/>
  <c r="Y243" i="1"/>
  <c r="X243" i="1"/>
  <c r="W243" i="1"/>
  <c r="P243" i="1"/>
  <c r="O243" i="1"/>
  <c r="AD243" i="1" s="1"/>
  <c r="N243" i="1"/>
  <c r="AO243" i="1" s="1"/>
  <c r="M243" i="1"/>
  <c r="AU242" i="1"/>
  <c r="AT242" i="1"/>
  <c r="AR242" i="1"/>
  <c r="AP242" i="1"/>
  <c r="AJ242" i="1"/>
  <c r="AI242" i="1"/>
  <c r="AN242" i="1" s="1"/>
  <c r="AH242" i="1"/>
  <c r="AF242" i="1"/>
  <c r="AE242" i="1"/>
  <c r="AC242" i="1"/>
  <c r="AB242" i="1"/>
  <c r="AA242" i="1"/>
  <c r="Z242" i="1"/>
  <c r="Y242" i="1"/>
  <c r="X242" i="1"/>
  <c r="W242" i="1"/>
  <c r="P242" i="1"/>
  <c r="O242" i="1"/>
  <c r="AD242" i="1" s="1"/>
  <c r="N242" i="1"/>
  <c r="AO242" i="1" s="1"/>
  <c r="AV242" i="1" s="1"/>
  <c r="M242" i="1"/>
  <c r="AU241" i="1"/>
  <c r="AR241" i="1"/>
  <c r="AP241" i="1"/>
  <c r="AN241" i="1"/>
  <c r="AI241" i="1"/>
  <c r="AT241" i="1" s="1"/>
  <c r="AH241" i="1"/>
  <c r="AF241" i="1"/>
  <c r="AE241" i="1"/>
  <c r="AD241" i="1"/>
  <c r="AC241" i="1"/>
  <c r="AB241" i="1"/>
  <c r="AA241" i="1"/>
  <c r="Z241" i="1"/>
  <c r="Y241" i="1"/>
  <c r="X241" i="1"/>
  <c r="W241" i="1"/>
  <c r="P241" i="1"/>
  <c r="O241" i="1"/>
  <c r="AQ241" i="1" s="1"/>
  <c r="N241" i="1"/>
  <c r="AO241" i="1" s="1"/>
  <c r="M241" i="1"/>
  <c r="AV240" i="1"/>
  <c r="AU240" i="1"/>
  <c r="AT240" i="1"/>
  <c r="AP240" i="1"/>
  <c r="AO240" i="1"/>
  <c r="AN240" i="1"/>
  <c r="AJ240" i="1"/>
  <c r="AI240" i="1"/>
  <c r="AH240" i="1"/>
  <c r="AF240" i="1"/>
  <c r="AE240" i="1"/>
  <c r="AD240" i="1"/>
  <c r="AC240" i="1"/>
  <c r="AA240" i="1"/>
  <c r="Z240" i="1"/>
  <c r="Y240" i="1"/>
  <c r="X240" i="1"/>
  <c r="W240" i="1"/>
  <c r="P240" i="1"/>
  <c r="O240" i="1"/>
  <c r="AQ240" i="1" s="1"/>
  <c r="N240" i="1"/>
  <c r="M240" i="1"/>
  <c r="AU239" i="1"/>
  <c r="AP239" i="1"/>
  <c r="AN239" i="1"/>
  <c r="AJ239" i="1"/>
  <c r="AI239" i="1"/>
  <c r="AT239" i="1" s="1"/>
  <c r="AH239" i="1"/>
  <c r="AF239" i="1"/>
  <c r="AE239" i="1"/>
  <c r="AD239" i="1"/>
  <c r="AA239" i="1"/>
  <c r="Z239" i="1"/>
  <c r="Y239" i="1"/>
  <c r="X239" i="1"/>
  <c r="W239" i="1"/>
  <c r="P239" i="1"/>
  <c r="O239" i="1"/>
  <c r="AQ239" i="1" s="1"/>
  <c r="N239" i="1"/>
  <c r="M239" i="1"/>
  <c r="AR239" i="1" s="1"/>
  <c r="AU238" i="1"/>
  <c r="AP238" i="1"/>
  <c r="AO238" i="1"/>
  <c r="AI238" i="1"/>
  <c r="AN238" i="1" s="1"/>
  <c r="AH238" i="1"/>
  <c r="AF238" i="1"/>
  <c r="AE238" i="1"/>
  <c r="AA238" i="1"/>
  <c r="Z238" i="1"/>
  <c r="Y238" i="1"/>
  <c r="X238" i="1"/>
  <c r="W238" i="1"/>
  <c r="P238" i="1"/>
  <c r="O238" i="1"/>
  <c r="AD238" i="1" s="1"/>
  <c r="N238" i="1"/>
  <c r="AC238" i="1" s="1"/>
  <c r="M238" i="1"/>
  <c r="AR238" i="1" s="1"/>
  <c r="AU237" i="1"/>
  <c r="AR237" i="1"/>
  <c r="AP237" i="1"/>
  <c r="AI237" i="1"/>
  <c r="AH237" i="1"/>
  <c r="AF237" i="1"/>
  <c r="AE237" i="1"/>
  <c r="AB237" i="1"/>
  <c r="AA237" i="1"/>
  <c r="Z237" i="1"/>
  <c r="Y237" i="1"/>
  <c r="X237" i="1"/>
  <c r="W237" i="1"/>
  <c r="P237" i="1"/>
  <c r="O237" i="1"/>
  <c r="AD237" i="1" s="1"/>
  <c r="N237" i="1"/>
  <c r="AO237" i="1" s="1"/>
  <c r="M237" i="1"/>
  <c r="AU236" i="1"/>
  <c r="AT236" i="1"/>
  <c r="AR236" i="1"/>
  <c r="AP236" i="1"/>
  <c r="AJ236" i="1"/>
  <c r="AI236" i="1"/>
  <c r="AN236" i="1" s="1"/>
  <c r="AH236" i="1"/>
  <c r="AF236" i="1"/>
  <c r="AE236" i="1"/>
  <c r="AC236" i="1"/>
  <c r="AB236" i="1"/>
  <c r="AA236" i="1"/>
  <c r="Z236" i="1"/>
  <c r="Y236" i="1"/>
  <c r="X236" i="1"/>
  <c r="W236" i="1"/>
  <c r="P236" i="1"/>
  <c r="O236" i="1"/>
  <c r="AD236" i="1" s="1"/>
  <c r="N236" i="1"/>
  <c r="AO236" i="1" s="1"/>
  <c r="AV236" i="1" s="1"/>
  <c r="M236" i="1"/>
  <c r="AU235" i="1"/>
  <c r="AR235" i="1"/>
  <c r="AP235" i="1"/>
  <c r="AN235" i="1"/>
  <c r="AI235" i="1"/>
  <c r="AT235" i="1" s="1"/>
  <c r="AH235" i="1"/>
  <c r="AF235" i="1"/>
  <c r="AE235" i="1"/>
  <c r="AD235" i="1"/>
  <c r="AC235" i="1"/>
  <c r="AB235" i="1"/>
  <c r="AA235" i="1"/>
  <c r="Z235" i="1"/>
  <c r="Y235" i="1"/>
  <c r="X235" i="1"/>
  <c r="W235" i="1"/>
  <c r="P235" i="1"/>
  <c r="O235" i="1"/>
  <c r="AQ235" i="1" s="1"/>
  <c r="N235" i="1"/>
  <c r="AO235" i="1" s="1"/>
  <c r="M235" i="1"/>
  <c r="AU234" i="1"/>
  <c r="AT234" i="1"/>
  <c r="AP234" i="1"/>
  <c r="AO234" i="1"/>
  <c r="AN234" i="1"/>
  <c r="AJ234" i="1"/>
  <c r="AI234" i="1"/>
  <c r="AH234" i="1"/>
  <c r="AF234" i="1"/>
  <c r="AE234" i="1"/>
  <c r="AD234" i="1"/>
  <c r="AC234" i="1"/>
  <c r="AA234" i="1"/>
  <c r="Z234" i="1"/>
  <c r="Y234" i="1"/>
  <c r="X234" i="1"/>
  <c r="W234" i="1"/>
  <c r="P234" i="1"/>
  <c r="O234" i="1"/>
  <c r="AQ234" i="1" s="1"/>
  <c r="N234" i="1"/>
  <c r="M234" i="1"/>
  <c r="AU233" i="1"/>
  <c r="AP233" i="1"/>
  <c r="AN233" i="1"/>
  <c r="AI233" i="1"/>
  <c r="AT233" i="1" s="1"/>
  <c r="AH233" i="1"/>
  <c r="AF233" i="1"/>
  <c r="AE233" i="1"/>
  <c r="AD233" i="1"/>
  <c r="AA233" i="1"/>
  <c r="Z233" i="1"/>
  <c r="Y233" i="1"/>
  <c r="X233" i="1"/>
  <c r="W233" i="1"/>
  <c r="P233" i="1"/>
  <c r="O233" i="1"/>
  <c r="AQ233" i="1" s="1"/>
  <c r="N233" i="1"/>
  <c r="M233" i="1"/>
  <c r="AR233" i="1" s="1"/>
  <c r="AU232" i="1"/>
  <c r="AQ232" i="1"/>
  <c r="AP232" i="1"/>
  <c r="AO232" i="1"/>
  <c r="AI232" i="1"/>
  <c r="AN232" i="1" s="1"/>
  <c r="AH232" i="1"/>
  <c r="AF232" i="1"/>
  <c r="AE232" i="1"/>
  <c r="AA232" i="1"/>
  <c r="Z232" i="1"/>
  <c r="Y232" i="1"/>
  <c r="X232" i="1"/>
  <c r="W232" i="1"/>
  <c r="P232" i="1"/>
  <c r="O232" i="1"/>
  <c r="AD232" i="1" s="1"/>
  <c r="N232" i="1"/>
  <c r="AC232" i="1" s="1"/>
  <c r="M232" i="1"/>
  <c r="AR232" i="1" s="1"/>
  <c r="AU231" i="1"/>
  <c r="AR231" i="1"/>
  <c r="AP231" i="1"/>
  <c r="AI231" i="1"/>
  <c r="AH231" i="1"/>
  <c r="AF231" i="1"/>
  <c r="AE231" i="1"/>
  <c r="AB231" i="1"/>
  <c r="AA231" i="1"/>
  <c r="Z231" i="1"/>
  <c r="Y231" i="1"/>
  <c r="X231" i="1"/>
  <c r="W231" i="1"/>
  <c r="P231" i="1"/>
  <c r="O231" i="1"/>
  <c r="AD231" i="1" s="1"/>
  <c r="N231" i="1"/>
  <c r="AO231" i="1" s="1"/>
  <c r="M231" i="1"/>
  <c r="AU230" i="1"/>
  <c r="AT230" i="1"/>
  <c r="AR230" i="1"/>
  <c r="AP230" i="1"/>
  <c r="AJ230" i="1"/>
  <c r="AI230" i="1"/>
  <c r="AN230" i="1" s="1"/>
  <c r="AH230" i="1"/>
  <c r="AF230" i="1"/>
  <c r="AE230" i="1"/>
  <c r="AC230" i="1"/>
  <c r="AB230" i="1"/>
  <c r="AA230" i="1"/>
  <c r="Z230" i="1"/>
  <c r="Y230" i="1"/>
  <c r="X230" i="1"/>
  <c r="W230" i="1"/>
  <c r="P230" i="1"/>
  <c r="O230" i="1"/>
  <c r="AD230" i="1" s="1"/>
  <c r="N230" i="1"/>
  <c r="AO230" i="1" s="1"/>
  <c r="M230" i="1"/>
  <c r="AU229" i="1"/>
  <c r="AR229" i="1"/>
  <c r="AP229" i="1"/>
  <c r="AN229" i="1"/>
  <c r="AI229" i="1"/>
  <c r="AT229" i="1" s="1"/>
  <c r="AH229" i="1"/>
  <c r="AF229" i="1"/>
  <c r="AE229" i="1"/>
  <c r="AD229" i="1"/>
  <c r="AC229" i="1"/>
  <c r="AB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U228" i="1"/>
  <c r="AT228" i="1"/>
  <c r="AP228" i="1"/>
  <c r="AO228" i="1"/>
  <c r="AV228" i="1" s="1"/>
  <c r="AN228" i="1"/>
  <c r="AJ228" i="1"/>
  <c r="AI228" i="1"/>
  <c r="AH228" i="1"/>
  <c r="AF228" i="1"/>
  <c r="AE228" i="1"/>
  <c r="AD228" i="1"/>
  <c r="AC228" i="1"/>
  <c r="AA228" i="1"/>
  <c r="Z228" i="1"/>
  <c r="Y228" i="1"/>
  <c r="X228" i="1"/>
  <c r="W228" i="1"/>
  <c r="P228" i="1"/>
  <c r="O228" i="1"/>
  <c r="AQ228" i="1" s="1"/>
  <c r="N228" i="1"/>
  <c r="M228" i="1"/>
  <c r="AU227" i="1"/>
  <c r="AP227" i="1"/>
  <c r="AN227" i="1"/>
  <c r="AI227" i="1"/>
  <c r="AT227" i="1" s="1"/>
  <c r="AH227" i="1"/>
  <c r="AF227" i="1"/>
  <c r="AE227" i="1"/>
  <c r="AD227" i="1"/>
  <c r="AA227" i="1"/>
  <c r="Z227" i="1"/>
  <c r="Y227" i="1"/>
  <c r="X227" i="1"/>
  <c r="W227" i="1"/>
  <c r="P227" i="1"/>
  <c r="O227" i="1"/>
  <c r="AQ227" i="1" s="1"/>
  <c r="N227" i="1"/>
  <c r="M227" i="1"/>
  <c r="AR227" i="1" s="1"/>
  <c r="AU226" i="1"/>
  <c r="AQ226" i="1"/>
  <c r="AP226" i="1"/>
  <c r="AO226" i="1"/>
  <c r="AJ226" i="1"/>
  <c r="AI226" i="1"/>
  <c r="AN226" i="1" s="1"/>
  <c r="AH226" i="1"/>
  <c r="AF226" i="1"/>
  <c r="AE226" i="1"/>
  <c r="AA226" i="1"/>
  <c r="Z226" i="1"/>
  <c r="Y226" i="1"/>
  <c r="X226" i="1"/>
  <c r="W226" i="1"/>
  <c r="P226" i="1"/>
  <c r="O226" i="1"/>
  <c r="AD226" i="1" s="1"/>
  <c r="N226" i="1"/>
  <c r="AC226" i="1" s="1"/>
  <c r="M226" i="1"/>
  <c r="AR226" i="1" s="1"/>
  <c r="AU225" i="1"/>
  <c r="AR225" i="1"/>
  <c r="AP225" i="1"/>
  <c r="AI225" i="1"/>
  <c r="AH225" i="1"/>
  <c r="AF225" i="1"/>
  <c r="AE225" i="1"/>
  <c r="AB225" i="1"/>
  <c r="AA225" i="1"/>
  <c r="Z225" i="1"/>
  <c r="Y225" i="1"/>
  <c r="X225" i="1"/>
  <c r="W225" i="1"/>
  <c r="P225" i="1"/>
  <c r="O225" i="1"/>
  <c r="AD225" i="1" s="1"/>
  <c r="N225" i="1"/>
  <c r="AO225" i="1" s="1"/>
  <c r="AV225" i="1" s="1"/>
  <c r="M225" i="1"/>
  <c r="AU224" i="1"/>
  <c r="AT224" i="1"/>
  <c r="AP224" i="1"/>
  <c r="AJ224" i="1"/>
  <c r="AI224" i="1"/>
  <c r="AN224" i="1" s="1"/>
  <c r="AH224" i="1"/>
  <c r="AF224" i="1"/>
  <c r="AE224" i="1"/>
  <c r="AC224" i="1"/>
  <c r="AB224" i="1"/>
  <c r="AA224" i="1"/>
  <c r="Z224" i="1"/>
  <c r="Y224" i="1"/>
  <c r="X224" i="1"/>
  <c r="W224" i="1"/>
  <c r="P224" i="1"/>
  <c r="O224" i="1"/>
  <c r="AD224" i="1" s="1"/>
  <c r="N224" i="1"/>
  <c r="AO224" i="1" s="1"/>
  <c r="M224" i="1"/>
  <c r="AR224" i="1" s="1"/>
  <c r="AU223" i="1"/>
  <c r="AR223" i="1"/>
  <c r="AP223" i="1"/>
  <c r="AN223" i="1"/>
  <c r="AI223" i="1"/>
  <c r="AT223" i="1" s="1"/>
  <c r="AH223" i="1"/>
  <c r="AF223" i="1"/>
  <c r="AE223" i="1"/>
  <c r="AD223" i="1"/>
  <c r="AB223" i="1"/>
  <c r="AA223" i="1"/>
  <c r="Z223" i="1"/>
  <c r="Y223" i="1"/>
  <c r="X223" i="1"/>
  <c r="W223" i="1"/>
  <c r="P223" i="1"/>
  <c r="O223" i="1"/>
  <c r="AQ223" i="1" s="1"/>
  <c r="N223" i="1"/>
  <c r="AO223" i="1" s="1"/>
  <c r="M223" i="1"/>
  <c r="AU222" i="1"/>
  <c r="AT222" i="1"/>
  <c r="AP222" i="1"/>
  <c r="AO222" i="1"/>
  <c r="AV222" i="1" s="1"/>
  <c r="AN222" i="1"/>
  <c r="AJ222" i="1"/>
  <c r="AI222" i="1"/>
  <c r="AH222" i="1"/>
  <c r="AF222" i="1"/>
  <c r="AE222" i="1"/>
  <c r="AC222" i="1"/>
  <c r="AA222" i="1"/>
  <c r="Z222" i="1"/>
  <c r="Y222" i="1"/>
  <c r="X222" i="1"/>
  <c r="W222" i="1"/>
  <c r="P222" i="1"/>
  <c r="O222" i="1"/>
  <c r="AQ222" i="1" s="1"/>
  <c r="N222" i="1"/>
  <c r="M222" i="1"/>
  <c r="AU221" i="1"/>
  <c r="AR221" i="1"/>
  <c r="AP221" i="1"/>
  <c r="AN221" i="1"/>
  <c r="AI221" i="1"/>
  <c r="AT221" i="1" s="1"/>
  <c r="AH221" i="1"/>
  <c r="AF221" i="1"/>
  <c r="AE221" i="1"/>
  <c r="AD221" i="1"/>
  <c r="AB221" i="1"/>
  <c r="AA221" i="1"/>
  <c r="Z221" i="1"/>
  <c r="Y221" i="1"/>
  <c r="X221" i="1"/>
  <c r="W221" i="1"/>
  <c r="P221" i="1"/>
  <c r="O221" i="1"/>
  <c r="AQ221" i="1" s="1"/>
  <c r="N221" i="1"/>
  <c r="M221" i="1"/>
  <c r="AU220" i="1"/>
  <c r="AT220" i="1"/>
  <c r="AP220" i="1"/>
  <c r="AO220" i="1"/>
  <c r="AJ220" i="1"/>
  <c r="AI220" i="1"/>
  <c r="AN220" i="1" s="1"/>
  <c r="AH220" i="1"/>
  <c r="AF220" i="1"/>
  <c r="AE220" i="1"/>
  <c r="AC220" i="1"/>
  <c r="AA220" i="1"/>
  <c r="Z220" i="1"/>
  <c r="Y220" i="1"/>
  <c r="X220" i="1"/>
  <c r="W220" i="1"/>
  <c r="P220" i="1"/>
  <c r="O220" i="1"/>
  <c r="AD220" i="1" s="1"/>
  <c r="N220" i="1"/>
  <c r="M220" i="1"/>
  <c r="AR220" i="1" s="1"/>
  <c r="AU219" i="1"/>
  <c r="AR219" i="1"/>
  <c r="AP219" i="1"/>
  <c r="AI219" i="1"/>
  <c r="AH219" i="1"/>
  <c r="AF219" i="1"/>
  <c r="AE219" i="1"/>
  <c r="AD219" i="1"/>
  <c r="AB219" i="1"/>
  <c r="AA219" i="1"/>
  <c r="Z219" i="1"/>
  <c r="Y219" i="1"/>
  <c r="X219" i="1"/>
  <c r="W219" i="1"/>
  <c r="P219" i="1"/>
  <c r="O219" i="1"/>
  <c r="AQ219" i="1" s="1"/>
  <c r="N219" i="1"/>
  <c r="AO219" i="1" s="1"/>
  <c r="AV219" i="1" s="1"/>
  <c r="M219" i="1"/>
  <c r="AU218" i="1"/>
  <c r="AT218" i="1"/>
  <c r="AP218" i="1"/>
  <c r="AO218" i="1"/>
  <c r="AV218" i="1" s="1"/>
  <c r="AJ218" i="1"/>
  <c r="AI218" i="1"/>
  <c r="AN218" i="1" s="1"/>
  <c r="AH218" i="1"/>
  <c r="AF218" i="1"/>
  <c r="AE218" i="1"/>
  <c r="AC218" i="1"/>
  <c r="AA218" i="1"/>
  <c r="Z218" i="1"/>
  <c r="Y218" i="1"/>
  <c r="X218" i="1"/>
  <c r="W218" i="1"/>
  <c r="P218" i="1"/>
  <c r="O218" i="1"/>
  <c r="AD218" i="1" s="1"/>
  <c r="N218" i="1"/>
  <c r="M218" i="1"/>
  <c r="AR218" i="1" s="1"/>
  <c r="AU217" i="1"/>
  <c r="AR217" i="1"/>
  <c r="AP217" i="1"/>
  <c r="AN217" i="1"/>
  <c r="AI217" i="1"/>
  <c r="AT217" i="1" s="1"/>
  <c r="AH217" i="1"/>
  <c r="AF217" i="1"/>
  <c r="AE217" i="1"/>
  <c r="AD217" i="1"/>
  <c r="AB217" i="1"/>
  <c r="AA217" i="1"/>
  <c r="Z217" i="1"/>
  <c r="Y217" i="1"/>
  <c r="X217" i="1"/>
  <c r="W217" i="1"/>
  <c r="P217" i="1"/>
  <c r="O217" i="1"/>
  <c r="AQ217" i="1" s="1"/>
  <c r="N217" i="1"/>
  <c r="AO217" i="1" s="1"/>
  <c r="M217" i="1"/>
  <c r="AU216" i="1"/>
  <c r="AT216" i="1"/>
  <c r="AP216" i="1"/>
  <c r="AO216" i="1"/>
  <c r="AN216" i="1"/>
  <c r="AJ216" i="1"/>
  <c r="AI216" i="1"/>
  <c r="AH216" i="1"/>
  <c r="AF216" i="1"/>
  <c r="AE216" i="1"/>
  <c r="AC216" i="1"/>
  <c r="AA216" i="1"/>
  <c r="Z216" i="1"/>
  <c r="Y216" i="1"/>
  <c r="X216" i="1"/>
  <c r="W216" i="1"/>
  <c r="P216" i="1"/>
  <c r="O216" i="1"/>
  <c r="AQ216" i="1" s="1"/>
  <c r="N216" i="1"/>
  <c r="M216" i="1"/>
  <c r="AU215" i="1"/>
  <c r="AR215" i="1"/>
  <c r="AP215" i="1"/>
  <c r="AN215" i="1"/>
  <c r="AI215" i="1"/>
  <c r="AT215" i="1" s="1"/>
  <c r="AH215" i="1"/>
  <c r="AF215" i="1"/>
  <c r="AE215" i="1"/>
  <c r="AD215" i="1"/>
  <c r="AB215" i="1"/>
  <c r="AA215" i="1"/>
  <c r="Z215" i="1"/>
  <c r="Y215" i="1"/>
  <c r="X215" i="1"/>
  <c r="W215" i="1"/>
  <c r="P215" i="1"/>
  <c r="O215" i="1"/>
  <c r="AQ215" i="1" s="1"/>
  <c r="N215" i="1"/>
  <c r="M215" i="1"/>
  <c r="AU214" i="1"/>
  <c r="AT214" i="1"/>
  <c r="AP214" i="1"/>
  <c r="AO214" i="1"/>
  <c r="AV214" i="1" s="1"/>
  <c r="AJ214" i="1"/>
  <c r="AI214" i="1"/>
  <c r="AN214" i="1" s="1"/>
  <c r="AH214" i="1"/>
  <c r="AF214" i="1"/>
  <c r="AE214" i="1"/>
  <c r="AC214" i="1"/>
  <c r="AA214" i="1"/>
  <c r="Z214" i="1"/>
  <c r="Y214" i="1"/>
  <c r="X214" i="1"/>
  <c r="W214" i="1"/>
  <c r="P214" i="1"/>
  <c r="O214" i="1"/>
  <c r="AD214" i="1" s="1"/>
  <c r="N214" i="1"/>
  <c r="M214" i="1"/>
  <c r="AR214" i="1" s="1"/>
  <c r="AU213" i="1"/>
  <c r="AR213" i="1"/>
  <c r="AP213" i="1"/>
  <c r="AI213" i="1"/>
  <c r="AH213" i="1"/>
  <c r="AF213" i="1"/>
  <c r="AE213" i="1"/>
  <c r="AD213" i="1"/>
  <c r="AB213" i="1"/>
  <c r="AA213" i="1"/>
  <c r="Z213" i="1"/>
  <c r="Y213" i="1"/>
  <c r="X213" i="1"/>
  <c r="W213" i="1"/>
  <c r="P213" i="1"/>
  <c r="O213" i="1"/>
  <c r="AQ213" i="1" s="1"/>
  <c r="N213" i="1"/>
  <c r="AO213" i="1" s="1"/>
  <c r="M213" i="1"/>
  <c r="AU212" i="1"/>
  <c r="AT212" i="1"/>
  <c r="AP212" i="1"/>
  <c r="AO212" i="1"/>
  <c r="AV212" i="1" s="1"/>
  <c r="AJ212" i="1"/>
  <c r="AI212" i="1"/>
  <c r="AN212" i="1" s="1"/>
  <c r="AH212" i="1"/>
  <c r="AF212" i="1"/>
  <c r="AE212" i="1"/>
  <c r="AC212" i="1"/>
  <c r="AA212" i="1"/>
  <c r="Z212" i="1"/>
  <c r="Y212" i="1"/>
  <c r="X212" i="1"/>
  <c r="W212" i="1"/>
  <c r="P212" i="1"/>
  <c r="O212" i="1"/>
  <c r="AD212" i="1" s="1"/>
  <c r="N212" i="1"/>
  <c r="M212" i="1"/>
  <c r="AR212" i="1" s="1"/>
  <c r="AU211" i="1"/>
  <c r="AR211" i="1"/>
  <c r="AP211" i="1"/>
  <c r="AN211" i="1"/>
  <c r="AI211" i="1"/>
  <c r="AT211" i="1" s="1"/>
  <c r="AH211" i="1"/>
  <c r="AF211" i="1"/>
  <c r="AE211" i="1"/>
  <c r="AD211" i="1"/>
  <c r="AB211" i="1"/>
  <c r="AA211" i="1"/>
  <c r="Z211" i="1"/>
  <c r="Y211" i="1"/>
  <c r="X211" i="1"/>
  <c r="W211" i="1"/>
  <c r="P211" i="1"/>
  <c r="O211" i="1"/>
  <c r="AQ211" i="1" s="1"/>
  <c r="N211" i="1"/>
  <c r="AO211" i="1" s="1"/>
  <c r="M211" i="1"/>
  <c r="AV210" i="1"/>
  <c r="AU210" i="1"/>
  <c r="AT210" i="1"/>
  <c r="AP210" i="1"/>
  <c r="AO210" i="1"/>
  <c r="AJ210" i="1"/>
  <c r="AI210" i="1"/>
  <c r="AN210" i="1" s="1"/>
  <c r="AH210" i="1"/>
  <c r="AF210" i="1"/>
  <c r="AE210" i="1"/>
  <c r="AC210" i="1"/>
  <c r="AA210" i="1"/>
  <c r="Z210" i="1"/>
  <c r="Y210" i="1"/>
  <c r="X210" i="1"/>
  <c r="W210" i="1"/>
  <c r="P210" i="1"/>
  <c r="O210" i="1"/>
  <c r="AQ210" i="1" s="1"/>
  <c r="N210" i="1"/>
  <c r="M210" i="1"/>
  <c r="AU209" i="1"/>
  <c r="AR209" i="1"/>
  <c r="AP209" i="1"/>
  <c r="AI209" i="1"/>
  <c r="AT209" i="1" s="1"/>
  <c r="AH209" i="1"/>
  <c r="AF209" i="1"/>
  <c r="AE209" i="1"/>
  <c r="AD209" i="1"/>
  <c r="AB209" i="1"/>
  <c r="AA209" i="1"/>
  <c r="Z209" i="1"/>
  <c r="Y209" i="1"/>
  <c r="X209" i="1"/>
  <c r="W209" i="1"/>
  <c r="P209" i="1"/>
  <c r="O209" i="1"/>
  <c r="AQ209" i="1" s="1"/>
  <c r="N209" i="1"/>
  <c r="M209" i="1"/>
  <c r="AU208" i="1"/>
  <c r="AT208" i="1"/>
  <c r="AP208" i="1"/>
  <c r="AO208" i="1"/>
  <c r="AV208" i="1" s="1"/>
  <c r="AN208" i="1"/>
  <c r="AJ208" i="1"/>
  <c r="AI208" i="1"/>
  <c r="AH208" i="1"/>
  <c r="AF208" i="1"/>
  <c r="AE208" i="1"/>
  <c r="AC208" i="1"/>
  <c r="AA208" i="1"/>
  <c r="Z208" i="1"/>
  <c r="Y208" i="1"/>
  <c r="X208" i="1"/>
  <c r="W208" i="1"/>
  <c r="P208" i="1"/>
  <c r="O208" i="1"/>
  <c r="AD208" i="1" s="1"/>
  <c r="N208" i="1"/>
  <c r="M208" i="1"/>
  <c r="AR208" i="1" s="1"/>
  <c r="AU207" i="1"/>
  <c r="AR207" i="1"/>
  <c r="AP207" i="1"/>
  <c r="AI207" i="1"/>
  <c r="AH207" i="1"/>
  <c r="AF207" i="1"/>
  <c r="AE207" i="1"/>
  <c r="AD207" i="1"/>
  <c r="AB207" i="1"/>
  <c r="AA207" i="1"/>
  <c r="Z207" i="1"/>
  <c r="Y207" i="1"/>
  <c r="X207" i="1"/>
  <c r="W207" i="1"/>
  <c r="P207" i="1"/>
  <c r="O207" i="1"/>
  <c r="AQ207" i="1" s="1"/>
  <c r="N207" i="1"/>
  <c r="AO207" i="1" s="1"/>
  <c r="M207" i="1"/>
  <c r="AU206" i="1"/>
  <c r="AT206" i="1"/>
  <c r="AP206" i="1"/>
  <c r="AO206" i="1"/>
  <c r="AJ206" i="1"/>
  <c r="AI206" i="1"/>
  <c r="AN206" i="1" s="1"/>
  <c r="AH206" i="1"/>
  <c r="AF206" i="1"/>
  <c r="AE206" i="1"/>
  <c r="AC206" i="1"/>
  <c r="AA206" i="1"/>
  <c r="Z206" i="1"/>
  <c r="Y206" i="1"/>
  <c r="X206" i="1"/>
  <c r="W206" i="1"/>
  <c r="P206" i="1"/>
  <c r="O206" i="1"/>
  <c r="AD206" i="1" s="1"/>
  <c r="N206" i="1"/>
  <c r="M206" i="1"/>
  <c r="AR206" i="1" s="1"/>
  <c r="AU205" i="1"/>
  <c r="AR205" i="1"/>
  <c r="AP205" i="1"/>
  <c r="AN205" i="1"/>
  <c r="AI205" i="1"/>
  <c r="AT205" i="1" s="1"/>
  <c r="AH205" i="1"/>
  <c r="AF205" i="1"/>
  <c r="AE205" i="1"/>
  <c r="AD205" i="1"/>
  <c r="AB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V204" i="1"/>
  <c r="AU204" i="1"/>
  <c r="AT204" i="1"/>
  <c r="AP204" i="1"/>
  <c r="AO204" i="1"/>
  <c r="AJ204" i="1"/>
  <c r="AI204" i="1"/>
  <c r="AN204" i="1" s="1"/>
  <c r="AH204" i="1"/>
  <c r="AF204" i="1"/>
  <c r="AE204" i="1"/>
  <c r="AC204" i="1"/>
  <c r="AA204" i="1"/>
  <c r="Z204" i="1"/>
  <c r="Y204" i="1"/>
  <c r="X204" i="1"/>
  <c r="W204" i="1"/>
  <c r="P204" i="1"/>
  <c r="O204" i="1"/>
  <c r="AQ204" i="1" s="1"/>
  <c r="N204" i="1"/>
  <c r="M204" i="1"/>
  <c r="AU203" i="1"/>
  <c r="AR203" i="1"/>
  <c r="AP203" i="1"/>
  <c r="AI203" i="1"/>
  <c r="AT203" i="1" s="1"/>
  <c r="AH203" i="1"/>
  <c r="AF203" i="1"/>
  <c r="AE203" i="1"/>
  <c r="AD203" i="1"/>
  <c r="AB203" i="1"/>
  <c r="AA203" i="1"/>
  <c r="Z203" i="1"/>
  <c r="Y203" i="1"/>
  <c r="X203" i="1"/>
  <c r="W203" i="1"/>
  <c r="P203" i="1"/>
  <c r="O203" i="1"/>
  <c r="AQ203" i="1" s="1"/>
  <c r="N203" i="1"/>
  <c r="M203" i="1"/>
  <c r="AU202" i="1"/>
  <c r="AT202" i="1"/>
  <c r="AQ202" i="1"/>
  <c r="AP202" i="1"/>
  <c r="AO202" i="1"/>
  <c r="AN202" i="1"/>
  <c r="AJ202" i="1"/>
  <c r="AI202" i="1"/>
  <c r="AH202" i="1"/>
  <c r="AF202" i="1"/>
  <c r="AE202" i="1"/>
  <c r="AC202" i="1"/>
  <c r="AA202" i="1"/>
  <c r="Z202" i="1"/>
  <c r="Y202" i="1"/>
  <c r="X202" i="1"/>
  <c r="W202" i="1"/>
  <c r="P202" i="1"/>
  <c r="O202" i="1"/>
  <c r="AD202" i="1" s="1"/>
  <c r="N202" i="1"/>
  <c r="M202" i="1"/>
  <c r="AU201" i="1"/>
  <c r="AR201" i="1"/>
  <c r="AP201" i="1"/>
  <c r="AN201" i="1"/>
  <c r="AI201" i="1"/>
  <c r="AH201" i="1"/>
  <c r="AF201" i="1"/>
  <c r="AE201" i="1"/>
  <c r="AD201" i="1"/>
  <c r="AB201" i="1"/>
  <c r="AA201" i="1"/>
  <c r="Z201" i="1"/>
  <c r="Y201" i="1"/>
  <c r="X201" i="1"/>
  <c r="W201" i="1"/>
  <c r="P201" i="1"/>
  <c r="O201" i="1"/>
  <c r="AQ201" i="1" s="1"/>
  <c r="N201" i="1"/>
  <c r="M201" i="1"/>
  <c r="AU200" i="1"/>
  <c r="AT200" i="1"/>
  <c r="AP200" i="1"/>
  <c r="AO200" i="1"/>
  <c r="AJ200" i="1"/>
  <c r="AI200" i="1"/>
  <c r="AN200" i="1" s="1"/>
  <c r="AH200" i="1"/>
  <c r="AF200" i="1"/>
  <c r="AE200" i="1"/>
  <c r="AC200" i="1"/>
  <c r="AA200" i="1"/>
  <c r="Z200" i="1"/>
  <c r="Y200" i="1"/>
  <c r="X200" i="1"/>
  <c r="W200" i="1"/>
  <c r="P200" i="1"/>
  <c r="O200" i="1"/>
  <c r="AD200" i="1" s="1"/>
  <c r="N200" i="1"/>
  <c r="M200" i="1"/>
  <c r="AU199" i="1"/>
  <c r="AR199" i="1"/>
  <c r="AP199" i="1"/>
  <c r="AN199" i="1"/>
  <c r="AI199" i="1"/>
  <c r="AH199" i="1"/>
  <c r="AF199" i="1"/>
  <c r="AE199" i="1"/>
  <c r="AD199" i="1"/>
  <c r="AB199" i="1"/>
  <c r="AA199" i="1"/>
  <c r="Z199" i="1"/>
  <c r="Y199" i="1"/>
  <c r="X199" i="1"/>
  <c r="W199" i="1"/>
  <c r="P199" i="1"/>
  <c r="O199" i="1"/>
  <c r="AQ199" i="1" s="1"/>
  <c r="N199" i="1"/>
  <c r="M199" i="1"/>
  <c r="AV198" i="1"/>
  <c r="AU198" i="1"/>
  <c r="AT198" i="1"/>
  <c r="AP198" i="1"/>
  <c r="AO198" i="1"/>
  <c r="AJ198" i="1"/>
  <c r="AI198" i="1"/>
  <c r="AN198" i="1" s="1"/>
  <c r="AH198" i="1"/>
  <c r="AF198" i="1"/>
  <c r="AE198" i="1"/>
  <c r="AC198" i="1"/>
  <c r="AA198" i="1"/>
  <c r="Z198" i="1"/>
  <c r="Y198" i="1"/>
  <c r="X198" i="1"/>
  <c r="W198" i="1"/>
  <c r="P198" i="1"/>
  <c r="O198" i="1"/>
  <c r="AD198" i="1" s="1"/>
  <c r="N198" i="1"/>
  <c r="M198" i="1"/>
  <c r="AU197" i="1"/>
  <c r="AR197" i="1"/>
  <c r="AP197" i="1"/>
  <c r="AN197" i="1"/>
  <c r="AI197" i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M197" i="1"/>
  <c r="AU196" i="1"/>
  <c r="AT196" i="1"/>
  <c r="AQ196" i="1"/>
  <c r="AP196" i="1"/>
  <c r="AO196" i="1"/>
  <c r="AN196" i="1"/>
  <c r="AJ196" i="1"/>
  <c r="AI196" i="1"/>
  <c r="AH196" i="1"/>
  <c r="AF196" i="1"/>
  <c r="AE196" i="1"/>
  <c r="AC196" i="1"/>
  <c r="AA196" i="1"/>
  <c r="Z196" i="1"/>
  <c r="Y196" i="1"/>
  <c r="X196" i="1"/>
  <c r="W196" i="1"/>
  <c r="P196" i="1"/>
  <c r="O196" i="1"/>
  <c r="AD196" i="1" s="1"/>
  <c r="N196" i="1"/>
  <c r="M196" i="1"/>
  <c r="AU195" i="1"/>
  <c r="AR195" i="1"/>
  <c r="AP195" i="1"/>
  <c r="AI195" i="1"/>
  <c r="AH195" i="1"/>
  <c r="AF195" i="1"/>
  <c r="AE195" i="1"/>
  <c r="AD195" i="1"/>
  <c r="AB195" i="1"/>
  <c r="AA195" i="1"/>
  <c r="Z195" i="1"/>
  <c r="Y195" i="1"/>
  <c r="X195" i="1"/>
  <c r="W195" i="1"/>
  <c r="P195" i="1"/>
  <c r="O195" i="1"/>
  <c r="AQ195" i="1" s="1"/>
  <c r="N195" i="1"/>
  <c r="M195" i="1"/>
  <c r="AU194" i="1"/>
  <c r="AR194" i="1"/>
  <c r="AQ194" i="1"/>
  <c r="AP194" i="1"/>
  <c r="AJ194" i="1"/>
  <c r="AI194" i="1"/>
  <c r="AN194" i="1" s="1"/>
  <c r="AH194" i="1"/>
  <c r="AF194" i="1"/>
  <c r="AE194" i="1"/>
  <c r="AA194" i="1"/>
  <c r="Z194" i="1"/>
  <c r="Y194" i="1"/>
  <c r="X194" i="1"/>
  <c r="W194" i="1"/>
  <c r="P194" i="1"/>
  <c r="O194" i="1"/>
  <c r="AD194" i="1" s="1"/>
  <c r="N194" i="1"/>
  <c r="AO194" i="1" s="1"/>
  <c r="M194" i="1"/>
  <c r="AB194" i="1" s="1"/>
  <c r="AU193" i="1"/>
  <c r="AT193" i="1"/>
  <c r="AP193" i="1"/>
  <c r="AO193" i="1"/>
  <c r="AV193" i="1" s="1"/>
  <c r="AJ193" i="1"/>
  <c r="AI193" i="1"/>
  <c r="AN193" i="1" s="1"/>
  <c r="AH193" i="1"/>
  <c r="AF193" i="1"/>
  <c r="AE193" i="1"/>
  <c r="AA193" i="1"/>
  <c r="Z193" i="1"/>
  <c r="Y193" i="1"/>
  <c r="X193" i="1"/>
  <c r="W193" i="1"/>
  <c r="P193" i="1"/>
  <c r="O193" i="1"/>
  <c r="AD193" i="1" s="1"/>
  <c r="N193" i="1"/>
  <c r="AC193" i="1" s="1"/>
  <c r="M193" i="1"/>
  <c r="AR193" i="1" s="1"/>
  <c r="AU192" i="1"/>
  <c r="AR192" i="1"/>
  <c r="AP192" i="1"/>
  <c r="AI192" i="1"/>
  <c r="AN192" i="1" s="1"/>
  <c r="AH192" i="1"/>
  <c r="AF192" i="1"/>
  <c r="AE192" i="1"/>
  <c r="AB192" i="1"/>
  <c r="AA192" i="1"/>
  <c r="Z192" i="1"/>
  <c r="Y192" i="1"/>
  <c r="X192" i="1"/>
  <c r="W192" i="1"/>
  <c r="P192" i="1"/>
  <c r="O192" i="1"/>
  <c r="AD192" i="1" s="1"/>
  <c r="N192" i="1"/>
  <c r="AO192" i="1" s="1"/>
  <c r="M192" i="1"/>
  <c r="AU191" i="1"/>
  <c r="AT191" i="1"/>
  <c r="AP191" i="1"/>
  <c r="AO191" i="1"/>
  <c r="AJ191" i="1"/>
  <c r="AI191" i="1"/>
  <c r="AN191" i="1" s="1"/>
  <c r="AH191" i="1"/>
  <c r="AF191" i="1"/>
  <c r="AE191" i="1"/>
  <c r="AC191" i="1"/>
  <c r="AA191" i="1"/>
  <c r="Z191" i="1"/>
  <c r="Y191" i="1"/>
  <c r="X191" i="1"/>
  <c r="W191" i="1"/>
  <c r="P191" i="1"/>
  <c r="O191" i="1"/>
  <c r="AD191" i="1" s="1"/>
  <c r="N191" i="1"/>
  <c r="M191" i="1"/>
  <c r="AR191" i="1" s="1"/>
  <c r="AU190" i="1"/>
  <c r="AR190" i="1"/>
  <c r="AP190" i="1"/>
  <c r="AI190" i="1"/>
  <c r="AN190" i="1" s="1"/>
  <c r="AH190" i="1"/>
  <c r="AF190" i="1"/>
  <c r="AE190" i="1"/>
  <c r="AD190" i="1"/>
  <c r="AB190" i="1"/>
  <c r="AA190" i="1"/>
  <c r="Z190" i="1"/>
  <c r="Y190" i="1"/>
  <c r="X190" i="1"/>
  <c r="W190" i="1"/>
  <c r="P190" i="1"/>
  <c r="O190" i="1"/>
  <c r="AQ190" i="1" s="1"/>
  <c r="N190" i="1"/>
  <c r="AO190" i="1" s="1"/>
  <c r="M190" i="1"/>
  <c r="AU189" i="1"/>
  <c r="AT189" i="1"/>
  <c r="AP189" i="1"/>
  <c r="AO189" i="1"/>
  <c r="AV189" i="1" s="1"/>
  <c r="AN189" i="1"/>
  <c r="AJ189" i="1"/>
  <c r="AI189" i="1"/>
  <c r="AH189" i="1"/>
  <c r="AF189" i="1"/>
  <c r="AE189" i="1"/>
  <c r="AC189" i="1"/>
  <c r="AA189" i="1"/>
  <c r="Z189" i="1"/>
  <c r="Y189" i="1"/>
  <c r="X189" i="1"/>
  <c r="W189" i="1"/>
  <c r="P189" i="1"/>
  <c r="O189" i="1"/>
  <c r="AQ189" i="1" s="1"/>
  <c r="N189" i="1"/>
  <c r="M189" i="1"/>
  <c r="AR189" i="1" s="1"/>
  <c r="AU188" i="1"/>
  <c r="AR188" i="1"/>
  <c r="AP188" i="1"/>
  <c r="AN188" i="1"/>
  <c r="AI188" i="1"/>
  <c r="AT188" i="1" s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T187" i="1"/>
  <c r="AP187" i="1"/>
  <c r="AO187" i="1"/>
  <c r="AV187" i="1" s="1"/>
  <c r="AJ187" i="1"/>
  <c r="AI187" i="1"/>
  <c r="AN187" i="1" s="1"/>
  <c r="AH187" i="1"/>
  <c r="AF187" i="1"/>
  <c r="AE187" i="1"/>
  <c r="AC187" i="1"/>
  <c r="AA187" i="1"/>
  <c r="Z187" i="1"/>
  <c r="Y187" i="1"/>
  <c r="X187" i="1"/>
  <c r="W187" i="1"/>
  <c r="P187" i="1"/>
  <c r="O187" i="1"/>
  <c r="AD187" i="1" s="1"/>
  <c r="N187" i="1"/>
  <c r="M187" i="1"/>
  <c r="AR187" i="1" s="1"/>
  <c r="AU186" i="1"/>
  <c r="AR186" i="1"/>
  <c r="AP186" i="1"/>
  <c r="AI186" i="1"/>
  <c r="AN186" i="1" s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AO186" i="1" s="1"/>
  <c r="AV186" i="1" s="1"/>
  <c r="M186" i="1"/>
  <c r="AU185" i="1"/>
  <c r="AT185" i="1"/>
  <c r="AP185" i="1"/>
  <c r="AO185" i="1"/>
  <c r="AV185" i="1" s="1"/>
  <c r="AJ185" i="1"/>
  <c r="AI185" i="1"/>
  <c r="AN185" i="1" s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M185" i="1"/>
  <c r="AR185" i="1" s="1"/>
  <c r="AU184" i="1"/>
  <c r="AR184" i="1"/>
  <c r="AP184" i="1"/>
  <c r="AI184" i="1"/>
  <c r="AN184" i="1" s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U183" i="1"/>
  <c r="AT183" i="1"/>
  <c r="AP183" i="1"/>
  <c r="AO183" i="1"/>
  <c r="AV183" i="1" s="1"/>
  <c r="AN183" i="1"/>
  <c r="AJ183" i="1"/>
  <c r="AI183" i="1"/>
  <c r="AH183" i="1"/>
  <c r="AF183" i="1"/>
  <c r="AE183" i="1"/>
  <c r="AC183" i="1"/>
  <c r="AA183" i="1"/>
  <c r="Z183" i="1"/>
  <c r="Y183" i="1"/>
  <c r="X183" i="1"/>
  <c r="W183" i="1"/>
  <c r="P183" i="1"/>
  <c r="O183" i="1"/>
  <c r="AQ183" i="1" s="1"/>
  <c r="N183" i="1"/>
  <c r="M183" i="1"/>
  <c r="AR183" i="1" s="1"/>
  <c r="AU182" i="1"/>
  <c r="AR182" i="1"/>
  <c r="AP182" i="1"/>
  <c r="AN182" i="1"/>
  <c r="AI182" i="1"/>
  <c r="AT182" i="1" s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AC182" i="1" s="1"/>
  <c r="M182" i="1"/>
  <c r="AU181" i="1"/>
  <c r="AT181" i="1"/>
  <c r="AP181" i="1"/>
  <c r="AO181" i="1"/>
  <c r="AV181" i="1" s="1"/>
  <c r="AN181" i="1"/>
  <c r="AJ181" i="1"/>
  <c r="AI181" i="1"/>
  <c r="AH181" i="1"/>
  <c r="AF181" i="1"/>
  <c r="AE181" i="1"/>
  <c r="AC181" i="1"/>
  <c r="AA181" i="1"/>
  <c r="Z181" i="1"/>
  <c r="Y181" i="1"/>
  <c r="X181" i="1"/>
  <c r="W181" i="1"/>
  <c r="P181" i="1"/>
  <c r="O181" i="1"/>
  <c r="AD181" i="1" s="1"/>
  <c r="N181" i="1"/>
  <c r="M181" i="1"/>
  <c r="AR181" i="1" s="1"/>
  <c r="AU180" i="1"/>
  <c r="AR180" i="1"/>
  <c r="AP180" i="1"/>
  <c r="AI180" i="1"/>
  <c r="AN180" i="1" s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AO180" i="1" s="1"/>
  <c r="M180" i="1"/>
  <c r="AU179" i="1"/>
  <c r="AT179" i="1"/>
  <c r="AP179" i="1"/>
  <c r="AO179" i="1"/>
  <c r="AJ179" i="1"/>
  <c r="AI179" i="1"/>
  <c r="AN179" i="1" s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R179" i="1" s="1"/>
  <c r="AU178" i="1"/>
  <c r="AR178" i="1"/>
  <c r="AP178" i="1"/>
  <c r="AI178" i="1"/>
  <c r="AN178" i="1" s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AO178" i="1" s="1"/>
  <c r="M178" i="1"/>
  <c r="AU177" i="1"/>
  <c r="AT177" i="1"/>
  <c r="AP177" i="1"/>
  <c r="AO177" i="1"/>
  <c r="AV177" i="1" s="1"/>
  <c r="AJ177" i="1"/>
  <c r="AI177" i="1"/>
  <c r="AN177" i="1" s="1"/>
  <c r="AH177" i="1"/>
  <c r="AF177" i="1"/>
  <c r="AE177" i="1"/>
  <c r="AC177" i="1"/>
  <c r="AA177" i="1"/>
  <c r="Z177" i="1"/>
  <c r="Y177" i="1"/>
  <c r="X177" i="1"/>
  <c r="W177" i="1"/>
  <c r="P177" i="1"/>
  <c r="O177" i="1"/>
  <c r="AQ177" i="1" s="1"/>
  <c r="N177" i="1"/>
  <c r="M177" i="1"/>
  <c r="AR177" i="1" s="1"/>
  <c r="AU176" i="1"/>
  <c r="AR176" i="1"/>
  <c r="AP176" i="1"/>
  <c r="AN176" i="1"/>
  <c r="AI176" i="1"/>
  <c r="AT176" i="1" s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AC176" i="1" s="1"/>
  <c r="M176" i="1"/>
  <c r="AU175" i="1"/>
  <c r="AT175" i="1"/>
  <c r="AP175" i="1"/>
  <c r="AO175" i="1"/>
  <c r="AV175" i="1" s="1"/>
  <c r="AN175" i="1"/>
  <c r="AJ175" i="1"/>
  <c r="AI175" i="1"/>
  <c r="AH175" i="1"/>
  <c r="AF175" i="1"/>
  <c r="AE175" i="1"/>
  <c r="AC175" i="1"/>
  <c r="AA175" i="1"/>
  <c r="Z175" i="1"/>
  <c r="Y175" i="1"/>
  <c r="X175" i="1"/>
  <c r="W175" i="1"/>
  <c r="P175" i="1"/>
  <c r="O175" i="1"/>
  <c r="AD175" i="1" s="1"/>
  <c r="N175" i="1"/>
  <c r="M175" i="1"/>
  <c r="AR175" i="1" s="1"/>
  <c r="AU174" i="1"/>
  <c r="AR174" i="1"/>
  <c r="AP174" i="1"/>
  <c r="AI174" i="1"/>
  <c r="AN174" i="1" s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AO174" i="1" s="1"/>
  <c r="AV174" i="1" s="1"/>
  <c r="M174" i="1"/>
  <c r="AU173" i="1"/>
  <c r="AT173" i="1"/>
  <c r="AP173" i="1"/>
  <c r="AO173" i="1"/>
  <c r="AJ173" i="1"/>
  <c r="AI173" i="1"/>
  <c r="AN173" i="1" s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R173" i="1" s="1"/>
  <c r="AU172" i="1"/>
  <c r="AR172" i="1"/>
  <c r="AP172" i="1"/>
  <c r="AI172" i="1"/>
  <c r="AN172" i="1" s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AO172" i="1" s="1"/>
  <c r="M172" i="1"/>
  <c r="AU171" i="1"/>
  <c r="AT171" i="1"/>
  <c r="AP171" i="1"/>
  <c r="AO171" i="1"/>
  <c r="AJ171" i="1"/>
  <c r="AI171" i="1"/>
  <c r="AN171" i="1" s="1"/>
  <c r="AH171" i="1"/>
  <c r="AF171" i="1"/>
  <c r="AE171" i="1"/>
  <c r="AC171" i="1"/>
  <c r="AA171" i="1"/>
  <c r="Z171" i="1"/>
  <c r="Y171" i="1"/>
  <c r="X171" i="1"/>
  <c r="W171" i="1"/>
  <c r="P171" i="1"/>
  <c r="O171" i="1"/>
  <c r="AQ171" i="1" s="1"/>
  <c r="N171" i="1"/>
  <c r="M171" i="1"/>
  <c r="AR171" i="1" s="1"/>
  <c r="AU170" i="1"/>
  <c r="AR170" i="1"/>
  <c r="AP170" i="1"/>
  <c r="AN170" i="1"/>
  <c r="AI170" i="1"/>
  <c r="AT170" i="1" s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AC170" i="1" s="1"/>
  <c r="M170" i="1"/>
  <c r="AU169" i="1"/>
  <c r="AT169" i="1"/>
  <c r="AP169" i="1"/>
  <c r="AO169" i="1"/>
  <c r="AV169" i="1" s="1"/>
  <c r="AN169" i="1"/>
  <c r="AJ169" i="1"/>
  <c r="AI169" i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M169" i="1"/>
  <c r="AR169" i="1" s="1"/>
  <c r="AU168" i="1"/>
  <c r="AR168" i="1"/>
  <c r="AP168" i="1"/>
  <c r="AI168" i="1"/>
  <c r="AN168" i="1" s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AO168" i="1" s="1"/>
  <c r="AV168" i="1" s="1"/>
  <c r="M168" i="1"/>
  <c r="AU167" i="1"/>
  <c r="AT167" i="1"/>
  <c r="AP167" i="1"/>
  <c r="AO167" i="1"/>
  <c r="AV167" i="1" s="1"/>
  <c r="AJ167" i="1"/>
  <c r="AI167" i="1"/>
  <c r="AN167" i="1" s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R167" i="1" s="1"/>
  <c r="AU166" i="1"/>
  <c r="AR166" i="1"/>
  <c r="AP166" i="1"/>
  <c r="AI166" i="1"/>
  <c r="AN166" i="1" s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O166" i="1" s="1"/>
  <c r="M166" i="1"/>
  <c r="AU165" i="1"/>
  <c r="AT165" i="1"/>
  <c r="AP165" i="1"/>
  <c r="AO165" i="1"/>
  <c r="AV165" i="1" s="1"/>
  <c r="AJ165" i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Q165" i="1" s="1"/>
  <c r="N165" i="1"/>
  <c r="M165" i="1"/>
  <c r="AR165" i="1" s="1"/>
  <c r="AU164" i="1"/>
  <c r="AR164" i="1"/>
  <c r="AP164" i="1"/>
  <c r="AN164" i="1"/>
  <c r="AI164" i="1"/>
  <c r="AT164" i="1" s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Q163" i="1"/>
  <c r="AP163" i="1"/>
  <c r="AO163" i="1"/>
  <c r="AV163" i="1" s="1"/>
  <c r="AN163" i="1"/>
  <c r="AJ163" i="1"/>
  <c r="AI163" i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M163" i="1"/>
  <c r="AU162" i="1"/>
  <c r="AR162" i="1"/>
  <c r="AP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M162" i="1"/>
  <c r="AU161" i="1"/>
  <c r="AT161" i="1"/>
  <c r="AP161" i="1"/>
  <c r="AO161" i="1"/>
  <c r="AV161" i="1" s="1"/>
  <c r="AJ161" i="1"/>
  <c r="AI161" i="1"/>
  <c r="AN161" i="1" s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R161" i="1" s="1"/>
  <c r="AU160" i="1"/>
  <c r="AR160" i="1"/>
  <c r="AP160" i="1"/>
  <c r="AN160" i="1"/>
  <c r="AI160" i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AO160" i="1" s="1"/>
  <c r="AV160" i="1" s="1"/>
  <c r="M160" i="1"/>
  <c r="AU159" i="1"/>
  <c r="AT159" i="1"/>
  <c r="AP159" i="1"/>
  <c r="AO159" i="1"/>
  <c r="AV159" i="1" s="1"/>
  <c r="AJ159" i="1"/>
  <c r="AI159" i="1"/>
  <c r="AN159" i="1" s="1"/>
  <c r="AH159" i="1"/>
  <c r="AF159" i="1"/>
  <c r="AE159" i="1"/>
  <c r="AC159" i="1"/>
  <c r="AA159" i="1"/>
  <c r="Z159" i="1"/>
  <c r="Y159" i="1"/>
  <c r="X159" i="1"/>
  <c r="W159" i="1"/>
  <c r="P159" i="1"/>
  <c r="O159" i="1"/>
  <c r="AQ159" i="1" s="1"/>
  <c r="N159" i="1"/>
  <c r="M159" i="1"/>
  <c r="AU158" i="1"/>
  <c r="AR158" i="1"/>
  <c r="AP158" i="1"/>
  <c r="AN158" i="1"/>
  <c r="AI158" i="1"/>
  <c r="AT158" i="1" s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P157" i="1"/>
  <c r="AO157" i="1"/>
  <c r="AV157" i="1" s="1"/>
  <c r="AN157" i="1"/>
  <c r="AJ157" i="1"/>
  <c r="AI157" i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U156" i="1"/>
  <c r="AR156" i="1"/>
  <c r="AP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Q155" i="1"/>
  <c r="AP155" i="1"/>
  <c r="AO155" i="1"/>
  <c r="AV155" i="1" s="1"/>
  <c r="AN155" i="1"/>
  <c r="AJ155" i="1"/>
  <c r="AI155" i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U154" i="1"/>
  <c r="AR154" i="1"/>
  <c r="AP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M154" i="1"/>
  <c r="AU153" i="1"/>
  <c r="AT153" i="1"/>
  <c r="AQ153" i="1"/>
  <c r="AP153" i="1"/>
  <c r="AO153" i="1"/>
  <c r="AV153" i="1" s="1"/>
  <c r="AJ153" i="1"/>
  <c r="AI153" i="1"/>
  <c r="AN153" i="1" s="1"/>
  <c r="AH153" i="1"/>
  <c r="AF153" i="1"/>
  <c r="AE153" i="1"/>
  <c r="AC153" i="1"/>
  <c r="AA153" i="1"/>
  <c r="Z153" i="1"/>
  <c r="Y153" i="1"/>
  <c r="X153" i="1"/>
  <c r="W153" i="1"/>
  <c r="P153" i="1"/>
  <c r="O153" i="1"/>
  <c r="AD153" i="1" s="1"/>
  <c r="N153" i="1"/>
  <c r="M153" i="1"/>
  <c r="AU152" i="1"/>
  <c r="AR152" i="1"/>
  <c r="AP152" i="1"/>
  <c r="AI152" i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P151" i="1"/>
  <c r="AO151" i="1"/>
  <c r="AV151" i="1" s="1"/>
  <c r="AN151" i="1"/>
  <c r="AJ151" i="1"/>
  <c r="AI151" i="1"/>
  <c r="AH151" i="1"/>
  <c r="AF151" i="1"/>
  <c r="AE151" i="1"/>
  <c r="AC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N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O149" i="1"/>
  <c r="AN149" i="1"/>
  <c r="AJ149" i="1"/>
  <c r="AI149" i="1"/>
  <c r="AH149" i="1"/>
  <c r="AF149" i="1"/>
  <c r="AE149" i="1"/>
  <c r="AD149" i="1"/>
  <c r="AC149" i="1"/>
  <c r="AA149" i="1"/>
  <c r="Z149" i="1"/>
  <c r="Y149" i="1"/>
  <c r="X149" i="1"/>
  <c r="W149" i="1"/>
  <c r="P149" i="1"/>
  <c r="O149" i="1"/>
  <c r="AQ149" i="1" s="1"/>
  <c r="N149" i="1"/>
  <c r="M149" i="1"/>
  <c r="AU148" i="1"/>
  <c r="AP148" i="1"/>
  <c r="AI148" i="1"/>
  <c r="AH148" i="1"/>
  <c r="AF148" i="1"/>
  <c r="AE148" i="1"/>
  <c r="AA148" i="1"/>
  <c r="Z148" i="1"/>
  <c r="Y148" i="1"/>
  <c r="X148" i="1"/>
  <c r="W148" i="1"/>
  <c r="P148" i="1"/>
  <c r="O148" i="1"/>
  <c r="AQ148" i="1" s="1"/>
  <c r="N148" i="1"/>
  <c r="AC148" i="1" s="1"/>
  <c r="M148" i="1"/>
  <c r="AB148" i="1" s="1"/>
  <c r="AU147" i="1"/>
  <c r="AR147" i="1"/>
  <c r="AQ147" i="1"/>
  <c r="AP147" i="1"/>
  <c r="AJ147" i="1"/>
  <c r="AI147" i="1"/>
  <c r="AN147" i="1" s="1"/>
  <c r="AH147" i="1"/>
  <c r="AF147" i="1"/>
  <c r="AE147" i="1"/>
  <c r="AA147" i="1"/>
  <c r="Z147" i="1"/>
  <c r="Y147" i="1"/>
  <c r="X147" i="1"/>
  <c r="W147" i="1"/>
  <c r="P147" i="1"/>
  <c r="O147" i="1"/>
  <c r="AD147" i="1" s="1"/>
  <c r="N147" i="1"/>
  <c r="AO147" i="1" s="1"/>
  <c r="M147" i="1"/>
  <c r="AB147" i="1" s="1"/>
  <c r="AU146" i="1"/>
  <c r="AR146" i="1"/>
  <c r="AP146" i="1"/>
  <c r="AN146" i="1"/>
  <c r="AJ146" i="1"/>
  <c r="AI146" i="1"/>
  <c r="AT146" i="1" s="1"/>
  <c r="AH146" i="1"/>
  <c r="AF146" i="1"/>
  <c r="AE146" i="1"/>
  <c r="AD146" i="1"/>
  <c r="AC146" i="1"/>
  <c r="AB146" i="1"/>
  <c r="AA146" i="1"/>
  <c r="Z146" i="1"/>
  <c r="Y146" i="1"/>
  <c r="X146" i="1"/>
  <c r="W146" i="1"/>
  <c r="P146" i="1"/>
  <c r="O146" i="1"/>
  <c r="AQ146" i="1" s="1"/>
  <c r="N146" i="1"/>
  <c r="AO146" i="1" s="1"/>
  <c r="M146" i="1"/>
  <c r="AU145" i="1"/>
  <c r="AP145" i="1"/>
  <c r="AO145" i="1"/>
  <c r="AV145" i="1" s="1"/>
  <c r="AN145" i="1"/>
  <c r="AI145" i="1"/>
  <c r="AT145" i="1" s="1"/>
  <c r="AH145" i="1"/>
  <c r="AF145" i="1"/>
  <c r="AE145" i="1"/>
  <c r="AD145" i="1"/>
  <c r="AC145" i="1"/>
  <c r="AA145" i="1"/>
  <c r="Z145" i="1"/>
  <c r="Y145" i="1"/>
  <c r="X145" i="1"/>
  <c r="W145" i="1"/>
  <c r="P145" i="1"/>
  <c r="O145" i="1"/>
  <c r="AQ145" i="1" s="1"/>
  <c r="N145" i="1"/>
  <c r="M145" i="1"/>
  <c r="AR145" i="1" s="1"/>
  <c r="AU144" i="1"/>
  <c r="AP144" i="1"/>
  <c r="AN144" i="1"/>
  <c r="AI144" i="1"/>
  <c r="AJ144" i="1" s="1"/>
  <c r="AH144" i="1"/>
  <c r="AF144" i="1"/>
  <c r="AE144" i="1"/>
  <c r="AD144" i="1"/>
  <c r="AA144" i="1"/>
  <c r="Z144" i="1"/>
  <c r="Y144" i="1"/>
  <c r="X144" i="1"/>
  <c r="W144" i="1"/>
  <c r="P144" i="1"/>
  <c r="O144" i="1"/>
  <c r="AQ144" i="1" s="1"/>
  <c r="N144" i="1"/>
  <c r="AO144" i="1" s="1"/>
  <c r="M144" i="1"/>
  <c r="AR144" i="1" s="1"/>
  <c r="AU143" i="1"/>
  <c r="AP143" i="1"/>
  <c r="AN143" i="1"/>
  <c r="AI143" i="1"/>
  <c r="AJ143" i="1" s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AO143" i="1" s="1"/>
  <c r="M143" i="1"/>
  <c r="AR143" i="1" s="1"/>
  <c r="AU142" i="1"/>
  <c r="AT142" i="1"/>
  <c r="AP142" i="1"/>
  <c r="AO142" i="1"/>
  <c r="AV142" i="1" s="1"/>
  <c r="AJ142" i="1"/>
  <c r="AI142" i="1"/>
  <c r="AN142" i="1" s="1"/>
  <c r="AH142" i="1"/>
  <c r="AF142" i="1"/>
  <c r="AE142" i="1"/>
  <c r="AA142" i="1"/>
  <c r="Z142" i="1"/>
  <c r="Y142" i="1"/>
  <c r="X142" i="1"/>
  <c r="W142" i="1"/>
  <c r="P142" i="1"/>
  <c r="O142" i="1"/>
  <c r="AQ142" i="1" s="1"/>
  <c r="N142" i="1"/>
  <c r="AC142" i="1" s="1"/>
  <c r="M142" i="1"/>
  <c r="AR142" i="1" s="1"/>
  <c r="AU141" i="1"/>
  <c r="AR141" i="1"/>
  <c r="AP141" i="1"/>
  <c r="AI141" i="1"/>
  <c r="AT141" i="1" s="1"/>
  <c r="AH141" i="1"/>
  <c r="AF141" i="1"/>
  <c r="AE141" i="1"/>
  <c r="AB141" i="1"/>
  <c r="AA141" i="1"/>
  <c r="Z141" i="1"/>
  <c r="Y141" i="1"/>
  <c r="X141" i="1"/>
  <c r="W141" i="1"/>
  <c r="P141" i="1"/>
  <c r="O141" i="1"/>
  <c r="AQ141" i="1" s="1"/>
  <c r="N141" i="1"/>
  <c r="AC141" i="1" s="1"/>
  <c r="M141" i="1"/>
  <c r="AU140" i="1"/>
  <c r="AT140" i="1"/>
  <c r="AR140" i="1"/>
  <c r="AP140" i="1"/>
  <c r="AO140" i="1"/>
  <c r="AV140" i="1" s="1"/>
  <c r="AJ140" i="1"/>
  <c r="AI140" i="1"/>
  <c r="AN140" i="1" s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AD140" i="1" s="1"/>
  <c r="N140" i="1"/>
  <c r="M140" i="1"/>
  <c r="AU139" i="1"/>
  <c r="AR139" i="1"/>
  <c r="AP139" i="1"/>
  <c r="AN139" i="1"/>
  <c r="AI139" i="1"/>
  <c r="AT139" i="1" s="1"/>
  <c r="AH139" i="1"/>
  <c r="AF139" i="1"/>
  <c r="AE139" i="1"/>
  <c r="AD139" i="1"/>
  <c r="AC139" i="1"/>
  <c r="AB139" i="1"/>
  <c r="AA139" i="1"/>
  <c r="Z139" i="1"/>
  <c r="Y139" i="1"/>
  <c r="X139" i="1"/>
  <c r="W139" i="1"/>
  <c r="P139" i="1"/>
  <c r="O139" i="1"/>
  <c r="AQ139" i="1" s="1"/>
  <c r="N139" i="1"/>
  <c r="AO139" i="1" s="1"/>
  <c r="AV139" i="1" s="1"/>
  <c r="M139" i="1"/>
  <c r="AU138" i="1"/>
  <c r="AT138" i="1"/>
  <c r="AP138" i="1"/>
  <c r="AO138" i="1"/>
  <c r="AV138" i="1" s="1"/>
  <c r="AN138" i="1"/>
  <c r="AJ138" i="1"/>
  <c r="AI138" i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M138" i="1"/>
  <c r="AR138" i="1" s="1"/>
  <c r="AU137" i="1"/>
  <c r="AP137" i="1"/>
  <c r="AN137" i="1"/>
  <c r="AI137" i="1"/>
  <c r="AT137" i="1" s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AO137" i="1" s="1"/>
  <c r="AV137" i="1" s="1"/>
  <c r="M137" i="1"/>
  <c r="AR137" i="1" s="1"/>
  <c r="AU136" i="1"/>
  <c r="AT136" i="1"/>
  <c r="AP136" i="1"/>
  <c r="AO136" i="1"/>
  <c r="AV136" i="1" s="1"/>
  <c r="AJ136" i="1"/>
  <c r="AI136" i="1"/>
  <c r="AN136" i="1" s="1"/>
  <c r="AH136" i="1"/>
  <c r="AF136" i="1"/>
  <c r="AE136" i="1"/>
  <c r="AA136" i="1"/>
  <c r="Z136" i="1"/>
  <c r="Y136" i="1"/>
  <c r="X136" i="1"/>
  <c r="W136" i="1"/>
  <c r="P136" i="1"/>
  <c r="O136" i="1"/>
  <c r="AQ136" i="1" s="1"/>
  <c r="N136" i="1"/>
  <c r="AC136" i="1" s="1"/>
  <c r="M136" i="1"/>
  <c r="AR136" i="1" s="1"/>
  <c r="AU135" i="1"/>
  <c r="AR135" i="1"/>
  <c r="AP135" i="1"/>
  <c r="AI135" i="1"/>
  <c r="AT135" i="1" s="1"/>
  <c r="AH135" i="1"/>
  <c r="AF135" i="1"/>
  <c r="AE135" i="1"/>
  <c r="AB135" i="1"/>
  <c r="AA135" i="1"/>
  <c r="Z135" i="1"/>
  <c r="Y135" i="1"/>
  <c r="X135" i="1"/>
  <c r="W135" i="1"/>
  <c r="P135" i="1"/>
  <c r="O135" i="1"/>
  <c r="AQ135" i="1" s="1"/>
  <c r="N135" i="1"/>
  <c r="AC135" i="1" s="1"/>
  <c r="M135" i="1"/>
  <c r="AU134" i="1"/>
  <c r="AT134" i="1"/>
  <c r="AR134" i="1"/>
  <c r="AP134" i="1"/>
  <c r="AO134" i="1"/>
  <c r="AV134" i="1" s="1"/>
  <c r="AJ134" i="1"/>
  <c r="AI134" i="1"/>
  <c r="AN134" i="1" s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D134" i="1" s="1"/>
  <c r="N134" i="1"/>
  <c r="M134" i="1"/>
  <c r="AU133" i="1"/>
  <c r="AR133" i="1"/>
  <c r="AP133" i="1"/>
  <c r="AN133" i="1"/>
  <c r="AI133" i="1"/>
  <c r="AT133" i="1" s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AO133" i="1" s="1"/>
  <c r="AV133" i="1" s="1"/>
  <c r="M133" i="1"/>
  <c r="AU132" i="1"/>
  <c r="AT132" i="1"/>
  <c r="AP132" i="1"/>
  <c r="AO132" i="1"/>
  <c r="AN132" i="1"/>
  <c r="AJ132" i="1"/>
  <c r="AI132" i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M132" i="1"/>
  <c r="AR132" i="1" s="1"/>
  <c r="AU131" i="1"/>
  <c r="AP131" i="1"/>
  <c r="AN131" i="1"/>
  <c r="AI131" i="1"/>
  <c r="AT131" i="1" s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O131" i="1" s="1"/>
  <c r="AV131" i="1" s="1"/>
  <c r="M131" i="1"/>
  <c r="AR131" i="1" s="1"/>
  <c r="AU130" i="1"/>
  <c r="AT130" i="1"/>
  <c r="AP130" i="1"/>
  <c r="AO130" i="1"/>
  <c r="AV130" i="1" s="1"/>
  <c r="AJ130" i="1"/>
  <c r="AI130" i="1"/>
  <c r="AN130" i="1" s="1"/>
  <c r="AH130" i="1"/>
  <c r="AF130" i="1"/>
  <c r="AE130" i="1"/>
  <c r="AA130" i="1"/>
  <c r="Z130" i="1"/>
  <c r="Y130" i="1"/>
  <c r="X130" i="1"/>
  <c r="W130" i="1"/>
  <c r="P130" i="1"/>
  <c r="O130" i="1"/>
  <c r="AQ130" i="1" s="1"/>
  <c r="N130" i="1"/>
  <c r="AC130" i="1" s="1"/>
  <c r="M130" i="1"/>
  <c r="AR130" i="1" s="1"/>
  <c r="AU129" i="1"/>
  <c r="AR129" i="1"/>
  <c r="AP129" i="1"/>
  <c r="AI129" i="1"/>
  <c r="AT129" i="1" s="1"/>
  <c r="AH129" i="1"/>
  <c r="AF129" i="1"/>
  <c r="AE129" i="1"/>
  <c r="AB129" i="1"/>
  <c r="AA129" i="1"/>
  <c r="Z129" i="1"/>
  <c r="Y129" i="1"/>
  <c r="X129" i="1"/>
  <c r="W129" i="1"/>
  <c r="P129" i="1"/>
  <c r="O129" i="1"/>
  <c r="AQ129" i="1" s="1"/>
  <c r="N129" i="1"/>
  <c r="AC129" i="1" s="1"/>
  <c r="M129" i="1"/>
  <c r="AU128" i="1"/>
  <c r="AT128" i="1"/>
  <c r="AR128" i="1"/>
  <c r="AP128" i="1"/>
  <c r="AO128" i="1"/>
  <c r="AV128" i="1" s="1"/>
  <c r="AJ128" i="1"/>
  <c r="AI128" i="1"/>
  <c r="AN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D128" i="1" s="1"/>
  <c r="N128" i="1"/>
  <c r="M128" i="1"/>
  <c r="AU127" i="1"/>
  <c r="AR127" i="1"/>
  <c r="AP127" i="1"/>
  <c r="AN127" i="1"/>
  <c r="AI127" i="1"/>
  <c r="AT127" i="1" s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AO127" i="1" s="1"/>
  <c r="AV127" i="1" s="1"/>
  <c r="M127" i="1"/>
  <c r="AU126" i="1"/>
  <c r="AT126" i="1"/>
  <c r="AP126" i="1"/>
  <c r="AO126" i="1"/>
  <c r="AN126" i="1"/>
  <c r="AJ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M126" i="1"/>
  <c r="AR126" i="1" s="1"/>
  <c r="AU125" i="1"/>
  <c r="AP125" i="1"/>
  <c r="AN125" i="1"/>
  <c r="AI125" i="1"/>
  <c r="AT125" i="1" s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O125" i="1" s="1"/>
  <c r="AV125" i="1" s="1"/>
  <c r="M125" i="1"/>
  <c r="AR125" i="1" s="1"/>
  <c r="AU124" i="1"/>
  <c r="AT124" i="1"/>
  <c r="AP124" i="1"/>
  <c r="AO124" i="1"/>
  <c r="AV124" i="1" s="1"/>
  <c r="AJ124" i="1"/>
  <c r="AI124" i="1"/>
  <c r="AN124" i="1" s="1"/>
  <c r="AH124" i="1"/>
  <c r="AF124" i="1"/>
  <c r="AE124" i="1"/>
  <c r="AA124" i="1"/>
  <c r="Z124" i="1"/>
  <c r="Y124" i="1"/>
  <c r="X124" i="1"/>
  <c r="W124" i="1"/>
  <c r="P124" i="1"/>
  <c r="O124" i="1"/>
  <c r="N124" i="1"/>
  <c r="AC124" i="1" s="1"/>
  <c r="M124" i="1"/>
  <c r="AR124" i="1" s="1"/>
  <c r="AU123" i="1"/>
  <c r="AR123" i="1"/>
  <c r="AP123" i="1"/>
  <c r="AI123" i="1"/>
  <c r="AH123" i="1"/>
  <c r="AF123" i="1"/>
  <c r="AE123" i="1"/>
  <c r="AB123" i="1"/>
  <c r="AA123" i="1"/>
  <c r="Z123" i="1"/>
  <c r="Y123" i="1"/>
  <c r="X123" i="1"/>
  <c r="W123" i="1"/>
  <c r="P123" i="1"/>
  <c r="O123" i="1"/>
  <c r="AQ123" i="1" s="1"/>
  <c r="N123" i="1"/>
  <c r="AC123" i="1" s="1"/>
  <c r="M123" i="1"/>
  <c r="AU122" i="1"/>
  <c r="AT122" i="1"/>
  <c r="AR122" i="1"/>
  <c r="AP122" i="1"/>
  <c r="AO122" i="1"/>
  <c r="AV122" i="1" s="1"/>
  <c r="AJ122" i="1"/>
  <c r="AI122" i="1"/>
  <c r="AN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D122" i="1" s="1"/>
  <c r="N122" i="1"/>
  <c r="M122" i="1"/>
  <c r="AU121" i="1"/>
  <c r="AR121" i="1"/>
  <c r="AP121" i="1"/>
  <c r="AN121" i="1"/>
  <c r="AI121" i="1"/>
  <c r="AT121" i="1" s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AO121" i="1" s="1"/>
  <c r="AV121" i="1" s="1"/>
  <c r="M121" i="1"/>
  <c r="AV120" i="1"/>
  <c r="AU120" i="1"/>
  <c r="AT120" i="1"/>
  <c r="AP120" i="1"/>
  <c r="AO120" i="1"/>
  <c r="AN120" i="1"/>
  <c r="AJ120" i="1"/>
  <c r="AI120" i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M120" i="1"/>
  <c r="AU119" i="1"/>
  <c r="AP119" i="1"/>
  <c r="AN119" i="1"/>
  <c r="AI119" i="1"/>
  <c r="AT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M119" i="1"/>
  <c r="AR119" i="1" s="1"/>
  <c r="AV118" i="1"/>
  <c r="AU118" i="1"/>
  <c r="AT118" i="1"/>
  <c r="AQ118" i="1"/>
  <c r="AP118" i="1"/>
  <c r="AO118" i="1"/>
  <c r="AJ118" i="1"/>
  <c r="AI118" i="1"/>
  <c r="AN118" i="1" s="1"/>
  <c r="AH118" i="1"/>
  <c r="AF118" i="1"/>
  <c r="AE118" i="1"/>
  <c r="AA118" i="1"/>
  <c r="Z118" i="1"/>
  <c r="Y118" i="1"/>
  <c r="X118" i="1"/>
  <c r="W118" i="1"/>
  <c r="P118" i="1"/>
  <c r="O118" i="1"/>
  <c r="AD118" i="1" s="1"/>
  <c r="N118" i="1"/>
  <c r="AC118" i="1" s="1"/>
  <c r="M118" i="1"/>
  <c r="AU117" i="1"/>
  <c r="AR117" i="1"/>
  <c r="AP117" i="1"/>
  <c r="AI117" i="1"/>
  <c r="AH117" i="1"/>
  <c r="AF117" i="1"/>
  <c r="AE117" i="1"/>
  <c r="AB117" i="1"/>
  <c r="AA117" i="1"/>
  <c r="Z117" i="1"/>
  <c r="Y117" i="1"/>
  <c r="X117" i="1"/>
  <c r="W117" i="1"/>
  <c r="P117" i="1"/>
  <c r="O117" i="1"/>
  <c r="AQ117" i="1" s="1"/>
  <c r="N117" i="1"/>
  <c r="M117" i="1"/>
  <c r="AU116" i="1"/>
  <c r="AT116" i="1"/>
  <c r="AR116" i="1"/>
  <c r="AP116" i="1"/>
  <c r="AO116" i="1"/>
  <c r="AV116" i="1" s="1"/>
  <c r="AJ116" i="1"/>
  <c r="AI116" i="1"/>
  <c r="AN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D116" i="1" s="1"/>
  <c r="N116" i="1"/>
  <c r="M116" i="1"/>
  <c r="AU115" i="1"/>
  <c r="AR115" i="1"/>
  <c r="AP115" i="1"/>
  <c r="AN115" i="1"/>
  <c r="AJ115" i="1"/>
  <c r="AI115" i="1"/>
  <c r="AT115" i="1" s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AO115" i="1" s="1"/>
  <c r="AV115" i="1" s="1"/>
  <c r="M115" i="1"/>
  <c r="AV114" i="1"/>
  <c r="AU114" i="1"/>
  <c r="AT114" i="1"/>
  <c r="AP114" i="1"/>
  <c r="AO114" i="1"/>
  <c r="AN114" i="1"/>
  <c r="AJ114" i="1"/>
  <c r="AI114" i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M114" i="1"/>
  <c r="AV113" i="1"/>
  <c r="AU113" i="1"/>
  <c r="AP113" i="1"/>
  <c r="AO113" i="1"/>
  <c r="AN113" i="1"/>
  <c r="AI113" i="1"/>
  <c r="AT113" i="1" s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AC113" i="1" s="1"/>
  <c r="M113" i="1"/>
  <c r="AU112" i="1"/>
  <c r="AT112" i="1"/>
  <c r="AP112" i="1"/>
  <c r="AJ112" i="1"/>
  <c r="AI112" i="1"/>
  <c r="AN112" i="1" s="1"/>
  <c r="AH112" i="1"/>
  <c r="AF112" i="1"/>
  <c r="AE112" i="1"/>
  <c r="AA112" i="1"/>
  <c r="Z112" i="1"/>
  <c r="Y112" i="1"/>
  <c r="X112" i="1"/>
  <c r="W112" i="1"/>
  <c r="P112" i="1"/>
  <c r="O112" i="1"/>
  <c r="AD112" i="1" s="1"/>
  <c r="N112" i="1"/>
  <c r="AC112" i="1" s="1"/>
  <c r="M112" i="1"/>
  <c r="AU111" i="1"/>
  <c r="AR111" i="1"/>
  <c r="AP111" i="1"/>
  <c r="AI111" i="1"/>
  <c r="AH111" i="1"/>
  <c r="AF111" i="1"/>
  <c r="AE111" i="1"/>
  <c r="AB111" i="1"/>
  <c r="AA111" i="1"/>
  <c r="Z111" i="1"/>
  <c r="Y111" i="1"/>
  <c r="X111" i="1"/>
  <c r="W111" i="1"/>
  <c r="P111" i="1"/>
  <c r="O111" i="1"/>
  <c r="AD111" i="1" s="1"/>
  <c r="N111" i="1"/>
  <c r="M111" i="1"/>
  <c r="AU110" i="1"/>
  <c r="AR110" i="1"/>
  <c r="AQ110" i="1"/>
  <c r="AP110" i="1"/>
  <c r="AO110" i="1"/>
  <c r="AJ110" i="1"/>
  <c r="AI110" i="1"/>
  <c r="AN110" i="1" s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D110" i="1" s="1"/>
  <c r="N110" i="1"/>
  <c r="M110" i="1"/>
  <c r="AU109" i="1"/>
  <c r="AR109" i="1"/>
  <c r="AP109" i="1"/>
  <c r="AI109" i="1"/>
  <c r="AN109" i="1" s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AQ109" i="1" s="1"/>
  <c r="N109" i="1"/>
  <c r="AO109" i="1" s="1"/>
  <c r="M109" i="1"/>
  <c r="AU108" i="1"/>
  <c r="AT108" i="1"/>
  <c r="AP108" i="1"/>
  <c r="AO108" i="1"/>
  <c r="AN108" i="1"/>
  <c r="AJ108" i="1"/>
  <c r="AI108" i="1"/>
  <c r="AH108" i="1"/>
  <c r="AF108" i="1"/>
  <c r="AE108" i="1"/>
  <c r="AD108" i="1"/>
  <c r="AC108" i="1"/>
  <c r="AA108" i="1"/>
  <c r="Z108" i="1"/>
  <c r="Y108" i="1"/>
  <c r="X108" i="1"/>
  <c r="W108" i="1"/>
  <c r="P108" i="1"/>
  <c r="O108" i="1"/>
  <c r="AQ108" i="1" s="1"/>
  <c r="N108" i="1"/>
  <c r="M108" i="1"/>
  <c r="AU107" i="1"/>
  <c r="AP107" i="1"/>
  <c r="AN107" i="1"/>
  <c r="AI107" i="1"/>
  <c r="AT107" i="1" s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AC107" i="1" s="1"/>
  <c r="M107" i="1"/>
  <c r="AU106" i="1"/>
  <c r="AT106" i="1"/>
  <c r="AQ106" i="1"/>
  <c r="AP106" i="1"/>
  <c r="AO106" i="1"/>
  <c r="AJ106" i="1"/>
  <c r="AI106" i="1"/>
  <c r="AN106" i="1" s="1"/>
  <c r="AH106" i="1"/>
  <c r="AF106" i="1"/>
  <c r="AE106" i="1"/>
  <c r="AC106" i="1"/>
  <c r="AA106" i="1"/>
  <c r="Z106" i="1"/>
  <c r="Y106" i="1"/>
  <c r="X106" i="1"/>
  <c r="W106" i="1"/>
  <c r="P106" i="1"/>
  <c r="O106" i="1"/>
  <c r="AD106" i="1" s="1"/>
  <c r="N106" i="1"/>
  <c r="M106" i="1"/>
  <c r="AU105" i="1"/>
  <c r="AR105" i="1"/>
  <c r="AP105" i="1"/>
  <c r="AI105" i="1"/>
  <c r="AH105" i="1"/>
  <c r="AF105" i="1"/>
  <c r="AE105" i="1"/>
  <c r="AB105" i="1"/>
  <c r="AA105" i="1"/>
  <c r="Z105" i="1"/>
  <c r="Y105" i="1"/>
  <c r="X105" i="1"/>
  <c r="W105" i="1"/>
  <c r="P105" i="1"/>
  <c r="O105" i="1"/>
  <c r="AQ105" i="1" s="1"/>
  <c r="N105" i="1"/>
  <c r="M105" i="1"/>
  <c r="AU104" i="1"/>
  <c r="AQ104" i="1"/>
  <c r="AP104" i="1"/>
  <c r="AO104" i="1"/>
  <c r="AI104" i="1"/>
  <c r="AN104" i="1" s="1"/>
  <c r="AH104" i="1"/>
  <c r="AF104" i="1"/>
  <c r="AE104" i="1"/>
  <c r="AC104" i="1"/>
  <c r="AA104" i="1"/>
  <c r="Z104" i="1"/>
  <c r="Y104" i="1"/>
  <c r="X104" i="1"/>
  <c r="W104" i="1"/>
  <c r="P104" i="1"/>
  <c r="O104" i="1"/>
  <c r="AD104" i="1" s="1"/>
  <c r="N104" i="1"/>
  <c r="M104" i="1"/>
  <c r="AR104" i="1" s="1"/>
  <c r="AU103" i="1"/>
  <c r="AP103" i="1"/>
  <c r="AJ103" i="1"/>
  <c r="AI103" i="1"/>
  <c r="AN103" i="1" s="1"/>
  <c r="AH103" i="1"/>
  <c r="AF103" i="1"/>
  <c r="AE103" i="1"/>
  <c r="AD103" i="1"/>
  <c r="AC103" i="1"/>
  <c r="AB103" i="1"/>
  <c r="AA103" i="1"/>
  <c r="Z103" i="1"/>
  <c r="Y103" i="1"/>
  <c r="X103" i="1"/>
  <c r="W103" i="1"/>
  <c r="P103" i="1"/>
  <c r="O103" i="1"/>
  <c r="AQ103" i="1" s="1"/>
  <c r="N103" i="1"/>
  <c r="AO103" i="1" s="1"/>
  <c r="M103" i="1"/>
  <c r="AR103" i="1" s="1"/>
  <c r="AU102" i="1"/>
  <c r="AT102" i="1"/>
  <c r="AP102" i="1"/>
  <c r="AN102" i="1"/>
  <c r="AJ102" i="1"/>
  <c r="AI102" i="1"/>
  <c r="AH102" i="1"/>
  <c r="AF102" i="1"/>
  <c r="AE102" i="1"/>
  <c r="AC102" i="1"/>
  <c r="AA102" i="1"/>
  <c r="Z102" i="1"/>
  <c r="Y102" i="1"/>
  <c r="X102" i="1"/>
  <c r="W102" i="1"/>
  <c r="P102" i="1"/>
  <c r="O102" i="1"/>
  <c r="AD102" i="1" s="1"/>
  <c r="N102" i="1"/>
  <c r="AO102" i="1" s="1"/>
  <c r="M102" i="1"/>
  <c r="AU101" i="1"/>
  <c r="AR101" i="1"/>
  <c r="AQ101" i="1"/>
  <c r="AP101" i="1"/>
  <c r="AI101" i="1"/>
  <c r="AH101" i="1"/>
  <c r="AF101" i="1"/>
  <c r="AE101" i="1"/>
  <c r="AA101" i="1"/>
  <c r="Z101" i="1"/>
  <c r="Y101" i="1"/>
  <c r="X101" i="1"/>
  <c r="W101" i="1"/>
  <c r="P101" i="1"/>
  <c r="O101" i="1"/>
  <c r="AD101" i="1" s="1"/>
  <c r="N101" i="1"/>
  <c r="AC101" i="1" s="1"/>
  <c r="M101" i="1"/>
  <c r="AB101" i="1" s="1"/>
  <c r="AU100" i="1"/>
  <c r="AQ100" i="1"/>
  <c r="AP100" i="1"/>
  <c r="AI100" i="1"/>
  <c r="AN100" i="1" s="1"/>
  <c r="AH100" i="1"/>
  <c r="AF100" i="1"/>
  <c r="AE100" i="1"/>
  <c r="AA100" i="1"/>
  <c r="Z100" i="1"/>
  <c r="Y100" i="1"/>
  <c r="X100" i="1"/>
  <c r="W100" i="1"/>
  <c r="P100" i="1"/>
  <c r="O100" i="1"/>
  <c r="AD100" i="1" s="1"/>
  <c r="N100" i="1"/>
  <c r="AO100" i="1" s="1"/>
  <c r="M100" i="1"/>
  <c r="AR100" i="1" s="1"/>
  <c r="AU99" i="1"/>
  <c r="AQ99" i="1"/>
  <c r="AP99" i="1"/>
  <c r="AN99" i="1"/>
  <c r="AJ99" i="1"/>
  <c r="AI99" i="1"/>
  <c r="AT99" i="1" s="1"/>
  <c r="AH99" i="1"/>
  <c r="AF99" i="1"/>
  <c r="AE99" i="1"/>
  <c r="AD99" i="1"/>
  <c r="AC99" i="1"/>
  <c r="AA99" i="1"/>
  <c r="Z99" i="1"/>
  <c r="Y99" i="1"/>
  <c r="X99" i="1"/>
  <c r="W99" i="1"/>
  <c r="P99" i="1"/>
  <c r="O99" i="1"/>
  <c r="N99" i="1"/>
  <c r="AO99" i="1" s="1"/>
  <c r="M99" i="1"/>
  <c r="AB99" i="1" s="1"/>
  <c r="AU98" i="1"/>
  <c r="AT98" i="1"/>
  <c r="AP98" i="1"/>
  <c r="AO98" i="1"/>
  <c r="AV98" i="1" s="1"/>
  <c r="AN98" i="1"/>
  <c r="AJ98" i="1"/>
  <c r="AI98" i="1"/>
  <c r="AH98" i="1"/>
  <c r="AF98" i="1"/>
  <c r="AE98" i="1"/>
  <c r="AD98" i="1"/>
  <c r="AA98" i="1"/>
  <c r="Z98" i="1"/>
  <c r="Y98" i="1"/>
  <c r="X98" i="1"/>
  <c r="W98" i="1"/>
  <c r="P98" i="1"/>
  <c r="O98" i="1"/>
  <c r="AQ98" i="1" s="1"/>
  <c r="N98" i="1"/>
  <c r="AC98" i="1" s="1"/>
  <c r="M98" i="1"/>
  <c r="AR98" i="1" s="1"/>
  <c r="AU97" i="1"/>
  <c r="AP97" i="1"/>
  <c r="AI97" i="1"/>
  <c r="AN97" i="1" s="1"/>
  <c r="AH97" i="1"/>
  <c r="AF97" i="1"/>
  <c r="AE97" i="1"/>
  <c r="AA97" i="1"/>
  <c r="Z97" i="1"/>
  <c r="Y97" i="1"/>
  <c r="X97" i="1"/>
  <c r="W97" i="1"/>
  <c r="P97" i="1"/>
  <c r="O97" i="1"/>
  <c r="AQ97" i="1" s="1"/>
  <c r="N97" i="1"/>
  <c r="AO97" i="1" s="1"/>
  <c r="M97" i="1"/>
  <c r="AR97" i="1" s="1"/>
  <c r="AU96" i="1"/>
  <c r="AR96" i="1"/>
  <c r="AP96" i="1"/>
  <c r="AI96" i="1"/>
  <c r="AT96" i="1" s="1"/>
  <c r="AH96" i="1"/>
  <c r="AF96" i="1"/>
  <c r="AE96" i="1"/>
  <c r="AB96" i="1"/>
  <c r="AA96" i="1"/>
  <c r="Z96" i="1"/>
  <c r="Y96" i="1"/>
  <c r="X96" i="1"/>
  <c r="W96" i="1"/>
  <c r="P96" i="1"/>
  <c r="O96" i="1"/>
  <c r="AQ96" i="1" s="1"/>
  <c r="N96" i="1"/>
  <c r="AC96" i="1" s="1"/>
  <c r="M96" i="1"/>
  <c r="AU95" i="1"/>
  <c r="AR95" i="1"/>
  <c r="AP95" i="1"/>
  <c r="AI95" i="1"/>
  <c r="AN95" i="1" s="1"/>
  <c r="AH95" i="1"/>
  <c r="AF95" i="1"/>
  <c r="AE95" i="1"/>
  <c r="AC95" i="1"/>
  <c r="AB95" i="1"/>
  <c r="AA95" i="1"/>
  <c r="Z95" i="1"/>
  <c r="Y95" i="1"/>
  <c r="X95" i="1"/>
  <c r="W95" i="1"/>
  <c r="P95" i="1"/>
  <c r="O95" i="1"/>
  <c r="AD95" i="1" s="1"/>
  <c r="N95" i="1"/>
  <c r="AO95" i="1" s="1"/>
  <c r="M95" i="1"/>
  <c r="AU94" i="1"/>
  <c r="AT94" i="1"/>
  <c r="AR94" i="1"/>
  <c r="AP94" i="1"/>
  <c r="AO94" i="1"/>
  <c r="AV94" i="1" s="1"/>
  <c r="AJ94" i="1"/>
  <c r="AI94" i="1"/>
  <c r="AN94" i="1" s="1"/>
  <c r="AH94" i="1"/>
  <c r="AF94" i="1"/>
  <c r="AE94" i="1"/>
  <c r="AD94" i="1"/>
  <c r="AC94" i="1"/>
  <c r="AB94" i="1"/>
  <c r="AA94" i="1"/>
  <c r="Z94" i="1"/>
  <c r="Y94" i="1"/>
  <c r="X94" i="1"/>
  <c r="W94" i="1"/>
  <c r="P94" i="1"/>
  <c r="O94" i="1"/>
  <c r="AQ94" i="1" s="1"/>
  <c r="N94" i="1"/>
  <c r="M94" i="1"/>
  <c r="AU93" i="1"/>
  <c r="AT93" i="1"/>
  <c r="AP93" i="1"/>
  <c r="AO93" i="1"/>
  <c r="AV93" i="1" s="1"/>
  <c r="AN93" i="1"/>
  <c r="AJ93" i="1"/>
  <c r="AI93" i="1"/>
  <c r="AH93" i="1"/>
  <c r="AF93" i="1"/>
  <c r="AE93" i="1"/>
  <c r="AD93" i="1"/>
  <c r="AC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T92" i="1"/>
  <c r="AP92" i="1"/>
  <c r="AO92" i="1"/>
  <c r="AV92" i="1" s="1"/>
  <c r="AN92" i="1"/>
  <c r="AJ92" i="1"/>
  <c r="AI92" i="1"/>
  <c r="AH92" i="1"/>
  <c r="AF92" i="1"/>
  <c r="AE92" i="1"/>
  <c r="AD92" i="1"/>
  <c r="AA92" i="1"/>
  <c r="Z92" i="1"/>
  <c r="Y92" i="1"/>
  <c r="X92" i="1"/>
  <c r="W92" i="1"/>
  <c r="P92" i="1"/>
  <c r="O92" i="1"/>
  <c r="AQ92" i="1" s="1"/>
  <c r="N92" i="1"/>
  <c r="AC92" i="1" s="1"/>
  <c r="M92" i="1"/>
  <c r="AR92" i="1" s="1"/>
  <c r="AU91" i="1"/>
  <c r="AP91" i="1"/>
  <c r="AI91" i="1"/>
  <c r="AN91" i="1" s="1"/>
  <c r="AH91" i="1"/>
  <c r="AF91" i="1"/>
  <c r="AE91" i="1"/>
  <c r="AA91" i="1"/>
  <c r="Z91" i="1"/>
  <c r="Y91" i="1"/>
  <c r="X91" i="1"/>
  <c r="W91" i="1"/>
  <c r="P91" i="1"/>
  <c r="O91" i="1"/>
  <c r="AQ91" i="1" s="1"/>
  <c r="N91" i="1"/>
  <c r="AO91" i="1" s="1"/>
  <c r="M91" i="1"/>
  <c r="AR91" i="1" s="1"/>
  <c r="AU90" i="1"/>
  <c r="AR90" i="1"/>
  <c r="AP90" i="1"/>
  <c r="AI90" i="1"/>
  <c r="AT90" i="1" s="1"/>
  <c r="AH90" i="1"/>
  <c r="AF90" i="1"/>
  <c r="AE90" i="1"/>
  <c r="AB90" i="1"/>
  <c r="AA90" i="1"/>
  <c r="Z90" i="1"/>
  <c r="Y90" i="1"/>
  <c r="X90" i="1"/>
  <c r="W90" i="1"/>
  <c r="P90" i="1"/>
  <c r="O90" i="1"/>
  <c r="AQ90" i="1" s="1"/>
  <c r="N90" i="1"/>
  <c r="AC90" i="1" s="1"/>
  <c r="M90" i="1"/>
  <c r="AU89" i="1"/>
  <c r="AR89" i="1"/>
  <c r="AP89" i="1"/>
  <c r="AI89" i="1"/>
  <c r="AN89" i="1" s="1"/>
  <c r="AH89" i="1"/>
  <c r="AF89" i="1"/>
  <c r="AE89" i="1"/>
  <c r="AC89" i="1"/>
  <c r="AB89" i="1"/>
  <c r="AA89" i="1"/>
  <c r="Z89" i="1"/>
  <c r="Y89" i="1"/>
  <c r="X89" i="1"/>
  <c r="W89" i="1"/>
  <c r="P89" i="1"/>
  <c r="O89" i="1"/>
  <c r="AD89" i="1" s="1"/>
  <c r="N89" i="1"/>
  <c r="AO89" i="1" s="1"/>
  <c r="M89" i="1"/>
  <c r="AU88" i="1"/>
  <c r="AT88" i="1"/>
  <c r="AR88" i="1"/>
  <c r="AP88" i="1"/>
  <c r="AO88" i="1"/>
  <c r="AV88" i="1" s="1"/>
  <c r="AJ88" i="1"/>
  <c r="AI88" i="1"/>
  <c r="AN88" i="1" s="1"/>
  <c r="AH88" i="1"/>
  <c r="AF88" i="1"/>
  <c r="AE88" i="1"/>
  <c r="AD88" i="1"/>
  <c r="AC88" i="1"/>
  <c r="AB88" i="1"/>
  <c r="AA88" i="1"/>
  <c r="Z88" i="1"/>
  <c r="Y88" i="1"/>
  <c r="X88" i="1"/>
  <c r="W88" i="1"/>
  <c r="P88" i="1"/>
  <c r="O88" i="1"/>
  <c r="AQ88" i="1" s="1"/>
  <c r="N88" i="1"/>
  <c r="M88" i="1"/>
  <c r="AU87" i="1"/>
  <c r="AT87" i="1"/>
  <c r="AP87" i="1"/>
  <c r="AO87" i="1"/>
  <c r="AV87" i="1" s="1"/>
  <c r="AN87" i="1"/>
  <c r="AJ87" i="1"/>
  <c r="AI87" i="1"/>
  <c r="AH87" i="1"/>
  <c r="AF87" i="1"/>
  <c r="AE87" i="1"/>
  <c r="AD87" i="1"/>
  <c r="AC87" i="1"/>
  <c r="AA87" i="1"/>
  <c r="Z87" i="1"/>
  <c r="Y87" i="1"/>
  <c r="X87" i="1"/>
  <c r="W87" i="1"/>
  <c r="P87" i="1"/>
  <c r="O87" i="1"/>
  <c r="AQ87" i="1" s="1"/>
  <c r="N87" i="1"/>
  <c r="M87" i="1"/>
  <c r="AR87" i="1" s="1"/>
  <c r="AU86" i="1"/>
  <c r="AT86" i="1"/>
  <c r="AP86" i="1"/>
  <c r="AO86" i="1"/>
  <c r="AN86" i="1"/>
  <c r="AJ86" i="1"/>
  <c r="AI86" i="1"/>
  <c r="AH86" i="1"/>
  <c r="AF86" i="1"/>
  <c r="AE86" i="1"/>
  <c r="AD86" i="1"/>
  <c r="AA86" i="1"/>
  <c r="Z86" i="1"/>
  <c r="Y86" i="1"/>
  <c r="X86" i="1"/>
  <c r="W86" i="1"/>
  <c r="P86" i="1"/>
  <c r="O86" i="1"/>
  <c r="AQ86" i="1" s="1"/>
  <c r="N86" i="1"/>
  <c r="AC86" i="1" s="1"/>
  <c r="M86" i="1"/>
  <c r="AR86" i="1" s="1"/>
  <c r="AU85" i="1"/>
  <c r="AP85" i="1"/>
  <c r="AI85" i="1"/>
  <c r="AN85" i="1" s="1"/>
  <c r="AH85" i="1"/>
  <c r="AF85" i="1"/>
  <c r="AE85" i="1"/>
  <c r="AA85" i="1"/>
  <c r="Z85" i="1"/>
  <c r="Y85" i="1"/>
  <c r="X85" i="1"/>
  <c r="W85" i="1"/>
  <c r="P85" i="1"/>
  <c r="O85" i="1"/>
  <c r="AQ85" i="1" s="1"/>
  <c r="N85" i="1"/>
  <c r="AO85" i="1" s="1"/>
  <c r="M85" i="1"/>
  <c r="AR85" i="1" s="1"/>
  <c r="AU84" i="1"/>
  <c r="AR84" i="1"/>
  <c r="AP84" i="1"/>
  <c r="AI84" i="1"/>
  <c r="AT84" i="1" s="1"/>
  <c r="AH84" i="1"/>
  <c r="AF84" i="1"/>
  <c r="AE84" i="1"/>
  <c r="AB84" i="1"/>
  <c r="AA84" i="1"/>
  <c r="Z84" i="1"/>
  <c r="Y84" i="1"/>
  <c r="X84" i="1"/>
  <c r="W84" i="1"/>
  <c r="P84" i="1"/>
  <c r="O84" i="1"/>
  <c r="AQ84" i="1" s="1"/>
  <c r="N84" i="1"/>
  <c r="AC84" i="1" s="1"/>
  <c r="M84" i="1"/>
  <c r="AU83" i="1"/>
  <c r="AR83" i="1"/>
  <c r="AP83" i="1"/>
  <c r="AI83" i="1"/>
  <c r="AN83" i="1" s="1"/>
  <c r="AH83" i="1"/>
  <c r="AF83" i="1"/>
  <c r="AE83" i="1"/>
  <c r="AC83" i="1"/>
  <c r="AB83" i="1"/>
  <c r="AA83" i="1"/>
  <c r="Z83" i="1"/>
  <c r="Y83" i="1"/>
  <c r="X83" i="1"/>
  <c r="W83" i="1"/>
  <c r="P83" i="1"/>
  <c r="O83" i="1"/>
  <c r="AD83" i="1" s="1"/>
  <c r="N83" i="1"/>
  <c r="AO83" i="1" s="1"/>
  <c r="AV83" i="1" s="1"/>
  <c r="M83" i="1"/>
  <c r="AU82" i="1"/>
  <c r="AT82" i="1"/>
  <c r="AR82" i="1"/>
  <c r="AP82" i="1"/>
  <c r="AO82" i="1"/>
  <c r="AV82" i="1" s="1"/>
  <c r="AN82" i="1"/>
  <c r="AJ82" i="1"/>
  <c r="AI82" i="1"/>
  <c r="AH82" i="1"/>
  <c r="AF82" i="1"/>
  <c r="AE82" i="1"/>
  <c r="AD82" i="1"/>
  <c r="AC82" i="1"/>
  <c r="AB82" i="1"/>
  <c r="AA82" i="1"/>
  <c r="Z82" i="1"/>
  <c r="Y82" i="1"/>
  <c r="X82" i="1"/>
  <c r="W82" i="1"/>
  <c r="P82" i="1"/>
  <c r="O82" i="1"/>
  <c r="AQ82" i="1" s="1"/>
  <c r="N82" i="1"/>
  <c r="M82" i="1"/>
  <c r="AU81" i="1"/>
  <c r="AT81" i="1"/>
  <c r="AP81" i="1"/>
  <c r="AO81" i="1"/>
  <c r="AV81" i="1" s="1"/>
  <c r="AN81" i="1"/>
  <c r="AJ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M81" i="1"/>
  <c r="AR81" i="1" s="1"/>
  <c r="AU80" i="1"/>
  <c r="AT80" i="1"/>
  <c r="AP80" i="1"/>
  <c r="AN80" i="1"/>
  <c r="AJ80" i="1"/>
  <c r="AI80" i="1"/>
  <c r="AH80" i="1"/>
  <c r="AF80" i="1"/>
  <c r="AE80" i="1"/>
  <c r="AD80" i="1"/>
  <c r="AA80" i="1"/>
  <c r="Z80" i="1"/>
  <c r="Y80" i="1"/>
  <c r="X80" i="1"/>
  <c r="W80" i="1"/>
  <c r="P80" i="1"/>
  <c r="O80" i="1"/>
  <c r="AQ80" i="1" s="1"/>
  <c r="N80" i="1"/>
  <c r="AO80" i="1" s="1"/>
  <c r="AV80" i="1" s="1"/>
  <c r="M80" i="1"/>
  <c r="AR80" i="1" s="1"/>
  <c r="AU79" i="1"/>
  <c r="AP79" i="1"/>
  <c r="AN79" i="1"/>
  <c r="AI79" i="1"/>
  <c r="AT79" i="1" s="1"/>
  <c r="AH79" i="1"/>
  <c r="AF79" i="1"/>
  <c r="AE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R79" i="1" s="1"/>
  <c r="AU78" i="1"/>
  <c r="AR78" i="1"/>
  <c r="AP78" i="1"/>
  <c r="AI78" i="1"/>
  <c r="AT78" i="1" s="1"/>
  <c r="AH78" i="1"/>
  <c r="AF78" i="1"/>
  <c r="AE78" i="1"/>
  <c r="AB78" i="1"/>
  <c r="AA78" i="1"/>
  <c r="Z78" i="1"/>
  <c r="Y78" i="1"/>
  <c r="X78" i="1"/>
  <c r="W78" i="1"/>
  <c r="P78" i="1"/>
  <c r="O78" i="1"/>
  <c r="AQ78" i="1" s="1"/>
  <c r="N78" i="1"/>
  <c r="AC78" i="1" s="1"/>
  <c r="M78" i="1"/>
  <c r="AU77" i="1"/>
  <c r="AR77" i="1"/>
  <c r="AP77" i="1"/>
  <c r="AI77" i="1"/>
  <c r="AN77" i="1" s="1"/>
  <c r="AH77" i="1"/>
  <c r="AF77" i="1"/>
  <c r="AE77" i="1"/>
  <c r="AC77" i="1"/>
  <c r="AB77" i="1"/>
  <c r="AA77" i="1"/>
  <c r="Z77" i="1"/>
  <c r="Y77" i="1"/>
  <c r="X77" i="1"/>
  <c r="W77" i="1"/>
  <c r="P77" i="1"/>
  <c r="O77" i="1"/>
  <c r="AD77" i="1" s="1"/>
  <c r="N77" i="1"/>
  <c r="AO77" i="1" s="1"/>
  <c r="M77" i="1"/>
  <c r="AU76" i="1"/>
  <c r="AT76" i="1"/>
  <c r="AR76" i="1"/>
  <c r="AP76" i="1"/>
  <c r="AO76" i="1"/>
  <c r="AV76" i="1" s="1"/>
  <c r="AN76" i="1"/>
  <c r="AJ76" i="1"/>
  <c r="AI76" i="1"/>
  <c r="AH76" i="1"/>
  <c r="AF76" i="1"/>
  <c r="AE76" i="1"/>
  <c r="AD76" i="1"/>
  <c r="AC76" i="1"/>
  <c r="AB76" i="1"/>
  <c r="AA76" i="1"/>
  <c r="Z76" i="1"/>
  <c r="Y76" i="1"/>
  <c r="X76" i="1"/>
  <c r="W76" i="1"/>
  <c r="P76" i="1"/>
  <c r="O76" i="1"/>
  <c r="AQ76" i="1" s="1"/>
  <c r="N76" i="1"/>
  <c r="M76" i="1"/>
  <c r="AU75" i="1"/>
  <c r="AT75" i="1"/>
  <c r="AP75" i="1"/>
  <c r="AO75" i="1"/>
  <c r="AV75" i="1" s="1"/>
  <c r="AN75" i="1"/>
  <c r="AJ75" i="1"/>
  <c r="AI75" i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R75" i="1" s="1"/>
  <c r="AU74" i="1"/>
  <c r="AT74" i="1"/>
  <c r="AP74" i="1"/>
  <c r="AN74" i="1"/>
  <c r="AJ74" i="1"/>
  <c r="AI74" i="1"/>
  <c r="AH74" i="1"/>
  <c r="AF74" i="1"/>
  <c r="AE74" i="1"/>
  <c r="AD74" i="1"/>
  <c r="AA74" i="1"/>
  <c r="Z74" i="1"/>
  <c r="Y74" i="1"/>
  <c r="X74" i="1"/>
  <c r="W74" i="1"/>
  <c r="P74" i="1"/>
  <c r="O74" i="1"/>
  <c r="AQ74" i="1" s="1"/>
  <c r="N74" i="1"/>
  <c r="AO74" i="1" s="1"/>
  <c r="M74" i="1"/>
  <c r="AR74" i="1" s="1"/>
  <c r="AU73" i="1"/>
  <c r="AP73" i="1"/>
  <c r="AN73" i="1"/>
  <c r="AI73" i="1"/>
  <c r="AT73" i="1" s="1"/>
  <c r="AH73" i="1"/>
  <c r="AF73" i="1"/>
  <c r="AE73" i="1"/>
  <c r="AA73" i="1"/>
  <c r="Z73" i="1"/>
  <c r="Y73" i="1"/>
  <c r="X73" i="1"/>
  <c r="W73" i="1"/>
  <c r="P73" i="1"/>
  <c r="O73" i="1"/>
  <c r="AQ73" i="1" s="1"/>
  <c r="N73" i="1"/>
  <c r="AO73" i="1" s="1"/>
  <c r="M73" i="1"/>
  <c r="AR73" i="1" s="1"/>
  <c r="AU72" i="1"/>
  <c r="AR72" i="1"/>
  <c r="AP72" i="1"/>
  <c r="AI72" i="1"/>
  <c r="AT72" i="1" s="1"/>
  <c r="AH72" i="1"/>
  <c r="AF72" i="1"/>
  <c r="AE72" i="1"/>
  <c r="AB72" i="1"/>
  <c r="AA72" i="1"/>
  <c r="Z72" i="1"/>
  <c r="Y72" i="1"/>
  <c r="X72" i="1"/>
  <c r="W72" i="1"/>
  <c r="P72" i="1"/>
  <c r="O72" i="1"/>
  <c r="AQ72" i="1" s="1"/>
  <c r="N72" i="1"/>
  <c r="AC72" i="1" s="1"/>
  <c r="M72" i="1"/>
  <c r="AU71" i="1"/>
  <c r="AT71" i="1"/>
  <c r="AR71" i="1"/>
  <c r="AP71" i="1"/>
  <c r="AJ71" i="1"/>
  <c r="AI71" i="1"/>
  <c r="AN71" i="1" s="1"/>
  <c r="AH71" i="1"/>
  <c r="AF71" i="1"/>
  <c r="AE71" i="1"/>
  <c r="AC71" i="1"/>
  <c r="AB71" i="1"/>
  <c r="AA71" i="1"/>
  <c r="Z71" i="1"/>
  <c r="Y71" i="1"/>
  <c r="X71" i="1"/>
  <c r="W71" i="1"/>
  <c r="P71" i="1"/>
  <c r="O71" i="1"/>
  <c r="AD71" i="1" s="1"/>
  <c r="N71" i="1"/>
  <c r="AO71" i="1" s="1"/>
  <c r="AV71" i="1" s="1"/>
  <c r="M71" i="1"/>
  <c r="AU70" i="1"/>
  <c r="AT70" i="1"/>
  <c r="AR70" i="1"/>
  <c r="AP70" i="1"/>
  <c r="AO70" i="1"/>
  <c r="AV70" i="1" s="1"/>
  <c r="AN70" i="1"/>
  <c r="AJ70" i="1"/>
  <c r="AI70" i="1"/>
  <c r="AH70" i="1"/>
  <c r="AF70" i="1"/>
  <c r="AE70" i="1"/>
  <c r="AD70" i="1"/>
  <c r="AC70" i="1"/>
  <c r="AB70" i="1"/>
  <c r="AA70" i="1"/>
  <c r="Z70" i="1"/>
  <c r="Y70" i="1"/>
  <c r="X70" i="1"/>
  <c r="W70" i="1"/>
  <c r="P70" i="1"/>
  <c r="O70" i="1"/>
  <c r="AQ70" i="1" s="1"/>
  <c r="N70" i="1"/>
  <c r="M70" i="1"/>
  <c r="AU69" i="1"/>
  <c r="AT69" i="1"/>
  <c r="AP69" i="1"/>
  <c r="AO69" i="1"/>
  <c r="AV69" i="1" s="1"/>
  <c r="AN69" i="1"/>
  <c r="AJ69" i="1"/>
  <c r="AI69" i="1"/>
  <c r="AH69" i="1"/>
  <c r="AF69" i="1"/>
  <c r="AE69" i="1"/>
  <c r="AD69" i="1"/>
  <c r="AC69" i="1"/>
  <c r="AA69" i="1"/>
  <c r="Z69" i="1"/>
  <c r="Y69" i="1"/>
  <c r="X69" i="1"/>
  <c r="W69" i="1"/>
  <c r="P69" i="1"/>
  <c r="O69" i="1"/>
  <c r="AQ69" i="1" s="1"/>
  <c r="N69" i="1"/>
  <c r="M69" i="1"/>
  <c r="AR69" i="1" s="1"/>
  <c r="AU68" i="1"/>
  <c r="AT68" i="1"/>
  <c r="AP68" i="1"/>
  <c r="AN68" i="1"/>
  <c r="AJ68" i="1"/>
  <c r="AI68" i="1"/>
  <c r="AH68" i="1"/>
  <c r="AF68" i="1"/>
  <c r="AE68" i="1"/>
  <c r="AD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R68" i="1" s="1"/>
  <c r="AU67" i="1"/>
  <c r="AP67" i="1"/>
  <c r="AN67" i="1"/>
  <c r="AI67" i="1"/>
  <c r="AT67" i="1" s="1"/>
  <c r="AH67" i="1"/>
  <c r="AF67" i="1"/>
  <c r="AE67" i="1"/>
  <c r="AA67" i="1"/>
  <c r="Z67" i="1"/>
  <c r="Y67" i="1"/>
  <c r="X67" i="1"/>
  <c r="W67" i="1"/>
  <c r="P67" i="1"/>
  <c r="O67" i="1"/>
  <c r="AQ67" i="1" s="1"/>
  <c r="N67" i="1"/>
  <c r="AO67" i="1" s="1"/>
  <c r="M67" i="1"/>
  <c r="AR67" i="1" s="1"/>
  <c r="AU66" i="1"/>
  <c r="AR66" i="1"/>
  <c r="AP66" i="1"/>
  <c r="AI66" i="1"/>
  <c r="AH66" i="1"/>
  <c r="AF66" i="1"/>
  <c r="AE66" i="1"/>
  <c r="AB66" i="1"/>
  <c r="AA66" i="1"/>
  <c r="Z66" i="1"/>
  <c r="Y66" i="1"/>
  <c r="X66" i="1"/>
  <c r="W66" i="1"/>
  <c r="P66" i="1"/>
  <c r="O66" i="1"/>
  <c r="AQ66" i="1" s="1"/>
  <c r="N66" i="1"/>
  <c r="AC66" i="1" s="1"/>
  <c r="M66" i="1"/>
  <c r="AU65" i="1"/>
  <c r="AT65" i="1"/>
  <c r="AR65" i="1"/>
  <c r="AP65" i="1"/>
  <c r="AJ65" i="1"/>
  <c r="AI65" i="1"/>
  <c r="AN65" i="1" s="1"/>
  <c r="AH65" i="1"/>
  <c r="AF65" i="1"/>
  <c r="AE65" i="1"/>
  <c r="AC65" i="1"/>
  <c r="AB65" i="1"/>
  <c r="AA65" i="1"/>
  <c r="Z65" i="1"/>
  <c r="Y65" i="1"/>
  <c r="X65" i="1"/>
  <c r="W65" i="1"/>
  <c r="P65" i="1"/>
  <c r="O65" i="1"/>
  <c r="AD65" i="1" s="1"/>
  <c r="N65" i="1"/>
  <c r="AO65" i="1" s="1"/>
  <c r="AV65" i="1" s="1"/>
  <c r="M65" i="1"/>
  <c r="AU64" i="1"/>
  <c r="AT64" i="1"/>
  <c r="AR64" i="1"/>
  <c r="AP64" i="1"/>
  <c r="AO64" i="1"/>
  <c r="AV64" i="1" s="1"/>
  <c r="AN64" i="1"/>
  <c r="AJ64" i="1"/>
  <c r="AI64" i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M64" i="1"/>
  <c r="AV63" i="1"/>
  <c r="AU63" i="1"/>
  <c r="AT63" i="1"/>
  <c r="AP63" i="1"/>
  <c r="AO63" i="1"/>
  <c r="AN63" i="1"/>
  <c r="AJ63" i="1"/>
  <c r="AI63" i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U62" i="1"/>
  <c r="AT62" i="1"/>
  <c r="AP62" i="1"/>
  <c r="AN62" i="1"/>
  <c r="AJ62" i="1"/>
  <c r="AI62" i="1"/>
  <c r="AH62" i="1"/>
  <c r="AF62" i="1"/>
  <c r="AE62" i="1"/>
  <c r="AD62" i="1"/>
  <c r="AA62" i="1"/>
  <c r="Z62" i="1"/>
  <c r="Y62" i="1"/>
  <c r="X62" i="1"/>
  <c r="W62" i="1"/>
  <c r="P62" i="1"/>
  <c r="O62" i="1"/>
  <c r="AQ62" i="1" s="1"/>
  <c r="N62" i="1"/>
  <c r="AC62" i="1" s="1"/>
  <c r="M62" i="1"/>
  <c r="AU61" i="1"/>
  <c r="AQ61" i="1"/>
  <c r="AP61" i="1"/>
  <c r="AN61" i="1"/>
  <c r="AI61" i="1"/>
  <c r="AT61" i="1" s="1"/>
  <c r="AH61" i="1"/>
  <c r="AF61" i="1"/>
  <c r="AE61" i="1"/>
  <c r="AA61" i="1"/>
  <c r="Z61" i="1"/>
  <c r="Y61" i="1"/>
  <c r="X61" i="1"/>
  <c r="W61" i="1"/>
  <c r="P61" i="1"/>
  <c r="O61" i="1"/>
  <c r="AD61" i="1" s="1"/>
  <c r="N61" i="1"/>
  <c r="AC61" i="1" s="1"/>
  <c r="M61" i="1"/>
  <c r="AU60" i="1"/>
  <c r="AR60" i="1"/>
  <c r="AP60" i="1"/>
  <c r="AI60" i="1"/>
  <c r="AH60" i="1"/>
  <c r="AF60" i="1"/>
  <c r="AE60" i="1"/>
  <c r="AB60" i="1"/>
  <c r="AA60" i="1"/>
  <c r="Z60" i="1"/>
  <c r="Y60" i="1"/>
  <c r="X60" i="1"/>
  <c r="W60" i="1"/>
  <c r="P60" i="1"/>
  <c r="O60" i="1"/>
  <c r="AD60" i="1" s="1"/>
  <c r="N60" i="1"/>
  <c r="M60" i="1"/>
  <c r="AU59" i="1"/>
  <c r="AT59" i="1"/>
  <c r="AR59" i="1"/>
  <c r="AQ59" i="1"/>
  <c r="AP59" i="1"/>
  <c r="AJ59" i="1"/>
  <c r="AI59" i="1"/>
  <c r="AN59" i="1" s="1"/>
  <c r="AH59" i="1"/>
  <c r="AF59" i="1"/>
  <c r="AE59" i="1"/>
  <c r="AB59" i="1"/>
  <c r="AA59" i="1"/>
  <c r="Z59" i="1"/>
  <c r="Y59" i="1"/>
  <c r="X59" i="1"/>
  <c r="W59" i="1"/>
  <c r="P59" i="1"/>
  <c r="O59" i="1"/>
  <c r="AD59" i="1" s="1"/>
  <c r="N59" i="1"/>
  <c r="AO59" i="1" s="1"/>
  <c r="AV59" i="1" s="1"/>
  <c r="M59" i="1"/>
  <c r="AU58" i="1"/>
  <c r="AT58" i="1"/>
  <c r="AP58" i="1"/>
  <c r="AO58" i="1"/>
  <c r="AV58" i="1" s="1"/>
  <c r="AN58" i="1"/>
  <c r="AJ58" i="1"/>
  <c r="AI58" i="1"/>
  <c r="AH58" i="1"/>
  <c r="AF58" i="1"/>
  <c r="AE58" i="1"/>
  <c r="AD58" i="1"/>
  <c r="AC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P57" i="1"/>
  <c r="AN57" i="1"/>
  <c r="AJ57" i="1"/>
  <c r="AI57" i="1"/>
  <c r="AT57" i="1" s="1"/>
  <c r="AH57" i="1"/>
  <c r="AF57" i="1"/>
  <c r="AE57" i="1"/>
  <c r="AD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B57" i="1" s="1"/>
  <c r="AU56" i="1"/>
  <c r="AP56" i="1"/>
  <c r="AN56" i="1"/>
  <c r="AJ56" i="1"/>
  <c r="AI56" i="1"/>
  <c r="AT56" i="1" s="1"/>
  <c r="AH56" i="1"/>
  <c r="AF56" i="1"/>
  <c r="AE56" i="1"/>
  <c r="AD56" i="1"/>
  <c r="AA56" i="1"/>
  <c r="Z56" i="1"/>
  <c r="Y56" i="1"/>
  <c r="X56" i="1"/>
  <c r="W56" i="1"/>
  <c r="P56" i="1"/>
  <c r="O56" i="1"/>
  <c r="AQ56" i="1" s="1"/>
  <c r="N56" i="1"/>
  <c r="AO56" i="1" s="1"/>
  <c r="AV56" i="1" s="1"/>
  <c r="M56" i="1"/>
  <c r="AR56" i="1" s="1"/>
  <c r="AU55" i="1"/>
  <c r="AT55" i="1"/>
  <c r="AP55" i="1"/>
  <c r="AO55" i="1"/>
  <c r="AV55" i="1" s="1"/>
  <c r="AN55" i="1"/>
  <c r="AJ55" i="1"/>
  <c r="AI55" i="1"/>
  <c r="AH55" i="1"/>
  <c r="AF55" i="1"/>
  <c r="AE55" i="1"/>
  <c r="AA55" i="1"/>
  <c r="Z55" i="1"/>
  <c r="Y55" i="1"/>
  <c r="X55" i="1"/>
  <c r="W55" i="1"/>
  <c r="P55" i="1"/>
  <c r="O55" i="1"/>
  <c r="AQ55" i="1" s="1"/>
  <c r="N55" i="1"/>
  <c r="AC55" i="1" s="1"/>
  <c r="M55" i="1"/>
  <c r="AR55" i="1" s="1"/>
  <c r="AU54" i="1"/>
  <c r="AR54" i="1"/>
  <c r="AP54" i="1"/>
  <c r="AI54" i="1"/>
  <c r="AN54" i="1" s="1"/>
  <c r="AH54" i="1"/>
  <c r="AF54" i="1"/>
  <c r="AE54" i="1"/>
  <c r="AB54" i="1"/>
  <c r="AA54" i="1"/>
  <c r="Z54" i="1"/>
  <c r="Y54" i="1"/>
  <c r="X54" i="1"/>
  <c r="W54" i="1"/>
  <c r="P54" i="1"/>
  <c r="O54" i="1"/>
  <c r="AD54" i="1" s="1"/>
  <c r="N54" i="1"/>
  <c r="AC54" i="1" s="1"/>
  <c r="M54" i="1"/>
  <c r="AU53" i="1"/>
  <c r="AT53" i="1"/>
  <c r="AR53" i="1"/>
  <c r="AP53" i="1"/>
  <c r="AJ53" i="1"/>
  <c r="AI53" i="1"/>
  <c r="AN53" i="1" s="1"/>
  <c r="AH53" i="1"/>
  <c r="AF53" i="1"/>
  <c r="AE53" i="1"/>
  <c r="AC53" i="1"/>
  <c r="AB53" i="1"/>
  <c r="AA53" i="1"/>
  <c r="Z53" i="1"/>
  <c r="Y53" i="1"/>
  <c r="X53" i="1"/>
  <c r="W53" i="1"/>
  <c r="P53" i="1"/>
  <c r="O53" i="1"/>
  <c r="AD53" i="1" s="1"/>
  <c r="N53" i="1"/>
  <c r="AO53" i="1" s="1"/>
  <c r="AV53" i="1" s="1"/>
  <c r="M53" i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O52" i="1" s="1"/>
  <c r="AV52" i="1" s="1"/>
  <c r="M52" i="1"/>
  <c r="AU51" i="1"/>
  <c r="AP51" i="1"/>
  <c r="AO51" i="1"/>
  <c r="AI51" i="1"/>
  <c r="AN51" i="1" s="1"/>
  <c r="AH51" i="1"/>
  <c r="AF51" i="1"/>
  <c r="AE51" i="1"/>
  <c r="AC51" i="1"/>
  <c r="AA51" i="1"/>
  <c r="Z51" i="1"/>
  <c r="Y51" i="1"/>
  <c r="X51" i="1"/>
  <c r="W51" i="1"/>
  <c r="P51" i="1"/>
  <c r="O51" i="1"/>
  <c r="AQ51" i="1" s="1"/>
  <c r="N51" i="1"/>
  <c r="M51" i="1"/>
  <c r="AR51" i="1" s="1"/>
  <c r="AU50" i="1"/>
  <c r="AT50" i="1"/>
  <c r="AP50" i="1"/>
  <c r="AN50" i="1"/>
  <c r="AJ50" i="1"/>
  <c r="AI50" i="1"/>
  <c r="AH50" i="1"/>
  <c r="AF50" i="1"/>
  <c r="AE50" i="1"/>
  <c r="AD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R50" i="1" s="1"/>
  <c r="AU49" i="1"/>
  <c r="AT49" i="1"/>
  <c r="AP49" i="1"/>
  <c r="AO49" i="1"/>
  <c r="AV49" i="1" s="1"/>
  <c r="AN49" i="1"/>
  <c r="AJ49" i="1"/>
  <c r="AI49" i="1"/>
  <c r="AH49" i="1"/>
  <c r="AF49" i="1"/>
  <c r="AE49" i="1"/>
  <c r="AA49" i="1"/>
  <c r="Z49" i="1"/>
  <c r="Y49" i="1"/>
  <c r="X49" i="1"/>
  <c r="W49" i="1"/>
  <c r="P49" i="1"/>
  <c r="O49" i="1"/>
  <c r="AQ49" i="1" s="1"/>
  <c r="N49" i="1"/>
  <c r="AC49" i="1" s="1"/>
  <c r="M49" i="1"/>
  <c r="AR49" i="1" s="1"/>
  <c r="AU48" i="1"/>
  <c r="AP48" i="1"/>
  <c r="AO48" i="1"/>
  <c r="AV48" i="1" s="1"/>
  <c r="AI48" i="1"/>
  <c r="AN48" i="1" s="1"/>
  <c r="AH48" i="1"/>
  <c r="AF48" i="1"/>
  <c r="AE48" i="1"/>
  <c r="AA48" i="1"/>
  <c r="Z48" i="1"/>
  <c r="Y48" i="1"/>
  <c r="X48" i="1"/>
  <c r="W48" i="1"/>
  <c r="P48" i="1"/>
  <c r="O48" i="1"/>
  <c r="AD48" i="1" s="1"/>
  <c r="N48" i="1"/>
  <c r="AC48" i="1" s="1"/>
  <c r="M48" i="1"/>
  <c r="AR48" i="1" s="1"/>
  <c r="AU47" i="1"/>
  <c r="AT47" i="1"/>
  <c r="AP47" i="1"/>
  <c r="AJ47" i="1"/>
  <c r="AI47" i="1"/>
  <c r="AN47" i="1" s="1"/>
  <c r="AH47" i="1"/>
  <c r="AF47" i="1"/>
  <c r="AE47" i="1"/>
  <c r="AA47" i="1"/>
  <c r="Z47" i="1"/>
  <c r="Y47" i="1"/>
  <c r="X47" i="1"/>
  <c r="W47" i="1"/>
  <c r="P47" i="1"/>
  <c r="O47" i="1"/>
  <c r="AD47" i="1" s="1"/>
  <c r="N47" i="1"/>
  <c r="AO47" i="1" s="1"/>
  <c r="AV47" i="1" s="1"/>
  <c r="M47" i="1"/>
  <c r="AR47" i="1" s="1"/>
  <c r="AU46" i="1"/>
  <c r="AR46" i="1"/>
  <c r="AP46" i="1"/>
  <c r="AN46" i="1"/>
  <c r="AI46" i="1"/>
  <c r="AT46" i="1" s="1"/>
  <c r="AH46" i="1"/>
  <c r="AF46" i="1"/>
  <c r="AE46" i="1"/>
  <c r="AB46" i="1"/>
  <c r="AA46" i="1"/>
  <c r="Z46" i="1"/>
  <c r="Y46" i="1"/>
  <c r="X46" i="1"/>
  <c r="W46" i="1"/>
  <c r="P46" i="1"/>
  <c r="O46" i="1"/>
  <c r="AD46" i="1" s="1"/>
  <c r="N46" i="1"/>
  <c r="AO46" i="1" s="1"/>
  <c r="AV46" i="1" s="1"/>
  <c r="M46" i="1"/>
  <c r="AU45" i="1"/>
  <c r="AP45" i="1"/>
  <c r="AO45" i="1"/>
  <c r="AI45" i="1"/>
  <c r="AN45" i="1" s="1"/>
  <c r="AH45" i="1"/>
  <c r="AF45" i="1"/>
  <c r="AE45" i="1"/>
  <c r="AC45" i="1"/>
  <c r="AA45" i="1"/>
  <c r="Z45" i="1"/>
  <c r="Y45" i="1"/>
  <c r="X45" i="1"/>
  <c r="W45" i="1"/>
  <c r="P45" i="1"/>
  <c r="O45" i="1"/>
  <c r="AQ45" i="1" s="1"/>
  <c r="N45" i="1"/>
  <c r="M45" i="1"/>
  <c r="AR45" i="1" s="1"/>
  <c r="AU44" i="1"/>
  <c r="AT44" i="1"/>
  <c r="AP44" i="1"/>
  <c r="AN44" i="1"/>
  <c r="AJ44" i="1"/>
  <c r="AI44" i="1"/>
  <c r="AH44" i="1"/>
  <c r="AF44" i="1"/>
  <c r="AE44" i="1"/>
  <c r="AD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R44" i="1" s="1"/>
  <c r="AU43" i="1"/>
  <c r="AP43" i="1"/>
  <c r="AO43" i="1"/>
  <c r="AV43" i="1" s="1"/>
  <c r="AN43" i="1"/>
  <c r="AI43" i="1"/>
  <c r="AT43" i="1" s="1"/>
  <c r="AH43" i="1"/>
  <c r="AF43" i="1"/>
  <c r="AE43" i="1"/>
  <c r="AD43" i="1"/>
  <c r="AA43" i="1"/>
  <c r="Z43" i="1"/>
  <c r="Y43" i="1"/>
  <c r="X43" i="1"/>
  <c r="W43" i="1"/>
  <c r="P43" i="1"/>
  <c r="O43" i="1"/>
  <c r="AQ43" i="1" s="1"/>
  <c r="N43" i="1"/>
  <c r="AC43" i="1" s="1"/>
  <c r="M43" i="1"/>
  <c r="AR43" i="1" s="1"/>
  <c r="AU42" i="1"/>
  <c r="AP42" i="1"/>
  <c r="AO42" i="1"/>
  <c r="AI42" i="1"/>
  <c r="AN42" i="1" s="1"/>
  <c r="AH42" i="1"/>
  <c r="AF42" i="1"/>
  <c r="AE42" i="1"/>
  <c r="AA42" i="1"/>
  <c r="Z42" i="1"/>
  <c r="Y42" i="1"/>
  <c r="X42" i="1"/>
  <c r="W42" i="1"/>
  <c r="P42" i="1"/>
  <c r="O42" i="1"/>
  <c r="AD42" i="1" s="1"/>
  <c r="N42" i="1"/>
  <c r="AC42" i="1" s="1"/>
  <c r="M42" i="1"/>
  <c r="AR42" i="1" s="1"/>
  <c r="AU41" i="1"/>
  <c r="AT41" i="1"/>
  <c r="AR41" i="1"/>
  <c r="AP41" i="1"/>
  <c r="AJ41" i="1"/>
  <c r="AI41" i="1"/>
  <c r="AN41" i="1" s="1"/>
  <c r="AH41" i="1"/>
  <c r="AF41" i="1"/>
  <c r="AE41" i="1"/>
  <c r="AB41" i="1"/>
  <c r="AA41" i="1"/>
  <c r="Z41" i="1"/>
  <c r="Y41" i="1"/>
  <c r="X41" i="1"/>
  <c r="W41" i="1"/>
  <c r="P41" i="1"/>
  <c r="O41" i="1"/>
  <c r="AD41" i="1" s="1"/>
  <c r="N41" i="1"/>
  <c r="AO41" i="1" s="1"/>
  <c r="AV41" i="1" s="1"/>
  <c r="M41" i="1"/>
  <c r="AU40" i="1"/>
  <c r="AR40" i="1"/>
  <c r="AP40" i="1"/>
  <c r="AN40" i="1"/>
  <c r="AI40" i="1"/>
  <c r="AT40" i="1" s="1"/>
  <c r="AH40" i="1"/>
  <c r="AF40" i="1"/>
  <c r="AE40" i="1"/>
  <c r="AB40" i="1"/>
  <c r="AA40" i="1"/>
  <c r="Z40" i="1"/>
  <c r="Y40" i="1"/>
  <c r="X40" i="1"/>
  <c r="W40" i="1"/>
  <c r="P40" i="1"/>
  <c r="O40" i="1"/>
  <c r="AD40" i="1" s="1"/>
  <c r="N40" i="1"/>
  <c r="AO40" i="1" s="1"/>
  <c r="AV40" i="1" s="1"/>
  <c r="M40" i="1"/>
  <c r="AU39" i="1"/>
  <c r="AP39" i="1"/>
  <c r="AO39" i="1"/>
  <c r="AV39" i="1" s="1"/>
  <c r="AI39" i="1"/>
  <c r="AN39" i="1" s="1"/>
  <c r="AH39" i="1"/>
  <c r="AF39" i="1"/>
  <c r="AE39" i="1"/>
  <c r="AC39" i="1"/>
  <c r="AB39" i="1"/>
  <c r="AA39" i="1"/>
  <c r="Z39" i="1"/>
  <c r="Y39" i="1"/>
  <c r="X39" i="1"/>
  <c r="W39" i="1"/>
  <c r="P39" i="1"/>
  <c r="O39" i="1"/>
  <c r="AQ39" i="1" s="1"/>
  <c r="N39" i="1"/>
  <c r="M39" i="1"/>
  <c r="AR39" i="1" s="1"/>
  <c r="AU38" i="1"/>
  <c r="AT38" i="1"/>
  <c r="AP38" i="1"/>
  <c r="AN38" i="1"/>
  <c r="AJ38" i="1"/>
  <c r="AI38" i="1"/>
  <c r="AH38" i="1"/>
  <c r="AF38" i="1"/>
  <c r="AE38" i="1"/>
  <c r="AD38" i="1"/>
  <c r="AC38" i="1"/>
  <c r="AA38" i="1"/>
  <c r="Z38" i="1"/>
  <c r="Y38" i="1"/>
  <c r="X38" i="1"/>
  <c r="W38" i="1"/>
  <c r="P38" i="1"/>
  <c r="O38" i="1"/>
  <c r="AQ38" i="1" s="1"/>
  <c r="N38" i="1"/>
  <c r="AO38" i="1" s="1"/>
  <c r="AV38" i="1" s="1"/>
  <c r="M38" i="1"/>
  <c r="AR38" i="1" s="1"/>
  <c r="AU37" i="1"/>
  <c r="AP37" i="1"/>
  <c r="AO37" i="1"/>
  <c r="AV37" i="1" s="1"/>
  <c r="AN37" i="1"/>
  <c r="AI37" i="1"/>
  <c r="AT37" i="1" s="1"/>
  <c r="AH37" i="1"/>
  <c r="AF37" i="1"/>
  <c r="AE37" i="1"/>
  <c r="AD37" i="1"/>
  <c r="AA37" i="1"/>
  <c r="Z37" i="1"/>
  <c r="Y37" i="1"/>
  <c r="X37" i="1"/>
  <c r="W37" i="1"/>
  <c r="P37" i="1"/>
  <c r="O37" i="1"/>
  <c r="AQ37" i="1" s="1"/>
  <c r="N37" i="1"/>
  <c r="AC37" i="1" s="1"/>
  <c r="M37" i="1"/>
  <c r="AR37" i="1" s="1"/>
  <c r="AU36" i="1"/>
  <c r="AP36" i="1"/>
  <c r="AO36" i="1"/>
  <c r="AV36" i="1" s="1"/>
  <c r="AI36" i="1"/>
  <c r="AN36" i="1" s="1"/>
  <c r="AH36" i="1"/>
  <c r="AF36" i="1"/>
  <c r="AE36" i="1"/>
  <c r="AA36" i="1"/>
  <c r="Z36" i="1"/>
  <c r="Y36" i="1"/>
  <c r="X36" i="1"/>
  <c r="W36" i="1"/>
  <c r="P36" i="1"/>
  <c r="O36" i="1"/>
  <c r="AD36" i="1" s="1"/>
  <c r="N36" i="1"/>
  <c r="AC36" i="1" s="1"/>
  <c r="M36" i="1"/>
  <c r="AR36" i="1" s="1"/>
  <c r="AU35" i="1"/>
  <c r="AT35" i="1"/>
  <c r="AR35" i="1"/>
  <c r="AP35" i="1"/>
  <c r="AJ35" i="1"/>
  <c r="AI35" i="1"/>
  <c r="AN35" i="1" s="1"/>
  <c r="AH35" i="1"/>
  <c r="AF35" i="1"/>
  <c r="AE35" i="1"/>
  <c r="AB35" i="1"/>
  <c r="AA35" i="1"/>
  <c r="Z35" i="1"/>
  <c r="Y35" i="1"/>
  <c r="X35" i="1"/>
  <c r="W35" i="1"/>
  <c r="P35" i="1"/>
  <c r="O35" i="1"/>
  <c r="AD35" i="1" s="1"/>
  <c r="N35" i="1"/>
  <c r="AO35" i="1" s="1"/>
  <c r="AV35" i="1" s="1"/>
  <c r="M35" i="1"/>
  <c r="AU34" i="1"/>
  <c r="AR34" i="1"/>
  <c r="AP34" i="1"/>
  <c r="AN34" i="1"/>
  <c r="AI34" i="1"/>
  <c r="AT34" i="1" s="1"/>
  <c r="AH34" i="1"/>
  <c r="AF34" i="1"/>
  <c r="AE34" i="1"/>
  <c r="AB34" i="1"/>
  <c r="AA34" i="1"/>
  <c r="Z34" i="1"/>
  <c r="Y34" i="1"/>
  <c r="X34" i="1"/>
  <c r="W34" i="1"/>
  <c r="P34" i="1"/>
  <c r="O34" i="1"/>
  <c r="AD34" i="1" s="1"/>
  <c r="N34" i="1"/>
  <c r="AO34" i="1" s="1"/>
  <c r="AV34" i="1" s="1"/>
  <c r="M34" i="1"/>
  <c r="AU33" i="1"/>
  <c r="AR33" i="1"/>
  <c r="AP33" i="1"/>
  <c r="AO33" i="1"/>
  <c r="AV33" i="1" s="1"/>
  <c r="AI33" i="1"/>
  <c r="AN33" i="1" s="1"/>
  <c r="AH33" i="1"/>
  <c r="AF33" i="1"/>
  <c r="AE33" i="1"/>
  <c r="AC33" i="1"/>
  <c r="AB33" i="1"/>
  <c r="AA33" i="1"/>
  <c r="Z33" i="1"/>
  <c r="Y33" i="1"/>
  <c r="X33" i="1"/>
  <c r="W33" i="1"/>
  <c r="P33" i="1"/>
  <c r="O33" i="1"/>
  <c r="AQ33" i="1" s="1"/>
  <c r="N33" i="1"/>
  <c r="M33" i="1"/>
  <c r="AU32" i="1"/>
  <c r="AT32" i="1"/>
  <c r="AP32" i="1"/>
  <c r="AN32" i="1"/>
  <c r="AJ32" i="1"/>
  <c r="AI32" i="1"/>
  <c r="AH32" i="1"/>
  <c r="AF32" i="1"/>
  <c r="AE32" i="1"/>
  <c r="AD32" i="1"/>
  <c r="AC32" i="1"/>
  <c r="AA32" i="1"/>
  <c r="Z32" i="1"/>
  <c r="Y32" i="1"/>
  <c r="X32" i="1"/>
  <c r="W32" i="1"/>
  <c r="P32" i="1"/>
  <c r="O32" i="1"/>
  <c r="AQ32" i="1" s="1"/>
  <c r="N32" i="1"/>
  <c r="AO32" i="1" s="1"/>
  <c r="M32" i="1"/>
  <c r="AR32" i="1" s="1"/>
  <c r="AU31" i="1"/>
  <c r="AP31" i="1"/>
  <c r="AO31" i="1"/>
  <c r="AV31" i="1" s="1"/>
  <c r="AN31" i="1"/>
  <c r="AI31" i="1"/>
  <c r="AT31" i="1" s="1"/>
  <c r="AH31" i="1"/>
  <c r="AF31" i="1"/>
  <c r="AE31" i="1"/>
  <c r="AD31" i="1"/>
  <c r="AA31" i="1"/>
  <c r="Z31" i="1"/>
  <c r="Y31" i="1"/>
  <c r="X31" i="1"/>
  <c r="W31" i="1"/>
  <c r="P31" i="1"/>
  <c r="O31" i="1"/>
  <c r="AQ31" i="1" s="1"/>
  <c r="N31" i="1"/>
  <c r="AC31" i="1" s="1"/>
  <c r="M31" i="1"/>
  <c r="AR31" i="1" s="1"/>
  <c r="AU30" i="1"/>
  <c r="AP30" i="1"/>
  <c r="AO30" i="1"/>
  <c r="AV30" i="1" s="1"/>
  <c r="AI30" i="1"/>
  <c r="AN30" i="1" s="1"/>
  <c r="AH30" i="1"/>
  <c r="AF30" i="1"/>
  <c r="AE30" i="1"/>
  <c r="AA30" i="1"/>
  <c r="Z30" i="1"/>
  <c r="Y30" i="1"/>
  <c r="X30" i="1"/>
  <c r="W30" i="1"/>
  <c r="P30" i="1"/>
  <c r="O30" i="1"/>
  <c r="AD30" i="1" s="1"/>
  <c r="N30" i="1"/>
  <c r="AC30" i="1" s="1"/>
  <c r="M30" i="1"/>
  <c r="AR30" i="1" s="1"/>
  <c r="AU29" i="1"/>
  <c r="AT29" i="1"/>
  <c r="AP29" i="1"/>
  <c r="AJ29" i="1"/>
  <c r="AI29" i="1"/>
  <c r="AN29" i="1" s="1"/>
  <c r="AH29" i="1"/>
  <c r="AF29" i="1"/>
  <c r="AE29" i="1"/>
  <c r="AA29" i="1"/>
  <c r="Z29" i="1"/>
  <c r="Y29" i="1"/>
  <c r="X29" i="1"/>
  <c r="W29" i="1"/>
  <c r="P29" i="1"/>
  <c r="O29" i="1"/>
  <c r="AD29" i="1" s="1"/>
  <c r="N29" i="1"/>
  <c r="AO29" i="1" s="1"/>
  <c r="AV29" i="1" s="1"/>
  <c r="M29" i="1"/>
  <c r="AR29" i="1" s="1"/>
  <c r="AU28" i="1"/>
  <c r="AR28" i="1"/>
  <c r="AP28" i="1"/>
  <c r="AN28" i="1"/>
  <c r="AI28" i="1"/>
  <c r="AT28" i="1" s="1"/>
  <c r="AH28" i="1"/>
  <c r="AF28" i="1"/>
  <c r="AE28" i="1"/>
  <c r="AB28" i="1"/>
  <c r="AA28" i="1"/>
  <c r="Z28" i="1"/>
  <c r="Y28" i="1"/>
  <c r="X28" i="1"/>
  <c r="W28" i="1"/>
  <c r="P28" i="1"/>
  <c r="O28" i="1"/>
  <c r="AD28" i="1" s="1"/>
  <c r="N28" i="1"/>
  <c r="AO28" i="1" s="1"/>
  <c r="AV28" i="1" s="1"/>
  <c r="M28" i="1"/>
  <c r="AU27" i="1"/>
  <c r="AR27" i="1"/>
  <c r="AP27" i="1"/>
  <c r="AO27" i="1"/>
  <c r="AV27" i="1" s="1"/>
  <c r="AI27" i="1"/>
  <c r="AN27" i="1" s="1"/>
  <c r="AH27" i="1"/>
  <c r="AF27" i="1"/>
  <c r="AE27" i="1"/>
  <c r="AC27" i="1"/>
  <c r="AB27" i="1"/>
  <c r="AA27" i="1"/>
  <c r="Z27" i="1"/>
  <c r="Y27" i="1"/>
  <c r="X27" i="1"/>
  <c r="W27" i="1"/>
  <c r="P27" i="1"/>
  <c r="O27" i="1"/>
  <c r="AQ27" i="1" s="1"/>
  <c r="N27" i="1"/>
  <c r="M27" i="1"/>
  <c r="AU26" i="1"/>
  <c r="AT26" i="1"/>
  <c r="AP26" i="1"/>
  <c r="AN26" i="1"/>
  <c r="AJ26" i="1"/>
  <c r="AI26" i="1"/>
  <c r="AH26" i="1"/>
  <c r="AF26" i="1"/>
  <c r="AE26" i="1"/>
  <c r="AD26" i="1"/>
  <c r="AC26" i="1"/>
  <c r="AB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R26" i="1" s="1"/>
  <c r="AU25" i="1"/>
  <c r="AP25" i="1"/>
  <c r="AO25" i="1"/>
  <c r="AV25" i="1" s="1"/>
  <c r="AN25" i="1"/>
  <c r="AI25" i="1"/>
  <c r="AT25" i="1" s="1"/>
  <c r="AH25" i="1"/>
  <c r="AF25" i="1"/>
  <c r="AE25" i="1"/>
  <c r="AD25" i="1"/>
  <c r="AA25" i="1"/>
  <c r="Z25" i="1"/>
  <c r="Y25" i="1"/>
  <c r="X25" i="1"/>
  <c r="W25" i="1"/>
  <c r="P25" i="1"/>
  <c r="O25" i="1"/>
  <c r="AQ25" i="1" s="1"/>
  <c r="N25" i="1"/>
  <c r="AC25" i="1" s="1"/>
  <c r="M25" i="1"/>
  <c r="AR25" i="1" s="1"/>
  <c r="AU24" i="1"/>
  <c r="AP24" i="1"/>
  <c r="AO24" i="1"/>
  <c r="AV24" i="1" s="1"/>
  <c r="AI24" i="1"/>
  <c r="AN24" i="1" s="1"/>
  <c r="AH24" i="1"/>
  <c r="AF24" i="1"/>
  <c r="AE24" i="1"/>
  <c r="AA24" i="1"/>
  <c r="Z24" i="1"/>
  <c r="Y24" i="1"/>
  <c r="X24" i="1"/>
  <c r="W24" i="1"/>
  <c r="P24" i="1"/>
  <c r="O24" i="1"/>
  <c r="AD24" i="1" s="1"/>
  <c r="N24" i="1"/>
  <c r="AC24" i="1" s="1"/>
  <c r="M24" i="1"/>
  <c r="AR24" i="1" s="1"/>
  <c r="AU23" i="1"/>
  <c r="AT23" i="1"/>
  <c r="AP23" i="1"/>
  <c r="AN23" i="1"/>
  <c r="AJ23" i="1"/>
  <c r="AI23" i="1"/>
  <c r="AH23" i="1"/>
  <c r="AF23" i="1"/>
  <c r="AE23" i="1"/>
  <c r="AA23" i="1"/>
  <c r="Z23" i="1"/>
  <c r="Y23" i="1"/>
  <c r="X23" i="1"/>
  <c r="W23" i="1"/>
  <c r="P23" i="1"/>
  <c r="O23" i="1"/>
  <c r="AD23" i="1" s="1"/>
  <c r="N23" i="1"/>
  <c r="AO23" i="1" s="1"/>
  <c r="AV23" i="1" s="1"/>
  <c r="M23" i="1"/>
  <c r="AR23" i="1" s="1"/>
  <c r="AU22" i="1"/>
  <c r="AR22" i="1"/>
  <c r="AP22" i="1"/>
  <c r="AN22" i="1"/>
  <c r="AI22" i="1"/>
  <c r="AT22" i="1" s="1"/>
  <c r="AH22" i="1"/>
  <c r="AF22" i="1"/>
  <c r="AE22" i="1"/>
  <c r="AB22" i="1"/>
  <c r="AA22" i="1"/>
  <c r="Z22" i="1"/>
  <c r="Y22" i="1"/>
  <c r="X22" i="1"/>
  <c r="W22" i="1"/>
  <c r="P22" i="1"/>
  <c r="O22" i="1"/>
  <c r="AD22" i="1" s="1"/>
  <c r="N22" i="1"/>
  <c r="AO22" i="1" s="1"/>
  <c r="AV22" i="1" s="1"/>
  <c r="M22" i="1"/>
  <c r="AU21" i="1"/>
  <c r="AR21" i="1"/>
  <c r="AP21" i="1"/>
  <c r="AO21" i="1"/>
  <c r="AV21" i="1" s="1"/>
  <c r="AI21" i="1"/>
  <c r="AN21" i="1" s="1"/>
  <c r="AH21" i="1"/>
  <c r="AF21" i="1"/>
  <c r="AE21" i="1"/>
  <c r="AC21" i="1"/>
  <c r="AB21" i="1"/>
  <c r="AA21" i="1"/>
  <c r="Z21" i="1"/>
  <c r="Y21" i="1"/>
  <c r="X21" i="1"/>
  <c r="W21" i="1"/>
  <c r="P21" i="1"/>
  <c r="O21" i="1"/>
  <c r="AQ21" i="1" s="1"/>
  <c r="N21" i="1"/>
  <c r="M21" i="1"/>
  <c r="AU20" i="1"/>
  <c r="AT20" i="1"/>
  <c r="AP20" i="1"/>
  <c r="AN20" i="1"/>
  <c r="AJ20" i="1"/>
  <c r="AI20" i="1"/>
  <c r="AH20" i="1"/>
  <c r="AF20" i="1"/>
  <c r="AE20" i="1"/>
  <c r="AD20" i="1"/>
  <c r="AC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R20" i="1" s="1"/>
  <c r="AU19" i="1"/>
  <c r="AP19" i="1"/>
  <c r="AO19" i="1"/>
  <c r="AV19" i="1" s="1"/>
  <c r="AN19" i="1"/>
  <c r="AI19" i="1"/>
  <c r="AT19" i="1" s="1"/>
  <c r="AH19" i="1"/>
  <c r="AF19" i="1"/>
  <c r="AE19" i="1"/>
  <c r="AD19" i="1"/>
  <c r="AA19" i="1"/>
  <c r="Z19" i="1"/>
  <c r="Y19" i="1"/>
  <c r="X19" i="1"/>
  <c r="W19" i="1"/>
  <c r="P19" i="1"/>
  <c r="O19" i="1"/>
  <c r="AQ19" i="1" s="1"/>
  <c r="N19" i="1"/>
  <c r="AC19" i="1" s="1"/>
  <c r="M19" i="1"/>
  <c r="AR19" i="1" s="1"/>
  <c r="AU18" i="1"/>
  <c r="AP18" i="1"/>
  <c r="AO18" i="1"/>
  <c r="AV18" i="1" s="1"/>
  <c r="AI18" i="1"/>
  <c r="AN18" i="1" s="1"/>
  <c r="AH18" i="1"/>
  <c r="AF18" i="1"/>
  <c r="AE18" i="1"/>
  <c r="AA18" i="1"/>
  <c r="Z18" i="1"/>
  <c r="Y18" i="1"/>
  <c r="X18" i="1"/>
  <c r="W18" i="1"/>
  <c r="P18" i="1"/>
  <c r="O18" i="1"/>
  <c r="AD18" i="1" s="1"/>
  <c r="N18" i="1"/>
  <c r="AC18" i="1" s="1"/>
  <c r="M18" i="1"/>
  <c r="AU17" i="1"/>
  <c r="AT17" i="1"/>
  <c r="AR17" i="1"/>
  <c r="AP17" i="1"/>
  <c r="AJ17" i="1"/>
  <c r="AI17" i="1"/>
  <c r="AN17" i="1" s="1"/>
  <c r="AH17" i="1"/>
  <c r="AF17" i="1"/>
  <c r="AE17" i="1"/>
  <c r="AB17" i="1"/>
  <c r="AA17" i="1"/>
  <c r="Z17" i="1"/>
  <c r="Y17" i="1"/>
  <c r="X17" i="1"/>
  <c r="W17" i="1"/>
  <c r="P17" i="1"/>
  <c r="O17" i="1"/>
  <c r="AD17" i="1" s="1"/>
  <c r="N17" i="1"/>
  <c r="M17" i="1"/>
  <c r="AU16" i="1"/>
  <c r="AQ16" i="1"/>
  <c r="AP16" i="1"/>
  <c r="AN16" i="1"/>
  <c r="AI16" i="1"/>
  <c r="AT16" i="1" s="1"/>
  <c r="AH16" i="1"/>
  <c r="AF16" i="1"/>
  <c r="AE16" i="1"/>
  <c r="AB16" i="1"/>
  <c r="AA16" i="1"/>
  <c r="Z16" i="1"/>
  <c r="Y16" i="1"/>
  <c r="X16" i="1"/>
  <c r="W16" i="1"/>
  <c r="P16" i="1"/>
  <c r="O16" i="1"/>
  <c r="AD16" i="1" s="1"/>
  <c r="N16" i="1"/>
  <c r="AO16" i="1" s="1"/>
  <c r="AV16" i="1" s="1"/>
  <c r="M16" i="1"/>
  <c r="AR16" i="1" s="1"/>
  <c r="AU15" i="1"/>
  <c r="AR15" i="1"/>
  <c r="AP15" i="1"/>
  <c r="AO15" i="1"/>
  <c r="AV15" i="1" s="1"/>
  <c r="AI15" i="1"/>
  <c r="AH15" i="1"/>
  <c r="AF15" i="1"/>
  <c r="AE15" i="1"/>
  <c r="AB15" i="1"/>
  <c r="AA15" i="1"/>
  <c r="Z15" i="1"/>
  <c r="Y15" i="1"/>
  <c r="X15" i="1"/>
  <c r="W15" i="1"/>
  <c r="P15" i="1"/>
  <c r="O15" i="1"/>
  <c r="AQ15" i="1" s="1"/>
  <c r="N15" i="1"/>
  <c r="AC15" i="1" s="1"/>
  <c r="M15" i="1"/>
  <c r="AU14" i="1"/>
  <c r="AT14" i="1"/>
  <c r="AP14" i="1"/>
  <c r="AJ14" i="1"/>
  <c r="AI14" i="1"/>
  <c r="AN14" i="1" s="1"/>
  <c r="AH14" i="1"/>
  <c r="AF14" i="1"/>
  <c r="AE14" i="1"/>
  <c r="AC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R14" i="1" s="1"/>
  <c r="AU13" i="1"/>
  <c r="AP13" i="1"/>
  <c r="AN13" i="1"/>
  <c r="AI13" i="1"/>
  <c r="AT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C13" i="1" s="1"/>
  <c r="M13" i="1"/>
  <c r="AR13" i="1" s="1"/>
  <c r="AU12" i="1"/>
  <c r="AP12" i="1"/>
  <c r="AO12" i="1"/>
  <c r="AI12" i="1"/>
  <c r="AH12" i="1"/>
  <c r="AF12" i="1"/>
  <c r="AE12" i="1"/>
  <c r="AA12" i="1"/>
  <c r="Z12" i="1"/>
  <c r="Y12" i="1"/>
  <c r="X12" i="1"/>
  <c r="W12" i="1"/>
  <c r="P12" i="1"/>
  <c r="O12" i="1"/>
  <c r="AD12" i="1" s="1"/>
  <c r="N12" i="1"/>
  <c r="AC12" i="1" s="1"/>
  <c r="M12" i="1"/>
  <c r="AR12" i="1" s="1"/>
  <c r="AU11" i="1"/>
  <c r="AT11" i="1"/>
  <c r="AP11" i="1"/>
  <c r="AJ11" i="1"/>
  <c r="AI11" i="1"/>
  <c r="AN11" i="1" s="1"/>
  <c r="AH11" i="1"/>
  <c r="AF11" i="1"/>
  <c r="AE11" i="1"/>
  <c r="AB11" i="1"/>
  <c r="AA11" i="1"/>
  <c r="Z11" i="1"/>
  <c r="Y11" i="1"/>
  <c r="X11" i="1"/>
  <c r="W11" i="1"/>
  <c r="P11" i="1"/>
  <c r="O11" i="1"/>
  <c r="AD11" i="1" s="1"/>
  <c r="N11" i="1"/>
  <c r="AO11" i="1" s="1"/>
  <c r="AV11" i="1" s="1"/>
  <c r="M11" i="1"/>
  <c r="AR11" i="1" s="1"/>
  <c r="AU10" i="1"/>
  <c r="AP10" i="1"/>
  <c r="AI10" i="1"/>
  <c r="AH10" i="1"/>
  <c r="AF10" i="1"/>
  <c r="AE10" i="1"/>
  <c r="AC10" i="1"/>
  <c r="AB10" i="1"/>
  <c r="AA10" i="1"/>
  <c r="Z10" i="1"/>
  <c r="Y10" i="1"/>
  <c r="X10" i="1"/>
  <c r="W10" i="1"/>
  <c r="P10" i="1"/>
  <c r="O10" i="1"/>
  <c r="AQ10" i="1" s="1"/>
  <c r="N10" i="1"/>
  <c r="AO10" i="1" s="1"/>
  <c r="M10" i="1"/>
  <c r="AR10" i="1" s="1"/>
  <c r="AU9" i="1"/>
  <c r="AT9" i="1"/>
  <c r="AR9" i="1"/>
  <c r="AP9" i="1"/>
  <c r="AN9" i="1"/>
  <c r="AJ9" i="1"/>
  <c r="AI9" i="1"/>
  <c r="AH9" i="1"/>
  <c r="AF9" i="1"/>
  <c r="AE9" i="1"/>
  <c r="AD9" i="1"/>
  <c r="AC9" i="1"/>
  <c r="AB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U8" i="1"/>
  <c r="AP8" i="1"/>
  <c r="AO8" i="1"/>
  <c r="AN8" i="1"/>
  <c r="AI8" i="1"/>
  <c r="AT8" i="1" s="1"/>
  <c r="AH8" i="1"/>
  <c r="AF8" i="1"/>
  <c r="AE8" i="1"/>
  <c r="AD8" i="1"/>
  <c r="AC8" i="1"/>
  <c r="AA8" i="1"/>
  <c r="Z8" i="1"/>
  <c r="Y8" i="1"/>
  <c r="X8" i="1"/>
  <c r="W8" i="1"/>
  <c r="P8" i="1"/>
  <c r="O8" i="1"/>
  <c r="AQ8" i="1" s="1"/>
  <c r="N8" i="1"/>
  <c r="M8" i="1"/>
  <c r="AR8" i="1" s="1"/>
  <c r="AU7" i="1"/>
  <c r="AT7" i="1"/>
  <c r="AP7" i="1"/>
  <c r="AO7" i="1"/>
  <c r="AV7" i="1" s="1"/>
  <c r="AN7" i="1"/>
  <c r="AJ7" i="1"/>
  <c r="AI7" i="1"/>
  <c r="AH7" i="1"/>
  <c r="AF7" i="1"/>
  <c r="AE7" i="1"/>
  <c r="AD7" i="1"/>
  <c r="AA7" i="1"/>
  <c r="Z7" i="1"/>
  <c r="Y7" i="1"/>
  <c r="X7" i="1"/>
  <c r="W7" i="1"/>
  <c r="P7" i="1"/>
  <c r="O7" i="1"/>
  <c r="AQ7" i="1" s="1"/>
  <c r="N7" i="1"/>
  <c r="AC7" i="1" s="1"/>
  <c r="M7" i="1"/>
  <c r="AR7" i="1" s="1"/>
  <c r="AU6" i="1"/>
  <c r="AT6" i="1"/>
  <c r="AP6" i="1"/>
  <c r="AN6" i="1"/>
  <c r="AJ6" i="1"/>
  <c r="AI6" i="1"/>
  <c r="AH6" i="1"/>
  <c r="AF6" i="1"/>
  <c r="AE6" i="1"/>
  <c r="AA6" i="1"/>
  <c r="Z6" i="1"/>
  <c r="Y6" i="1"/>
  <c r="X6" i="1"/>
  <c r="W6" i="1"/>
  <c r="P6" i="1"/>
  <c r="O6" i="1"/>
  <c r="AD6" i="1" s="1"/>
  <c r="N6" i="1"/>
  <c r="AO6" i="1" s="1"/>
  <c r="AV6" i="1" s="1"/>
  <c r="M6" i="1"/>
  <c r="AR6" i="1" s="1"/>
  <c r="AU5" i="1"/>
  <c r="AP5" i="1"/>
  <c r="AO5" i="1"/>
  <c r="AV5" i="1" s="1"/>
  <c r="AI5" i="1"/>
  <c r="AN5" i="1" s="1"/>
  <c r="AH5" i="1"/>
  <c r="AF5" i="1"/>
  <c r="AE5" i="1"/>
  <c r="AA5" i="1"/>
  <c r="Z5" i="1"/>
  <c r="Y5" i="1"/>
  <c r="X5" i="1"/>
  <c r="W5" i="1"/>
  <c r="P5" i="1"/>
  <c r="O5" i="1"/>
  <c r="AD5" i="1" s="1"/>
  <c r="N5" i="1"/>
  <c r="AC5" i="1" s="1"/>
  <c r="M5" i="1"/>
  <c r="AR5" i="1" s="1"/>
  <c r="AU4" i="1"/>
  <c r="AR4" i="1"/>
  <c r="AP4" i="1"/>
  <c r="AI4" i="1"/>
  <c r="AN4" i="1" s="1"/>
  <c r="AH4" i="1"/>
  <c r="AF4" i="1"/>
  <c r="AE4" i="1"/>
  <c r="AB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AP6" i="14"/>
  <c r="AI6" i="14"/>
  <c r="AH6" i="14"/>
  <c r="AF6" i="14"/>
  <c r="AE6" i="14"/>
  <c r="AB6" i="14"/>
  <c r="AA6" i="14"/>
  <c r="Z6" i="14"/>
  <c r="Y6" i="14"/>
  <c r="X6" i="14"/>
  <c r="W6" i="14"/>
  <c r="P6" i="14"/>
  <c r="O6" i="14"/>
  <c r="AD6" i="14" s="1"/>
  <c r="N6" i="14"/>
  <c r="AO6" i="14" s="1"/>
  <c r="AV6" i="14" s="1"/>
  <c r="M6" i="14"/>
  <c r="AI5" i="14"/>
  <c r="AH5" i="14"/>
  <c r="W5" i="14"/>
  <c r="AI4" i="14"/>
  <c r="AU3" i="14"/>
  <c r="AO3" i="14"/>
  <c r="AI3" i="14"/>
  <c r="AH3" i="14"/>
  <c r="AN2" i="14"/>
  <c r="AM2" i="14"/>
  <c r="AL2" i="14"/>
  <c r="AK2" i="14"/>
  <c r="AJ2" i="14"/>
  <c r="AA2" i="14"/>
  <c r="A2" i="14"/>
  <c r="AU1" i="14"/>
  <c r="AU6" i="14" s="1"/>
  <c r="AR1" i="14"/>
  <c r="AR3" i="14" s="1"/>
  <c r="AQ1" i="14"/>
  <c r="AQ3" i="14" s="1"/>
  <c r="AP1" i="14"/>
  <c r="AP3" i="14" s="1"/>
  <c r="AO1" i="14"/>
  <c r="AA1" i="14"/>
  <c r="A1" i="14"/>
  <c r="AJ1" i="14" s="1"/>
  <c r="AO8" i="13"/>
  <c r="AI8" i="13"/>
  <c r="AN8" i="13" s="1"/>
  <c r="AH8" i="13"/>
  <c r="AF8" i="13"/>
  <c r="AE8" i="13"/>
  <c r="AA8" i="13"/>
  <c r="Z8" i="13"/>
  <c r="Y8" i="13"/>
  <c r="X8" i="13"/>
  <c r="W8" i="13"/>
  <c r="P8" i="13"/>
  <c r="O8" i="13"/>
  <c r="AD8" i="13" s="1"/>
  <c r="N8" i="13"/>
  <c r="AC8" i="13" s="1"/>
  <c r="M8" i="13"/>
  <c r="AR8" i="13" s="1"/>
  <c r="AR7" i="13"/>
  <c r="AP7" i="13"/>
  <c r="AI7" i="13"/>
  <c r="AH7" i="13"/>
  <c r="AF7" i="13"/>
  <c r="AE7" i="13"/>
  <c r="AB7" i="13"/>
  <c r="AA7" i="13"/>
  <c r="Z7" i="13"/>
  <c r="Y7" i="13"/>
  <c r="X7" i="13"/>
  <c r="W7" i="13"/>
  <c r="P7" i="13"/>
  <c r="O7" i="13"/>
  <c r="AD7" i="13" s="1"/>
  <c r="N7" i="13"/>
  <c r="AO7" i="13" s="1"/>
  <c r="M7" i="13"/>
  <c r="AT6" i="13"/>
  <c r="AJ6" i="13"/>
  <c r="AI6" i="13"/>
  <c r="AN6" i="13" s="1"/>
  <c r="AH6" i="13"/>
  <c r="AF6" i="13"/>
  <c r="AE6" i="13"/>
  <c r="AC6" i="13"/>
  <c r="AB6" i="13"/>
  <c r="AA6" i="13"/>
  <c r="Z6" i="13"/>
  <c r="Y6" i="13"/>
  <c r="X6" i="13"/>
  <c r="W6" i="13"/>
  <c r="P6" i="13"/>
  <c r="O6" i="13"/>
  <c r="AD6" i="13" s="1"/>
  <c r="N6" i="13"/>
  <c r="AO6" i="13" s="1"/>
  <c r="M6" i="13"/>
  <c r="AI5" i="13"/>
  <c r="AH5" i="13"/>
  <c r="W5" i="13"/>
  <c r="AI4" i="13"/>
  <c r="AP3" i="13"/>
  <c r="AO3" i="13"/>
  <c r="AI3" i="13"/>
  <c r="AH3" i="13"/>
  <c r="AN2" i="13"/>
  <c r="AM2" i="13"/>
  <c r="AL2" i="13"/>
  <c r="AK2" i="13"/>
  <c r="AJ2" i="13"/>
  <c r="AA2" i="13"/>
  <c r="A2" i="13"/>
  <c r="AU1" i="13"/>
  <c r="AR1" i="13"/>
  <c r="AR3" i="13" s="1"/>
  <c r="AQ1" i="13"/>
  <c r="AQ3" i="13" s="1"/>
  <c r="AP1" i="13"/>
  <c r="AP6" i="13" s="1"/>
  <c r="AO1" i="13"/>
  <c r="AH1" i="13"/>
  <c r="AH2" i="13" s="1"/>
  <c r="AA1" i="13"/>
  <c r="A1" i="13"/>
  <c r="AJ1" i="13" s="1"/>
  <c r="AR18" i="12"/>
  <c r="AP18" i="12"/>
  <c r="AI18" i="12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AO18" i="12" s="1"/>
  <c r="AV18" i="12" s="1"/>
  <c r="M18" i="12"/>
  <c r="AT17" i="12"/>
  <c r="AJ17" i="12"/>
  <c r="AI17" i="12"/>
  <c r="AN17" i="12" s="1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D17" i="12" s="1"/>
  <c r="N17" i="12"/>
  <c r="AO17" i="12" s="1"/>
  <c r="M17" i="12"/>
  <c r="AU16" i="12"/>
  <c r="AN16" i="12"/>
  <c r="AI16" i="12"/>
  <c r="AT16" i="12" s="1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AQ16" i="12" s="1"/>
  <c r="N16" i="12"/>
  <c r="AO16" i="12" s="1"/>
  <c r="M16" i="12"/>
  <c r="AT15" i="12"/>
  <c r="AO15" i="12"/>
  <c r="AJ15" i="12"/>
  <c r="AI15" i="12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AQ15" i="12" s="1"/>
  <c r="N15" i="12"/>
  <c r="M15" i="12"/>
  <c r="AU14" i="12"/>
  <c r="AN14" i="12"/>
  <c r="AI14" i="12"/>
  <c r="AT14" i="12" s="1"/>
  <c r="AH14" i="12"/>
  <c r="AF14" i="12"/>
  <c r="AE14" i="12"/>
  <c r="AD14" i="12"/>
  <c r="AA14" i="12"/>
  <c r="Z14" i="12"/>
  <c r="Y14" i="12"/>
  <c r="X14" i="12"/>
  <c r="W14" i="12"/>
  <c r="P14" i="12"/>
  <c r="O14" i="12"/>
  <c r="AQ14" i="12" s="1"/>
  <c r="N14" i="12"/>
  <c r="M14" i="12"/>
  <c r="AR14" i="12" s="1"/>
  <c r="AI13" i="12"/>
  <c r="AH13" i="12"/>
  <c r="W13" i="12"/>
  <c r="AU12" i="12"/>
  <c r="AR12" i="12"/>
  <c r="AN12" i="12"/>
  <c r="AI12" i="12"/>
  <c r="AT12" i="12" s="1"/>
  <c r="AH12" i="12"/>
  <c r="AF12" i="12"/>
  <c r="AE12" i="12"/>
  <c r="AD12" i="12"/>
  <c r="AC12" i="12"/>
  <c r="AB12" i="12"/>
  <c r="AA12" i="12"/>
  <c r="Z12" i="12"/>
  <c r="Y12" i="12"/>
  <c r="X12" i="12"/>
  <c r="W12" i="12"/>
  <c r="P12" i="12"/>
  <c r="O12" i="12"/>
  <c r="AQ12" i="12" s="1"/>
  <c r="N12" i="12"/>
  <c r="AO12" i="12" s="1"/>
  <c r="M12" i="12"/>
  <c r="AT11" i="12"/>
  <c r="AO11" i="12"/>
  <c r="AJ11" i="12"/>
  <c r="AI11" i="12"/>
  <c r="AH11" i="12"/>
  <c r="AF11" i="12"/>
  <c r="AE11" i="12"/>
  <c r="AD11" i="12"/>
  <c r="AC11" i="12"/>
  <c r="AA11" i="12"/>
  <c r="Z11" i="12"/>
  <c r="Y11" i="12"/>
  <c r="X11" i="12"/>
  <c r="W11" i="12"/>
  <c r="P11" i="12"/>
  <c r="O11" i="12"/>
  <c r="AQ11" i="12" s="1"/>
  <c r="N11" i="12"/>
  <c r="M11" i="12"/>
  <c r="AU10" i="12"/>
  <c r="AN10" i="12"/>
  <c r="AI10" i="12"/>
  <c r="AT10" i="12" s="1"/>
  <c r="AH10" i="12"/>
  <c r="AF10" i="12"/>
  <c r="AE10" i="12"/>
  <c r="AD10" i="12"/>
  <c r="AA10" i="12"/>
  <c r="Z10" i="12"/>
  <c r="Y10" i="12"/>
  <c r="X10" i="12"/>
  <c r="W10" i="12"/>
  <c r="P10" i="12"/>
  <c r="O10" i="12"/>
  <c r="AQ10" i="12" s="1"/>
  <c r="N10" i="12"/>
  <c r="M10" i="12"/>
  <c r="AR10" i="12" s="1"/>
  <c r="AI9" i="12"/>
  <c r="AH9" i="12"/>
  <c r="W9" i="12"/>
  <c r="AU8" i="12"/>
  <c r="AR8" i="12"/>
  <c r="AN8" i="12"/>
  <c r="AI8" i="12"/>
  <c r="AT8" i="12" s="1"/>
  <c r="AH8" i="12"/>
  <c r="AF8" i="12"/>
  <c r="AE8" i="12"/>
  <c r="AD8" i="12"/>
  <c r="AB8" i="12"/>
  <c r="AA8" i="12"/>
  <c r="Z8" i="12"/>
  <c r="Y8" i="12"/>
  <c r="X8" i="12"/>
  <c r="W8" i="12"/>
  <c r="P8" i="12"/>
  <c r="O8" i="12"/>
  <c r="AQ8" i="12" s="1"/>
  <c r="N8" i="12"/>
  <c r="AO8" i="12" s="1"/>
  <c r="M8" i="12"/>
  <c r="AT7" i="12"/>
  <c r="AO7" i="12"/>
  <c r="AJ7" i="12"/>
  <c r="AI7" i="12"/>
  <c r="AH7" i="12"/>
  <c r="AF7" i="12"/>
  <c r="AE7" i="12"/>
  <c r="AC7" i="12"/>
  <c r="AA7" i="12"/>
  <c r="Z7" i="12"/>
  <c r="Y7" i="12"/>
  <c r="X7" i="12"/>
  <c r="W7" i="12"/>
  <c r="P7" i="12"/>
  <c r="O7" i="12"/>
  <c r="AQ7" i="12" s="1"/>
  <c r="N7" i="12"/>
  <c r="M7" i="12"/>
  <c r="AU6" i="12"/>
  <c r="AN6" i="12"/>
  <c r="AI6" i="12"/>
  <c r="AT6" i="12" s="1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M6" i="12"/>
  <c r="AR6" i="12" s="1"/>
  <c r="AI5" i="12"/>
  <c r="AH5" i="12"/>
  <c r="W5" i="12"/>
  <c r="AI4" i="12"/>
  <c r="AU3" i="12"/>
  <c r="AQ3" i="12"/>
  <c r="AO3" i="12"/>
  <c r="AI3" i="12"/>
  <c r="AH3" i="12"/>
  <c r="AN2" i="12"/>
  <c r="AN15" i="12" s="1"/>
  <c r="AM2" i="12"/>
  <c r="AL2" i="12"/>
  <c r="AK2" i="12"/>
  <c r="AJ2" i="12"/>
  <c r="AH2" i="12"/>
  <c r="AA2" i="12"/>
  <c r="A2" i="12"/>
  <c r="AU1" i="12"/>
  <c r="AU18" i="12" s="1"/>
  <c r="AR1" i="12"/>
  <c r="AR17" i="12" s="1"/>
  <c r="AQ1" i="12"/>
  <c r="AP1" i="12"/>
  <c r="AP10" i="12" s="1"/>
  <c r="AO1" i="12"/>
  <c r="AJ1" i="12"/>
  <c r="AA1" i="12"/>
  <c r="A1" i="12"/>
  <c r="AH1" i="12" s="1"/>
  <c r="AV85" i="11"/>
  <c r="AT85" i="11"/>
  <c r="AP85" i="11"/>
  <c r="AO85" i="11"/>
  <c r="AI85" i="11"/>
  <c r="AH85" i="11"/>
  <c r="AF85" i="11"/>
  <c r="AE85" i="11"/>
  <c r="AC85" i="11"/>
  <c r="AA85" i="11"/>
  <c r="Z85" i="11"/>
  <c r="Y85" i="11"/>
  <c r="X85" i="11"/>
  <c r="W85" i="11"/>
  <c r="P85" i="11"/>
  <c r="O85" i="11"/>
  <c r="N85" i="11"/>
  <c r="M85" i="11"/>
  <c r="AP84" i="11"/>
  <c r="AI84" i="11"/>
  <c r="AT84" i="11" s="1"/>
  <c r="AH84" i="11"/>
  <c r="AF84" i="11"/>
  <c r="AE84" i="11"/>
  <c r="AD84" i="11"/>
  <c r="AB84" i="11"/>
  <c r="AA84" i="11"/>
  <c r="Z84" i="11"/>
  <c r="Y84" i="11"/>
  <c r="X84" i="11"/>
  <c r="W84" i="11"/>
  <c r="P84" i="11"/>
  <c r="O84" i="11"/>
  <c r="N84" i="11"/>
  <c r="M84" i="11"/>
  <c r="AT83" i="11"/>
  <c r="AP83" i="11"/>
  <c r="AO83" i="11"/>
  <c r="AV83" i="11" s="1"/>
  <c r="AI83" i="11"/>
  <c r="AH83" i="11"/>
  <c r="AF83" i="11"/>
  <c r="AE83" i="11"/>
  <c r="AC83" i="11"/>
  <c r="AA83" i="11"/>
  <c r="Z83" i="11"/>
  <c r="Y83" i="11"/>
  <c r="X83" i="11"/>
  <c r="W83" i="11"/>
  <c r="P83" i="11"/>
  <c r="O83" i="11"/>
  <c r="AD83" i="11" s="1"/>
  <c r="N83" i="11"/>
  <c r="M83" i="11"/>
  <c r="AI82" i="11"/>
  <c r="AH82" i="11"/>
  <c r="W82" i="11"/>
  <c r="AT81" i="11"/>
  <c r="AI81" i="11"/>
  <c r="AH81" i="11"/>
  <c r="AF81" i="11"/>
  <c r="AE81" i="11"/>
  <c r="AC81" i="11"/>
  <c r="AA81" i="11"/>
  <c r="Z81" i="11"/>
  <c r="Y81" i="11"/>
  <c r="X81" i="11"/>
  <c r="W81" i="11"/>
  <c r="P81" i="11"/>
  <c r="O81" i="11"/>
  <c r="N81" i="11"/>
  <c r="M81" i="11"/>
  <c r="AI80" i="11"/>
  <c r="AH80" i="11"/>
  <c r="W80" i="11"/>
  <c r="AT79" i="11"/>
  <c r="AP79" i="11"/>
  <c r="AO79" i="11"/>
  <c r="AV79" i="11" s="1"/>
  <c r="AI79" i="11"/>
  <c r="AH79" i="11"/>
  <c r="AF79" i="11"/>
  <c r="AE79" i="11"/>
  <c r="AC79" i="11"/>
  <c r="AA79" i="11"/>
  <c r="Z79" i="11"/>
  <c r="Y79" i="11"/>
  <c r="X79" i="11"/>
  <c r="W79" i="11"/>
  <c r="P79" i="11"/>
  <c r="O79" i="11"/>
  <c r="AD79" i="11" s="1"/>
  <c r="N79" i="11"/>
  <c r="M79" i="11"/>
  <c r="AI78" i="11"/>
  <c r="AT78" i="11" s="1"/>
  <c r="AH78" i="11"/>
  <c r="AF78" i="11"/>
  <c r="AE78" i="11"/>
  <c r="AD78" i="11"/>
  <c r="AB78" i="11"/>
  <c r="AA78" i="11"/>
  <c r="Z78" i="11"/>
  <c r="Y78" i="11"/>
  <c r="X78" i="11"/>
  <c r="W78" i="11"/>
  <c r="P78" i="11"/>
  <c r="O78" i="11"/>
  <c r="N78" i="11"/>
  <c r="M78" i="11"/>
  <c r="AT77" i="11"/>
  <c r="AI77" i="11"/>
  <c r="AH77" i="11"/>
  <c r="AF77" i="11"/>
  <c r="AE77" i="11"/>
  <c r="AC77" i="11"/>
  <c r="AA77" i="11"/>
  <c r="Z77" i="11"/>
  <c r="Y77" i="11"/>
  <c r="X77" i="11"/>
  <c r="W77" i="11"/>
  <c r="P77" i="11"/>
  <c r="O77" i="11"/>
  <c r="N77" i="11"/>
  <c r="M77" i="11"/>
  <c r="AI76" i="11"/>
  <c r="AH76" i="11"/>
  <c r="W76" i="11"/>
  <c r="AT75" i="11"/>
  <c r="AP75" i="11"/>
  <c r="AO75" i="11"/>
  <c r="AV75" i="11" s="1"/>
  <c r="AI75" i="11"/>
  <c r="AH75" i="11"/>
  <c r="AF75" i="11"/>
  <c r="AE75" i="11"/>
  <c r="AC75" i="11"/>
  <c r="AA75" i="11"/>
  <c r="Z75" i="11"/>
  <c r="Y75" i="11"/>
  <c r="X75" i="11"/>
  <c r="W75" i="11"/>
  <c r="P75" i="11"/>
  <c r="O75" i="11"/>
  <c r="AD75" i="11" s="1"/>
  <c r="N75" i="11"/>
  <c r="M75" i="11"/>
  <c r="AP74" i="11"/>
  <c r="AI74" i="11"/>
  <c r="AH74" i="11"/>
  <c r="AF74" i="11"/>
  <c r="AE74" i="11"/>
  <c r="AD74" i="11"/>
  <c r="AB74" i="11"/>
  <c r="AA74" i="11"/>
  <c r="Z74" i="11"/>
  <c r="Y74" i="11"/>
  <c r="X74" i="11"/>
  <c r="W74" i="11"/>
  <c r="P74" i="11"/>
  <c r="O74" i="11"/>
  <c r="N74" i="11"/>
  <c r="AO74" i="11" s="1"/>
  <c r="AV74" i="11" s="1"/>
  <c r="M74" i="11"/>
  <c r="AI73" i="11"/>
  <c r="AH73" i="11"/>
  <c r="W73" i="11"/>
  <c r="AI72" i="11"/>
  <c r="AH72" i="11"/>
  <c r="AF72" i="11"/>
  <c r="AE72" i="11"/>
  <c r="AD72" i="11"/>
  <c r="AB72" i="11"/>
  <c r="AA72" i="11"/>
  <c r="Z72" i="11"/>
  <c r="Y72" i="11"/>
  <c r="X72" i="11"/>
  <c r="W72" i="11"/>
  <c r="P72" i="11"/>
  <c r="O72" i="11"/>
  <c r="N72" i="11"/>
  <c r="M72" i="11"/>
  <c r="AT71" i="11"/>
  <c r="AP71" i="11"/>
  <c r="AO71" i="11"/>
  <c r="AV71" i="11" s="1"/>
  <c r="AI71" i="11"/>
  <c r="AH71" i="11"/>
  <c r="AF71" i="11"/>
  <c r="AE71" i="11"/>
  <c r="AC71" i="11"/>
  <c r="AA71" i="11"/>
  <c r="Z71" i="11"/>
  <c r="Y71" i="11"/>
  <c r="X71" i="11"/>
  <c r="W71" i="11"/>
  <c r="P71" i="11"/>
  <c r="O71" i="11"/>
  <c r="AD71" i="11" s="1"/>
  <c r="N71" i="11"/>
  <c r="M71" i="11"/>
  <c r="AI70" i="11"/>
  <c r="AH70" i="11"/>
  <c r="AF70" i="11"/>
  <c r="AE70" i="11"/>
  <c r="AD70" i="11"/>
  <c r="AB70" i="11"/>
  <c r="AA70" i="11"/>
  <c r="Z70" i="11"/>
  <c r="Y70" i="11"/>
  <c r="X70" i="11"/>
  <c r="W70" i="11"/>
  <c r="P70" i="11"/>
  <c r="O70" i="11"/>
  <c r="N70" i="11"/>
  <c r="M70" i="11"/>
  <c r="AT69" i="11"/>
  <c r="AI69" i="11"/>
  <c r="AH69" i="11"/>
  <c r="AF69" i="11"/>
  <c r="AE69" i="11"/>
  <c r="AC69" i="11"/>
  <c r="AA69" i="11"/>
  <c r="Z69" i="11"/>
  <c r="Y69" i="11"/>
  <c r="X69" i="11"/>
  <c r="W69" i="11"/>
  <c r="P69" i="11"/>
  <c r="O69" i="11"/>
  <c r="N69" i="11"/>
  <c r="M69" i="11"/>
  <c r="AI68" i="11"/>
  <c r="AH68" i="11"/>
  <c r="W68" i="11"/>
  <c r="AT67" i="11"/>
  <c r="AI67" i="11"/>
  <c r="AH67" i="11"/>
  <c r="AF67" i="11"/>
  <c r="AE67" i="11"/>
  <c r="AC67" i="11"/>
  <c r="AA67" i="11"/>
  <c r="Z67" i="11"/>
  <c r="Y67" i="11"/>
  <c r="X67" i="11"/>
  <c r="W67" i="11"/>
  <c r="P67" i="11"/>
  <c r="O67" i="11"/>
  <c r="AD67" i="11" s="1"/>
  <c r="N67" i="11"/>
  <c r="M67" i="11"/>
  <c r="AI66" i="11"/>
  <c r="AH66" i="11"/>
  <c r="AF66" i="11"/>
  <c r="AE66" i="11"/>
  <c r="AD66" i="11"/>
  <c r="AB66" i="11"/>
  <c r="AA66" i="11"/>
  <c r="Z66" i="11"/>
  <c r="Y66" i="11"/>
  <c r="X66" i="11"/>
  <c r="W66" i="11"/>
  <c r="P66" i="11"/>
  <c r="O66" i="11"/>
  <c r="N66" i="11"/>
  <c r="M66" i="11"/>
  <c r="AI65" i="11"/>
  <c r="AH65" i="11"/>
  <c r="W65" i="11"/>
  <c r="AP64" i="11"/>
  <c r="AI64" i="11"/>
  <c r="AH64" i="11"/>
  <c r="AF64" i="11"/>
  <c r="AE64" i="11"/>
  <c r="AD64" i="11"/>
  <c r="AB64" i="11"/>
  <c r="AA64" i="11"/>
  <c r="Z64" i="11"/>
  <c r="Y64" i="11"/>
  <c r="X64" i="11"/>
  <c r="W64" i="11"/>
  <c r="P64" i="11"/>
  <c r="O64" i="11"/>
  <c r="N64" i="11"/>
  <c r="M64" i="11"/>
  <c r="AT63" i="11"/>
  <c r="AI63" i="11"/>
  <c r="AH63" i="11"/>
  <c r="AF63" i="11"/>
  <c r="AE63" i="11"/>
  <c r="AC63" i="11"/>
  <c r="AA63" i="11"/>
  <c r="Z63" i="11"/>
  <c r="Y63" i="11"/>
  <c r="X63" i="11"/>
  <c r="W63" i="11"/>
  <c r="P63" i="11"/>
  <c r="O63" i="11"/>
  <c r="AD63" i="11" s="1"/>
  <c r="N63" i="11"/>
  <c r="M63" i="11"/>
  <c r="AP62" i="11"/>
  <c r="AI62" i="11"/>
  <c r="AH62" i="11"/>
  <c r="AF62" i="11"/>
  <c r="AE62" i="11"/>
  <c r="AD62" i="11"/>
  <c r="AB62" i="11"/>
  <c r="AA62" i="11"/>
  <c r="Z62" i="11"/>
  <c r="Y62" i="11"/>
  <c r="X62" i="11"/>
  <c r="W62" i="11"/>
  <c r="P62" i="11"/>
  <c r="O62" i="11"/>
  <c r="N62" i="11"/>
  <c r="M62" i="11"/>
  <c r="AT61" i="11"/>
  <c r="AI61" i="11"/>
  <c r="AH61" i="11"/>
  <c r="AF61" i="11"/>
  <c r="AE61" i="11"/>
  <c r="AC61" i="11"/>
  <c r="AA61" i="11"/>
  <c r="Z61" i="11"/>
  <c r="Y61" i="11"/>
  <c r="X61" i="11"/>
  <c r="W61" i="11"/>
  <c r="P61" i="11"/>
  <c r="O61" i="11"/>
  <c r="AD61" i="11" s="1"/>
  <c r="N61" i="11"/>
  <c r="M61" i="11"/>
  <c r="AI60" i="11"/>
  <c r="AH60" i="11"/>
  <c r="W60" i="11"/>
  <c r="AT59" i="11"/>
  <c r="AP59" i="11"/>
  <c r="AO59" i="11"/>
  <c r="AV59" i="11" s="1"/>
  <c r="AI59" i="11"/>
  <c r="AH59" i="11"/>
  <c r="AF59" i="11"/>
  <c r="AE59" i="11"/>
  <c r="AC59" i="11"/>
  <c r="AA59" i="11"/>
  <c r="Z59" i="11"/>
  <c r="Y59" i="11"/>
  <c r="X59" i="11"/>
  <c r="W59" i="11"/>
  <c r="P59" i="11"/>
  <c r="O59" i="11"/>
  <c r="N59" i="11"/>
  <c r="M59" i="11"/>
  <c r="AP58" i="11"/>
  <c r="AI58" i="11"/>
  <c r="AH58" i="11"/>
  <c r="AF58" i="11"/>
  <c r="AE58" i="11"/>
  <c r="AD58" i="11"/>
  <c r="AB58" i="11"/>
  <c r="AA58" i="11"/>
  <c r="Z58" i="11"/>
  <c r="Y58" i="11"/>
  <c r="X58" i="11"/>
  <c r="W58" i="11"/>
  <c r="P58" i="11"/>
  <c r="O58" i="11"/>
  <c r="N58" i="11"/>
  <c r="M58" i="11"/>
  <c r="AV57" i="11"/>
  <c r="AP57" i="11"/>
  <c r="AO57" i="11"/>
  <c r="AI57" i="11"/>
  <c r="AT57" i="11" s="1"/>
  <c r="AH57" i="11"/>
  <c r="AF57" i="11"/>
  <c r="AE57" i="11"/>
  <c r="AC57" i="11"/>
  <c r="AA57" i="11"/>
  <c r="Z57" i="11"/>
  <c r="Y57" i="11"/>
  <c r="X57" i="11"/>
  <c r="W57" i="11"/>
  <c r="P57" i="11"/>
  <c r="O57" i="11"/>
  <c r="N57" i="11"/>
  <c r="M57" i="11"/>
  <c r="AB57" i="11" s="1"/>
  <c r="AP56" i="11"/>
  <c r="AI56" i="11"/>
  <c r="AT56" i="11" s="1"/>
  <c r="AH56" i="11"/>
  <c r="AF56" i="11"/>
  <c r="AE56" i="11"/>
  <c r="AD56" i="11"/>
  <c r="AC56" i="11"/>
  <c r="AB56" i="11"/>
  <c r="AA56" i="11"/>
  <c r="Z56" i="11"/>
  <c r="Y56" i="11"/>
  <c r="X56" i="11"/>
  <c r="W56" i="11"/>
  <c r="P56" i="11"/>
  <c r="O56" i="11"/>
  <c r="N56" i="11"/>
  <c r="M56" i="11"/>
  <c r="AT55" i="11"/>
  <c r="AN55" i="11"/>
  <c r="AI55" i="11"/>
  <c r="AH55" i="11"/>
  <c r="AF55" i="11"/>
  <c r="AE55" i="11"/>
  <c r="AD55" i="11"/>
  <c r="AC55" i="11"/>
  <c r="AA55" i="11"/>
  <c r="Z55" i="11"/>
  <c r="Y55" i="11"/>
  <c r="X55" i="11"/>
  <c r="W55" i="11"/>
  <c r="P55" i="11"/>
  <c r="O55" i="11"/>
  <c r="N55" i="11"/>
  <c r="M55" i="11"/>
  <c r="AI54" i="11"/>
  <c r="AH54" i="11"/>
  <c r="W54" i="11"/>
  <c r="AV53" i="11"/>
  <c r="AP53" i="11"/>
  <c r="AO53" i="11"/>
  <c r="AI53" i="11"/>
  <c r="AH53" i="11"/>
  <c r="AF53" i="11"/>
  <c r="AE53" i="11"/>
  <c r="AC53" i="11"/>
  <c r="AB53" i="11"/>
  <c r="AA53" i="11"/>
  <c r="Z53" i="11"/>
  <c r="Y53" i="11"/>
  <c r="X53" i="11"/>
  <c r="W53" i="11"/>
  <c r="P53" i="11"/>
  <c r="O53" i="11"/>
  <c r="AD53" i="11" s="1"/>
  <c r="N53" i="11"/>
  <c r="M53" i="11"/>
  <c r="AI52" i="11"/>
  <c r="AH52" i="11"/>
  <c r="W52" i="11"/>
  <c r="AP51" i="11"/>
  <c r="AI51" i="11"/>
  <c r="AH51" i="11"/>
  <c r="AF51" i="11"/>
  <c r="AE51" i="11"/>
  <c r="AB51" i="11"/>
  <c r="AA51" i="11"/>
  <c r="Z51" i="11"/>
  <c r="Y51" i="11"/>
  <c r="X51" i="11"/>
  <c r="W51" i="11"/>
  <c r="P51" i="11"/>
  <c r="O51" i="11"/>
  <c r="AD51" i="11" s="1"/>
  <c r="N51" i="11"/>
  <c r="AO51" i="11" s="1"/>
  <c r="AV51" i="11" s="1"/>
  <c r="M51" i="11"/>
  <c r="AT50" i="11"/>
  <c r="AP50" i="11"/>
  <c r="AI50" i="11"/>
  <c r="AH50" i="11"/>
  <c r="AF50" i="11"/>
  <c r="AE50" i="11"/>
  <c r="AC50" i="11"/>
  <c r="AB50" i="11"/>
  <c r="AA50" i="11"/>
  <c r="Z50" i="11"/>
  <c r="Y50" i="11"/>
  <c r="X50" i="11"/>
  <c r="W50" i="11"/>
  <c r="P50" i="11"/>
  <c r="O50" i="11"/>
  <c r="N50" i="11"/>
  <c r="AO50" i="11" s="1"/>
  <c r="AV50" i="11" s="1"/>
  <c r="M50" i="11"/>
  <c r="AI49" i="11"/>
  <c r="AH49" i="11"/>
  <c r="AF49" i="11"/>
  <c r="AE49" i="11"/>
  <c r="AD49" i="11"/>
  <c r="AC49" i="11"/>
  <c r="AB49" i="11"/>
  <c r="AA49" i="11"/>
  <c r="Z49" i="11"/>
  <c r="Y49" i="11"/>
  <c r="X49" i="11"/>
  <c r="W49" i="11"/>
  <c r="P49" i="11"/>
  <c r="O49" i="11"/>
  <c r="N49" i="11"/>
  <c r="M49" i="11"/>
  <c r="AT48" i="11"/>
  <c r="AO48" i="11"/>
  <c r="AI48" i="11"/>
  <c r="AH48" i="11"/>
  <c r="AF48" i="11"/>
  <c r="AE48" i="11"/>
  <c r="AD48" i="11"/>
  <c r="AC48" i="11"/>
  <c r="AA48" i="11"/>
  <c r="Z48" i="11"/>
  <c r="Y48" i="11"/>
  <c r="X48" i="11"/>
  <c r="W48" i="11"/>
  <c r="P48" i="11"/>
  <c r="O48" i="11"/>
  <c r="N48" i="11"/>
  <c r="M48" i="11"/>
  <c r="AT47" i="11"/>
  <c r="AI47" i="11"/>
  <c r="AH47" i="11"/>
  <c r="AF47" i="11"/>
  <c r="AE47" i="11"/>
  <c r="AD47" i="11"/>
  <c r="AA47" i="11"/>
  <c r="Z47" i="11"/>
  <c r="Y47" i="11"/>
  <c r="X47" i="11"/>
  <c r="W47" i="11"/>
  <c r="P47" i="11"/>
  <c r="O47" i="11"/>
  <c r="N47" i="11"/>
  <c r="M47" i="11"/>
  <c r="AV46" i="11"/>
  <c r="AQ46" i="11"/>
  <c r="AP46" i="11"/>
  <c r="AO46" i="11"/>
  <c r="AI46" i="11"/>
  <c r="AH46" i="11"/>
  <c r="AF46" i="11"/>
  <c r="AE46" i="11"/>
  <c r="AA46" i="11"/>
  <c r="Z46" i="11"/>
  <c r="Y46" i="11"/>
  <c r="X46" i="11"/>
  <c r="W46" i="11"/>
  <c r="P46" i="11"/>
  <c r="O46" i="11"/>
  <c r="AD46" i="11" s="1"/>
  <c r="N46" i="11"/>
  <c r="AC46" i="11" s="1"/>
  <c r="M46" i="11"/>
  <c r="AP45" i="11"/>
  <c r="AI45" i="11"/>
  <c r="AH45" i="11"/>
  <c r="AF45" i="11"/>
  <c r="AE45" i="11"/>
  <c r="AB45" i="11"/>
  <c r="AA45" i="11"/>
  <c r="Z45" i="11"/>
  <c r="Y45" i="11"/>
  <c r="X45" i="11"/>
  <c r="W45" i="11"/>
  <c r="P45" i="11"/>
  <c r="O45" i="11"/>
  <c r="AD45" i="11" s="1"/>
  <c r="N45" i="11"/>
  <c r="M45" i="11"/>
  <c r="AT44" i="11"/>
  <c r="AI44" i="11"/>
  <c r="AH44" i="11"/>
  <c r="AF44" i="11"/>
  <c r="AE44" i="11"/>
  <c r="AC44" i="11"/>
  <c r="AB44" i="11"/>
  <c r="AA44" i="11"/>
  <c r="Z44" i="11"/>
  <c r="Y44" i="11"/>
  <c r="X44" i="11"/>
  <c r="W44" i="11"/>
  <c r="P44" i="11"/>
  <c r="O44" i="11"/>
  <c r="AD44" i="11" s="1"/>
  <c r="N44" i="11"/>
  <c r="AO44" i="11" s="1"/>
  <c r="M44" i="11"/>
  <c r="AI43" i="11"/>
  <c r="AH43" i="11"/>
  <c r="W43" i="11"/>
  <c r="AQ42" i="11"/>
  <c r="AI42" i="11"/>
  <c r="AH42" i="11"/>
  <c r="AF42" i="11"/>
  <c r="AE42" i="11"/>
  <c r="AA42" i="11"/>
  <c r="Z42" i="11"/>
  <c r="Y42" i="11"/>
  <c r="X42" i="11"/>
  <c r="W42" i="11"/>
  <c r="P42" i="11"/>
  <c r="O42" i="11"/>
  <c r="AD42" i="11" s="1"/>
  <c r="N42" i="11"/>
  <c r="AC42" i="11" s="1"/>
  <c r="M42" i="11"/>
  <c r="AI41" i="11"/>
  <c r="AH41" i="11"/>
  <c r="AF41" i="11"/>
  <c r="AE41" i="11"/>
  <c r="AB41" i="11"/>
  <c r="AA41" i="11"/>
  <c r="Z41" i="11"/>
  <c r="Y41" i="11"/>
  <c r="X41" i="11"/>
  <c r="W41" i="11"/>
  <c r="P41" i="11"/>
  <c r="O41" i="11"/>
  <c r="AD41" i="11" s="1"/>
  <c r="N41" i="11"/>
  <c r="M41" i="11"/>
  <c r="AT40" i="11"/>
  <c r="AI40" i="11"/>
  <c r="AH40" i="11"/>
  <c r="AF40" i="11"/>
  <c r="AE40" i="11"/>
  <c r="AC40" i="11"/>
  <c r="AB40" i="11"/>
  <c r="AA40" i="11"/>
  <c r="Z40" i="11"/>
  <c r="Y40" i="11"/>
  <c r="X40" i="11"/>
  <c r="W40" i="11"/>
  <c r="P40" i="11"/>
  <c r="O40" i="11"/>
  <c r="AD40" i="11" s="1"/>
  <c r="N40" i="11"/>
  <c r="M40" i="11"/>
  <c r="AI39" i="11"/>
  <c r="AH39" i="11"/>
  <c r="W39" i="11"/>
  <c r="AV38" i="11"/>
  <c r="AP38" i="11"/>
  <c r="AO38" i="11"/>
  <c r="AI38" i="11"/>
  <c r="AH38" i="11"/>
  <c r="AF38" i="11"/>
  <c r="AE38" i="11"/>
  <c r="AA38" i="11"/>
  <c r="Z38" i="11"/>
  <c r="Y38" i="11"/>
  <c r="X38" i="11"/>
  <c r="W38" i="11"/>
  <c r="P38" i="11"/>
  <c r="O38" i="11"/>
  <c r="N38" i="11"/>
  <c r="AC38" i="11" s="1"/>
  <c r="M38" i="11"/>
  <c r="AI37" i="11"/>
  <c r="AH37" i="11"/>
  <c r="AF37" i="11"/>
  <c r="AE37" i="11"/>
  <c r="AB37" i="11"/>
  <c r="AA37" i="11"/>
  <c r="Z37" i="11"/>
  <c r="Y37" i="11"/>
  <c r="X37" i="11"/>
  <c r="W37" i="11"/>
  <c r="P37" i="11"/>
  <c r="O37" i="11"/>
  <c r="AD37" i="11" s="1"/>
  <c r="N37" i="11"/>
  <c r="M37" i="11"/>
  <c r="AI36" i="11"/>
  <c r="AH36" i="11"/>
  <c r="W36" i="11"/>
  <c r="AT35" i="11"/>
  <c r="AP35" i="11"/>
  <c r="AI35" i="11"/>
  <c r="AH35" i="11"/>
  <c r="AF35" i="11"/>
  <c r="AE35" i="11"/>
  <c r="AD35" i="11"/>
  <c r="AA35" i="11"/>
  <c r="Z35" i="11"/>
  <c r="Y35" i="11"/>
  <c r="X35" i="11"/>
  <c r="W35" i="11"/>
  <c r="P35" i="11"/>
  <c r="O35" i="11"/>
  <c r="N35" i="11"/>
  <c r="M35" i="11"/>
  <c r="AO34" i="11"/>
  <c r="AI34" i="11"/>
  <c r="AH34" i="11"/>
  <c r="AF34" i="11"/>
  <c r="AE34" i="11"/>
  <c r="AA34" i="11"/>
  <c r="Z34" i="11"/>
  <c r="Y34" i="11"/>
  <c r="X34" i="11"/>
  <c r="W34" i="11"/>
  <c r="P34" i="11"/>
  <c r="O34" i="11"/>
  <c r="AD34" i="11" s="1"/>
  <c r="N34" i="11"/>
  <c r="AC34" i="11" s="1"/>
  <c r="M34" i="11"/>
  <c r="AI33" i="11"/>
  <c r="AH33" i="11"/>
  <c r="W33" i="11"/>
  <c r="AT32" i="11"/>
  <c r="AI32" i="11"/>
  <c r="AH32" i="11"/>
  <c r="AF32" i="11"/>
  <c r="AE32" i="11"/>
  <c r="AD32" i="11"/>
  <c r="AC32" i="11"/>
  <c r="AA32" i="11"/>
  <c r="Z32" i="11"/>
  <c r="Y32" i="11"/>
  <c r="X32" i="11"/>
  <c r="W32" i="11"/>
  <c r="P32" i="11"/>
  <c r="O32" i="11"/>
  <c r="N32" i="11"/>
  <c r="M32" i="11"/>
  <c r="AU31" i="11"/>
  <c r="AT31" i="11"/>
  <c r="AI31" i="11"/>
  <c r="AH31" i="11"/>
  <c r="AF31" i="11"/>
  <c r="AE31" i="11"/>
  <c r="AD31" i="11"/>
  <c r="AA31" i="11"/>
  <c r="Z31" i="11"/>
  <c r="Y31" i="11"/>
  <c r="X31" i="11"/>
  <c r="W31" i="11"/>
  <c r="P31" i="11"/>
  <c r="O31" i="11"/>
  <c r="N31" i="11"/>
  <c r="M31" i="11"/>
  <c r="AI30" i="11"/>
  <c r="AH30" i="11"/>
  <c r="W30" i="11"/>
  <c r="AP29" i="11"/>
  <c r="AO29" i="11"/>
  <c r="AV29" i="11" s="1"/>
  <c r="AI29" i="11"/>
  <c r="AH29" i="11"/>
  <c r="AF29" i="11"/>
  <c r="AE29" i="11"/>
  <c r="AD29" i="11"/>
  <c r="AC29" i="11"/>
  <c r="AB29" i="11"/>
  <c r="AA29" i="11"/>
  <c r="Z29" i="11"/>
  <c r="Y29" i="11"/>
  <c r="X29" i="11"/>
  <c r="W29" i="11"/>
  <c r="P29" i="11"/>
  <c r="O29" i="11"/>
  <c r="N29" i="11"/>
  <c r="M29" i="11"/>
  <c r="AV28" i="11"/>
  <c r="AT28" i="11"/>
  <c r="AP28" i="11"/>
  <c r="AO28" i="11"/>
  <c r="AI28" i="11"/>
  <c r="AH28" i="11"/>
  <c r="AF28" i="11"/>
  <c r="AE28" i="11"/>
  <c r="AD28" i="11"/>
  <c r="AC28" i="11"/>
  <c r="AA28" i="11"/>
  <c r="Z28" i="11"/>
  <c r="Y28" i="11"/>
  <c r="X28" i="11"/>
  <c r="W28" i="11"/>
  <c r="P28" i="11"/>
  <c r="O28" i="11"/>
  <c r="N28" i="11"/>
  <c r="M28" i="11"/>
  <c r="AT27" i="11"/>
  <c r="AP27" i="11"/>
  <c r="AI27" i="11"/>
  <c r="AH27" i="11"/>
  <c r="AF27" i="11"/>
  <c r="AE27" i="11"/>
  <c r="AD27" i="11"/>
  <c r="AA27" i="11"/>
  <c r="Z27" i="11"/>
  <c r="Y27" i="11"/>
  <c r="X27" i="11"/>
  <c r="W27" i="11"/>
  <c r="P27" i="11"/>
  <c r="O27" i="11"/>
  <c r="N27" i="11"/>
  <c r="M27" i="11"/>
  <c r="AI26" i="11"/>
  <c r="AH26" i="11"/>
  <c r="W26" i="11"/>
  <c r="AP25" i="11"/>
  <c r="AO25" i="11"/>
  <c r="AV25" i="11" s="1"/>
  <c r="AI25" i="11"/>
  <c r="AH25" i="11"/>
  <c r="AF25" i="11"/>
  <c r="AE25" i="11"/>
  <c r="AD25" i="11"/>
  <c r="AC25" i="11"/>
  <c r="AB25" i="11"/>
  <c r="AA25" i="11"/>
  <c r="Z25" i="11"/>
  <c r="Y25" i="11"/>
  <c r="X25" i="11"/>
  <c r="W25" i="11"/>
  <c r="P25" i="11"/>
  <c r="O25" i="11"/>
  <c r="N25" i="11"/>
  <c r="M25" i="11"/>
  <c r="AV24" i="11"/>
  <c r="AT24" i="11"/>
  <c r="AP24" i="11"/>
  <c r="AO24" i="11"/>
  <c r="AJ24" i="11"/>
  <c r="AI24" i="11"/>
  <c r="AH24" i="11"/>
  <c r="AF24" i="11"/>
  <c r="AE24" i="11"/>
  <c r="AD24" i="11"/>
  <c r="AC24" i="11"/>
  <c r="AA24" i="11"/>
  <c r="Z24" i="11"/>
  <c r="Y24" i="11"/>
  <c r="X24" i="11"/>
  <c r="W24" i="11"/>
  <c r="P24" i="11"/>
  <c r="O24" i="11"/>
  <c r="N24" i="11"/>
  <c r="M24" i="11"/>
  <c r="AT23" i="11"/>
  <c r="AP23" i="11"/>
  <c r="AI23" i="11"/>
  <c r="AH23" i="11"/>
  <c r="AF23" i="11"/>
  <c r="AE23" i="11"/>
  <c r="AD23" i="11"/>
  <c r="AA23" i="11"/>
  <c r="Z23" i="11"/>
  <c r="Y23" i="11"/>
  <c r="X23" i="11"/>
  <c r="W23" i="11"/>
  <c r="P23" i="11"/>
  <c r="O23" i="11"/>
  <c r="N23" i="11"/>
  <c r="M23" i="11"/>
  <c r="AV22" i="11"/>
  <c r="AP22" i="11"/>
  <c r="AO22" i="11"/>
  <c r="AI22" i="11"/>
  <c r="AH22" i="11"/>
  <c r="AF22" i="11"/>
  <c r="AE22" i="11"/>
  <c r="AA22" i="11"/>
  <c r="Z22" i="11"/>
  <c r="Y22" i="11"/>
  <c r="X22" i="11"/>
  <c r="W22" i="11"/>
  <c r="P22" i="11"/>
  <c r="O22" i="11"/>
  <c r="N22" i="11"/>
  <c r="AC22" i="11" s="1"/>
  <c r="M22" i="11"/>
  <c r="AI21" i="11"/>
  <c r="AH21" i="11"/>
  <c r="W21" i="11"/>
  <c r="AT20" i="11"/>
  <c r="AI20" i="11"/>
  <c r="AH20" i="11"/>
  <c r="AF20" i="11"/>
  <c r="AE20" i="11"/>
  <c r="AD20" i="11"/>
  <c r="AC20" i="11"/>
  <c r="AA20" i="11"/>
  <c r="Z20" i="11"/>
  <c r="Y20" i="11"/>
  <c r="X20" i="11"/>
  <c r="W20" i="11"/>
  <c r="P20" i="11"/>
  <c r="O20" i="11"/>
  <c r="N20" i="11"/>
  <c r="M20" i="11"/>
  <c r="AT19" i="11"/>
  <c r="AN19" i="11"/>
  <c r="AI19" i="11"/>
  <c r="AH19" i="11"/>
  <c r="AF19" i="11"/>
  <c r="AE19" i="11"/>
  <c r="AD19" i="11"/>
  <c r="AA19" i="11"/>
  <c r="Z19" i="11"/>
  <c r="Y19" i="11"/>
  <c r="X19" i="11"/>
  <c r="W19" i="11"/>
  <c r="P19" i="11"/>
  <c r="O19" i="11"/>
  <c r="N19" i="11"/>
  <c r="M19" i="11"/>
  <c r="AR19" i="11" s="1"/>
  <c r="AI18" i="11"/>
  <c r="AN18" i="11" s="1"/>
  <c r="AH18" i="11"/>
  <c r="AF18" i="11"/>
  <c r="AE18" i="11"/>
  <c r="AA18" i="11"/>
  <c r="Z18" i="11"/>
  <c r="Y18" i="11"/>
  <c r="X18" i="11"/>
  <c r="W18" i="11"/>
  <c r="P18" i="11"/>
  <c r="O18" i="11"/>
  <c r="AD18" i="11" s="1"/>
  <c r="N18" i="11"/>
  <c r="AC18" i="11" s="1"/>
  <c r="M18" i="11"/>
  <c r="AI17" i="11"/>
  <c r="AH17" i="11"/>
  <c r="W17" i="11"/>
  <c r="AT16" i="11"/>
  <c r="AP16" i="11"/>
  <c r="AJ16" i="11"/>
  <c r="AI16" i="11"/>
  <c r="AH16" i="11"/>
  <c r="AF16" i="11"/>
  <c r="AE16" i="11"/>
  <c r="AD16" i="11"/>
  <c r="AC16" i="11"/>
  <c r="AA16" i="11"/>
  <c r="Z16" i="11"/>
  <c r="Y16" i="11"/>
  <c r="X16" i="11"/>
  <c r="W16" i="11"/>
  <c r="P16" i="11"/>
  <c r="O16" i="11"/>
  <c r="N16" i="11"/>
  <c r="AO16" i="11" s="1"/>
  <c r="AV16" i="11" s="1"/>
  <c r="M16" i="11"/>
  <c r="AT15" i="11"/>
  <c r="AP15" i="11"/>
  <c r="AN15" i="11"/>
  <c r="AI15" i="11"/>
  <c r="AH15" i="11"/>
  <c r="AF15" i="11"/>
  <c r="AE15" i="11"/>
  <c r="AA15" i="11"/>
  <c r="Z15" i="11"/>
  <c r="Y15" i="11"/>
  <c r="X15" i="11"/>
  <c r="W15" i="11"/>
  <c r="P15" i="11"/>
  <c r="O15" i="11"/>
  <c r="AD15" i="11" s="1"/>
  <c r="N15" i="11"/>
  <c r="AC15" i="11" s="1"/>
  <c r="M15" i="11"/>
  <c r="AI14" i="11"/>
  <c r="AH14" i="11"/>
  <c r="W14" i="11"/>
  <c r="AV13" i="11"/>
  <c r="AT13" i="11"/>
  <c r="AP13" i="11"/>
  <c r="AO13" i="11"/>
  <c r="AI13" i="11"/>
  <c r="AH13" i="11"/>
  <c r="AF13" i="11"/>
  <c r="AE13" i="11"/>
  <c r="AD13" i="11"/>
  <c r="AC13" i="11"/>
  <c r="AB13" i="11"/>
  <c r="AA13" i="11"/>
  <c r="Z13" i="11"/>
  <c r="Y13" i="11"/>
  <c r="X13" i="11"/>
  <c r="W13" i="11"/>
  <c r="P13" i="11"/>
  <c r="O13" i="11"/>
  <c r="N13" i="11"/>
  <c r="M13" i="11"/>
  <c r="AT12" i="11"/>
  <c r="AP12" i="11"/>
  <c r="AI12" i="11"/>
  <c r="AH12" i="11"/>
  <c r="AF12" i="11"/>
  <c r="AE12" i="11"/>
  <c r="AD12" i="11"/>
  <c r="AA12" i="11"/>
  <c r="Z12" i="11"/>
  <c r="Y12" i="11"/>
  <c r="X12" i="11"/>
  <c r="W12" i="11"/>
  <c r="P12" i="11"/>
  <c r="O12" i="11"/>
  <c r="N12" i="11"/>
  <c r="M12" i="11"/>
  <c r="AT11" i="11"/>
  <c r="AP11" i="11"/>
  <c r="AO11" i="11"/>
  <c r="AN11" i="11"/>
  <c r="AI11" i="11"/>
  <c r="AH11" i="11"/>
  <c r="AF11" i="11"/>
  <c r="AE11" i="11"/>
  <c r="AA11" i="11"/>
  <c r="Z11" i="11"/>
  <c r="Y11" i="11"/>
  <c r="X11" i="11"/>
  <c r="W11" i="11"/>
  <c r="P11" i="11"/>
  <c r="O11" i="11"/>
  <c r="AQ11" i="11" s="1"/>
  <c r="N11" i="11"/>
  <c r="AC11" i="11" s="1"/>
  <c r="M11" i="11"/>
  <c r="AI10" i="11"/>
  <c r="AH10" i="11"/>
  <c r="AF10" i="11"/>
  <c r="AE10" i="11"/>
  <c r="AA10" i="11"/>
  <c r="Z10" i="11"/>
  <c r="Y10" i="11"/>
  <c r="X10" i="11"/>
  <c r="W10" i="11"/>
  <c r="P10" i="11"/>
  <c r="O10" i="11"/>
  <c r="AQ10" i="11" s="1"/>
  <c r="N10" i="11"/>
  <c r="AC10" i="11" s="1"/>
  <c r="M10" i="11"/>
  <c r="AQ9" i="11"/>
  <c r="AO9" i="11"/>
  <c r="AI9" i="11"/>
  <c r="AN9" i="11" s="1"/>
  <c r="AH9" i="11"/>
  <c r="AF9" i="11"/>
  <c r="AE9" i="11"/>
  <c r="AC9" i="11"/>
  <c r="AA9" i="11"/>
  <c r="Z9" i="11"/>
  <c r="Y9" i="11"/>
  <c r="X9" i="11"/>
  <c r="W9" i="11"/>
  <c r="P9" i="11"/>
  <c r="O9" i="11"/>
  <c r="AD9" i="11" s="1"/>
  <c r="N9" i="11"/>
  <c r="M9" i="11"/>
  <c r="AI8" i="11"/>
  <c r="AH8" i="11"/>
  <c r="W8" i="11"/>
  <c r="AT7" i="11"/>
  <c r="AP7" i="11"/>
  <c r="AJ7" i="11"/>
  <c r="AI7" i="11"/>
  <c r="AN7" i="11" s="1"/>
  <c r="AH7" i="11"/>
  <c r="AF7" i="11"/>
  <c r="AE7" i="11"/>
  <c r="AC7" i="11"/>
  <c r="AA7" i="11"/>
  <c r="Z7" i="11"/>
  <c r="Y7" i="11"/>
  <c r="X7" i="11"/>
  <c r="W7" i="11"/>
  <c r="P7" i="11"/>
  <c r="O7" i="11"/>
  <c r="AD7" i="11" s="1"/>
  <c r="N7" i="11"/>
  <c r="AO7" i="11" s="1"/>
  <c r="AV7" i="11" s="1"/>
  <c r="M7" i="11"/>
  <c r="AU6" i="11"/>
  <c r="AP6" i="11"/>
  <c r="AI6" i="11"/>
  <c r="AH6" i="11"/>
  <c r="AF6" i="11"/>
  <c r="AE6" i="11"/>
  <c r="AD6" i="11"/>
  <c r="AB6" i="11"/>
  <c r="AA6" i="11"/>
  <c r="Z6" i="11"/>
  <c r="Y6" i="11"/>
  <c r="X6" i="11"/>
  <c r="W6" i="11"/>
  <c r="P6" i="11"/>
  <c r="O6" i="11"/>
  <c r="AQ6" i="11" s="1"/>
  <c r="N6" i="11"/>
  <c r="AO6" i="11" s="1"/>
  <c r="AV6" i="11" s="1"/>
  <c r="M6" i="11"/>
  <c r="AI5" i="11"/>
  <c r="AH5" i="11"/>
  <c r="W5" i="11"/>
  <c r="AI4" i="11"/>
  <c r="AU3" i="11"/>
  <c r="AQ3" i="11"/>
  <c r="AO3" i="11"/>
  <c r="AI3" i="11"/>
  <c r="AH3" i="11"/>
  <c r="AN2" i="11"/>
  <c r="AN78" i="11" s="1"/>
  <c r="AM2" i="11"/>
  <c r="AL2" i="11"/>
  <c r="AK2" i="11"/>
  <c r="AJ2" i="11"/>
  <c r="AJ32" i="11" s="1"/>
  <c r="AA2" i="11"/>
  <c r="A2" i="11"/>
  <c r="AU1" i="11"/>
  <c r="AU19" i="11" s="1"/>
  <c r="AR1" i="11"/>
  <c r="AR25" i="11" s="1"/>
  <c r="AQ1" i="11"/>
  <c r="AP1" i="11"/>
  <c r="AO1" i="11"/>
  <c r="AO77" i="11" s="1"/>
  <c r="AJ1" i="11"/>
  <c r="AA1" i="11"/>
  <c r="A1" i="11"/>
  <c r="AH1" i="11" s="1"/>
  <c r="AH2" i="11" s="1"/>
  <c r="AT24" i="10"/>
  <c r="AP24" i="10"/>
  <c r="AO24" i="10"/>
  <c r="AV24" i="10" s="1"/>
  <c r="AI24" i="10"/>
  <c r="AN24" i="10" s="1"/>
  <c r="AH24" i="10"/>
  <c r="AF24" i="10"/>
  <c r="AE24" i="10"/>
  <c r="AC24" i="10"/>
  <c r="AA24" i="10"/>
  <c r="Z24" i="10"/>
  <c r="Y24" i="10"/>
  <c r="X24" i="10"/>
  <c r="W24" i="10"/>
  <c r="P24" i="10"/>
  <c r="O24" i="10"/>
  <c r="AD24" i="10" s="1"/>
  <c r="N24" i="10"/>
  <c r="M24" i="10"/>
  <c r="AR24" i="10" s="1"/>
  <c r="AR23" i="10"/>
  <c r="AP23" i="10"/>
  <c r="AI23" i="10"/>
  <c r="AH23" i="10"/>
  <c r="AF23" i="10"/>
  <c r="AE23" i="10"/>
  <c r="AD23" i="10"/>
  <c r="AB23" i="10"/>
  <c r="AA23" i="10"/>
  <c r="Z23" i="10"/>
  <c r="Y23" i="10"/>
  <c r="X23" i="10"/>
  <c r="W23" i="10"/>
  <c r="P23" i="10"/>
  <c r="O23" i="10"/>
  <c r="N23" i="10"/>
  <c r="AO23" i="10" s="1"/>
  <c r="AV23" i="10" s="1"/>
  <c r="M23" i="10"/>
  <c r="AT22" i="10"/>
  <c r="AI22" i="10"/>
  <c r="AH22" i="10"/>
  <c r="AF22" i="10"/>
  <c r="AE22" i="10"/>
  <c r="AC22" i="10"/>
  <c r="AA22" i="10"/>
  <c r="Z22" i="10"/>
  <c r="Y22" i="10"/>
  <c r="X22" i="10"/>
  <c r="W22" i="10"/>
  <c r="P22" i="10"/>
  <c r="O22" i="10"/>
  <c r="AD22" i="10" s="1"/>
  <c r="N22" i="10"/>
  <c r="M22" i="10"/>
  <c r="AR22" i="10" s="1"/>
  <c r="AI21" i="10"/>
  <c r="AH21" i="10"/>
  <c r="W21" i="10"/>
  <c r="AT20" i="10"/>
  <c r="AP20" i="10"/>
  <c r="AO20" i="10"/>
  <c r="AV20" i="10" s="1"/>
  <c r="AI20" i="10"/>
  <c r="AN20" i="10" s="1"/>
  <c r="AH20" i="10"/>
  <c r="AF20" i="10"/>
  <c r="AE20" i="10"/>
  <c r="AC20" i="10"/>
  <c r="AA20" i="10"/>
  <c r="Z20" i="10"/>
  <c r="Y20" i="10"/>
  <c r="X20" i="10"/>
  <c r="W20" i="10"/>
  <c r="P20" i="10"/>
  <c r="O20" i="10"/>
  <c r="AD20" i="10" s="1"/>
  <c r="N20" i="10"/>
  <c r="M20" i="10"/>
  <c r="AR20" i="10" s="1"/>
  <c r="AR19" i="10"/>
  <c r="AP19" i="10"/>
  <c r="AI19" i="10"/>
  <c r="AH19" i="10"/>
  <c r="AF19" i="10"/>
  <c r="AE19" i="10"/>
  <c r="AD19" i="10"/>
  <c r="AB19" i="10"/>
  <c r="AA19" i="10"/>
  <c r="Z19" i="10"/>
  <c r="Y19" i="10"/>
  <c r="X19" i="10"/>
  <c r="W19" i="10"/>
  <c r="P19" i="10"/>
  <c r="O19" i="10"/>
  <c r="N19" i="10"/>
  <c r="AO19" i="10" s="1"/>
  <c r="AV19" i="10" s="1"/>
  <c r="M19" i="10"/>
  <c r="AT18" i="10"/>
  <c r="AP18" i="10"/>
  <c r="AO18" i="10"/>
  <c r="AV18" i="10" s="1"/>
  <c r="AI18" i="10"/>
  <c r="AH18" i="10"/>
  <c r="AF18" i="10"/>
  <c r="AE18" i="10"/>
  <c r="AC18" i="10"/>
  <c r="AA18" i="10"/>
  <c r="Z18" i="10"/>
  <c r="Y18" i="10"/>
  <c r="X18" i="10"/>
  <c r="W18" i="10"/>
  <c r="P18" i="10"/>
  <c r="O18" i="10"/>
  <c r="AD18" i="10" s="1"/>
  <c r="N18" i="10"/>
  <c r="M18" i="10"/>
  <c r="AR18" i="10" s="1"/>
  <c r="AP17" i="10"/>
  <c r="AI17" i="10"/>
  <c r="AT17" i="10" s="1"/>
  <c r="AH17" i="10"/>
  <c r="AF17" i="10"/>
  <c r="AE17" i="10"/>
  <c r="AD17" i="10"/>
  <c r="AB17" i="10"/>
  <c r="AA17" i="10"/>
  <c r="Z17" i="10"/>
  <c r="Y17" i="10"/>
  <c r="X17" i="10"/>
  <c r="W17" i="10"/>
  <c r="P17" i="10"/>
  <c r="O17" i="10"/>
  <c r="N17" i="10"/>
  <c r="AO17" i="10" s="1"/>
  <c r="AV17" i="10" s="1"/>
  <c r="M17" i="10"/>
  <c r="AV16" i="10"/>
  <c r="AT16" i="10"/>
  <c r="AP16" i="10"/>
  <c r="AO16" i="10"/>
  <c r="AI16" i="10"/>
  <c r="AH16" i="10"/>
  <c r="AF16" i="10"/>
  <c r="AE16" i="10"/>
  <c r="AC16" i="10"/>
  <c r="AA16" i="10"/>
  <c r="Z16" i="10"/>
  <c r="Y16" i="10"/>
  <c r="X16" i="10"/>
  <c r="W16" i="10"/>
  <c r="P16" i="10"/>
  <c r="O16" i="10"/>
  <c r="N16" i="10"/>
  <c r="M16" i="10"/>
  <c r="AR15" i="10"/>
  <c r="AP15" i="10"/>
  <c r="AI15" i="10"/>
  <c r="AT15" i="10" s="1"/>
  <c r="AH15" i="10"/>
  <c r="AF15" i="10"/>
  <c r="AE15" i="10"/>
  <c r="AD15" i="10"/>
  <c r="AB15" i="10"/>
  <c r="AA15" i="10"/>
  <c r="Z15" i="10"/>
  <c r="Y15" i="10"/>
  <c r="X15" i="10"/>
  <c r="W15" i="10"/>
  <c r="P15" i="10"/>
  <c r="O15" i="10"/>
  <c r="N15" i="10"/>
  <c r="M15" i="10"/>
  <c r="AT14" i="10"/>
  <c r="AP14" i="10"/>
  <c r="AO14" i="10"/>
  <c r="AV14" i="10" s="1"/>
  <c r="AI14" i="10"/>
  <c r="AH14" i="10"/>
  <c r="AF14" i="10"/>
  <c r="AE14" i="10"/>
  <c r="AC14" i="10"/>
  <c r="AA14" i="10"/>
  <c r="Z14" i="10"/>
  <c r="Y14" i="10"/>
  <c r="X14" i="10"/>
  <c r="W14" i="10"/>
  <c r="P14" i="10"/>
  <c r="O14" i="10"/>
  <c r="AD14" i="10" s="1"/>
  <c r="N14" i="10"/>
  <c r="M14" i="10"/>
  <c r="AR14" i="10" s="1"/>
  <c r="AR13" i="10"/>
  <c r="AP13" i="10"/>
  <c r="AI13" i="10"/>
  <c r="AH13" i="10"/>
  <c r="AF13" i="10"/>
  <c r="AE13" i="10"/>
  <c r="AD13" i="10"/>
  <c r="AB13" i="10"/>
  <c r="AA13" i="10"/>
  <c r="Z13" i="10"/>
  <c r="Y13" i="10"/>
  <c r="X13" i="10"/>
  <c r="W13" i="10"/>
  <c r="P13" i="10"/>
  <c r="O13" i="10"/>
  <c r="N13" i="10"/>
  <c r="AO13" i="10" s="1"/>
  <c r="AV13" i="10" s="1"/>
  <c r="M13" i="10"/>
  <c r="AT12" i="10"/>
  <c r="AP12" i="10"/>
  <c r="AO12" i="10"/>
  <c r="AV12" i="10" s="1"/>
  <c r="AI12" i="10"/>
  <c r="AH12" i="10"/>
  <c r="AF12" i="10"/>
  <c r="AE12" i="10"/>
  <c r="AC12" i="10"/>
  <c r="AA12" i="10"/>
  <c r="Z12" i="10"/>
  <c r="Y12" i="10"/>
  <c r="X12" i="10"/>
  <c r="W12" i="10"/>
  <c r="P12" i="10"/>
  <c r="O12" i="10"/>
  <c r="AD12" i="10" s="1"/>
  <c r="N12" i="10"/>
  <c r="M12" i="10"/>
  <c r="AR11" i="10"/>
  <c r="AP11" i="10"/>
  <c r="AI11" i="10"/>
  <c r="AT11" i="10" s="1"/>
  <c r="AH11" i="10"/>
  <c r="AF11" i="10"/>
  <c r="AE11" i="10"/>
  <c r="AD11" i="10"/>
  <c r="AB11" i="10"/>
  <c r="AA11" i="10"/>
  <c r="Z11" i="10"/>
  <c r="Y11" i="10"/>
  <c r="X11" i="10"/>
  <c r="W11" i="10"/>
  <c r="P11" i="10"/>
  <c r="O11" i="10"/>
  <c r="N11" i="10"/>
  <c r="M11" i="10"/>
  <c r="AV10" i="10"/>
  <c r="AT10" i="10"/>
  <c r="AP10" i="10"/>
  <c r="AO10" i="10"/>
  <c r="AI10" i="10"/>
  <c r="AH10" i="10"/>
  <c r="AF10" i="10"/>
  <c r="AE10" i="10"/>
  <c r="AC10" i="10"/>
  <c r="AA10" i="10"/>
  <c r="Z10" i="10"/>
  <c r="Y10" i="10"/>
  <c r="X10" i="10"/>
  <c r="W10" i="10"/>
  <c r="P10" i="10"/>
  <c r="O10" i="10"/>
  <c r="AD10" i="10" s="1"/>
  <c r="N10" i="10"/>
  <c r="M10" i="10"/>
  <c r="AI9" i="10"/>
  <c r="AH9" i="10"/>
  <c r="W9" i="10"/>
  <c r="AT8" i="10"/>
  <c r="AQ8" i="10"/>
  <c r="AP8" i="10"/>
  <c r="AO8" i="10"/>
  <c r="AV8" i="10" s="1"/>
  <c r="AI8" i="10"/>
  <c r="AH8" i="10"/>
  <c r="AF8" i="10"/>
  <c r="AE8" i="10"/>
  <c r="AC8" i="10"/>
  <c r="AA8" i="10"/>
  <c r="Z8" i="10"/>
  <c r="Y8" i="10"/>
  <c r="X8" i="10"/>
  <c r="W8" i="10"/>
  <c r="P8" i="10"/>
  <c r="O8" i="10"/>
  <c r="AD8" i="10" s="1"/>
  <c r="N8" i="10"/>
  <c r="M8" i="10"/>
  <c r="AU7" i="10"/>
  <c r="AR7" i="10"/>
  <c r="AP7" i="10"/>
  <c r="AI7" i="10"/>
  <c r="AH7" i="10"/>
  <c r="AF7" i="10"/>
  <c r="AE7" i="10"/>
  <c r="AD7" i="10"/>
  <c r="AB7" i="10"/>
  <c r="AA7" i="10"/>
  <c r="Z7" i="10"/>
  <c r="Y7" i="10"/>
  <c r="X7" i="10"/>
  <c r="W7" i="10"/>
  <c r="P7" i="10"/>
  <c r="O7" i="10"/>
  <c r="N7" i="10"/>
  <c r="M7" i="10"/>
  <c r="AT6" i="10"/>
  <c r="AP6" i="10"/>
  <c r="AO6" i="10"/>
  <c r="AV6" i="10" s="1"/>
  <c r="AJ6" i="10"/>
  <c r="AI6" i="10"/>
  <c r="AH6" i="10"/>
  <c r="AF6" i="10"/>
  <c r="AE6" i="10"/>
  <c r="AC6" i="10"/>
  <c r="AA6" i="10"/>
  <c r="Z6" i="10"/>
  <c r="Y6" i="10"/>
  <c r="X6" i="10"/>
  <c r="W6" i="10"/>
  <c r="P6" i="10"/>
  <c r="O6" i="10"/>
  <c r="N6" i="10"/>
  <c r="M6" i="10"/>
  <c r="AI5" i="10"/>
  <c r="AH5" i="10"/>
  <c r="W5" i="10"/>
  <c r="AI4" i="10"/>
  <c r="AR3" i="10"/>
  <c r="AP3" i="10"/>
  <c r="AI3" i="10"/>
  <c r="AH3" i="10"/>
  <c r="AN2" i="10"/>
  <c r="AN11" i="10" s="1"/>
  <c r="AM2" i="10"/>
  <c r="AL2" i="10"/>
  <c r="AK2" i="10"/>
  <c r="AJ2" i="10"/>
  <c r="AJ18" i="10" s="1"/>
  <c r="AA2" i="10"/>
  <c r="A2" i="10"/>
  <c r="AU1" i="10"/>
  <c r="AR1" i="10"/>
  <c r="AR17" i="10" s="1"/>
  <c r="AQ1" i="10"/>
  <c r="AQ3" i="10" s="1"/>
  <c r="AP1" i="10"/>
  <c r="AP22" i="10" s="1"/>
  <c r="AO1" i="10"/>
  <c r="AA1" i="10"/>
  <c r="A1" i="10"/>
  <c r="AJ1" i="10" s="1"/>
  <c r="AP88" i="9"/>
  <c r="AI88" i="9"/>
  <c r="AH88" i="9"/>
  <c r="AF88" i="9"/>
  <c r="AE88" i="9"/>
  <c r="AD88" i="9"/>
  <c r="AB88" i="9"/>
  <c r="AA88" i="9"/>
  <c r="Z88" i="9"/>
  <c r="Y88" i="9"/>
  <c r="X88" i="9"/>
  <c r="W88" i="9"/>
  <c r="P88" i="9"/>
  <c r="O88" i="9"/>
  <c r="N88" i="9"/>
  <c r="M88" i="9"/>
  <c r="AI87" i="9"/>
  <c r="AH87" i="9"/>
  <c r="W87" i="9"/>
  <c r="AI86" i="9"/>
  <c r="AH86" i="9"/>
  <c r="AF86" i="9"/>
  <c r="AE86" i="9"/>
  <c r="AD86" i="9"/>
  <c r="AB86" i="9"/>
  <c r="AA86" i="9"/>
  <c r="Z86" i="9"/>
  <c r="Y86" i="9"/>
  <c r="X86" i="9"/>
  <c r="W86" i="9"/>
  <c r="P86" i="9"/>
  <c r="O86" i="9"/>
  <c r="N86" i="9"/>
  <c r="M86" i="9"/>
  <c r="AT85" i="9"/>
  <c r="AI85" i="9"/>
  <c r="AH85" i="9"/>
  <c r="AF85" i="9"/>
  <c r="AE85" i="9"/>
  <c r="AC85" i="9"/>
  <c r="AA85" i="9"/>
  <c r="Z85" i="9"/>
  <c r="Y85" i="9"/>
  <c r="X85" i="9"/>
  <c r="W85" i="9"/>
  <c r="P85" i="9"/>
  <c r="O85" i="9"/>
  <c r="AD85" i="9" s="1"/>
  <c r="N85" i="9"/>
  <c r="M85" i="9"/>
  <c r="AP84" i="9"/>
  <c r="AI84" i="9"/>
  <c r="AH84" i="9"/>
  <c r="AF84" i="9"/>
  <c r="AE84" i="9"/>
  <c r="AD84" i="9"/>
  <c r="AB84" i="9"/>
  <c r="AA84" i="9"/>
  <c r="Z84" i="9"/>
  <c r="Y84" i="9"/>
  <c r="X84" i="9"/>
  <c r="W84" i="9"/>
  <c r="P84" i="9"/>
  <c r="O84" i="9"/>
  <c r="N84" i="9"/>
  <c r="M84" i="9"/>
  <c r="AT83" i="9"/>
  <c r="AI83" i="9"/>
  <c r="AH83" i="9"/>
  <c r="AF83" i="9"/>
  <c r="AE83" i="9"/>
  <c r="AC83" i="9"/>
  <c r="AA83" i="9"/>
  <c r="Z83" i="9"/>
  <c r="Y83" i="9"/>
  <c r="X83" i="9"/>
  <c r="W83" i="9"/>
  <c r="P83" i="9"/>
  <c r="O83" i="9"/>
  <c r="AD83" i="9" s="1"/>
  <c r="N83" i="9"/>
  <c r="M83" i="9"/>
  <c r="AI82" i="9"/>
  <c r="AH82" i="9"/>
  <c r="W82" i="9"/>
  <c r="AI81" i="9"/>
  <c r="AT81" i="9" s="1"/>
  <c r="AH81" i="9"/>
  <c r="AF81" i="9"/>
  <c r="AE81" i="9"/>
  <c r="AD81" i="9"/>
  <c r="AC81" i="9"/>
  <c r="AB81" i="9"/>
  <c r="AA81" i="9"/>
  <c r="Z81" i="9"/>
  <c r="Y81" i="9"/>
  <c r="X81" i="9"/>
  <c r="W81" i="9"/>
  <c r="P81" i="9"/>
  <c r="O81" i="9"/>
  <c r="N81" i="9"/>
  <c r="M81" i="9"/>
  <c r="AT80" i="9"/>
  <c r="AI80" i="9"/>
  <c r="AH80" i="9"/>
  <c r="AF80" i="9"/>
  <c r="AE80" i="9"/>
  <c r="AD80" i="9"/>
  <c r="AC80" i="9"/>
  <c r="AA80" i="9"/>
  <c r="Z80" i="9"/>
  <c r="Y80" i="9"/>
  <c r="X80" i="9"/>
  <c r="W80" i="9"/>
  <c r="P80" i="9"/>
  <c r="O80" i="9"/>
  <c r="N80" i="9"/>
  <c r="M80" i="9"/>
  <c r="AT79" i="9"/>
  <c r="AI79" i="9"/>
  <c r="AH79" i="9"/>
  <c r="AF79" i="9"/>
  <c r="AE79" i="9"/>
  <c r="AD79" i="9"/>
  <c r="AA79" i="9"/>
  <c r="Z79" i="9"/>
  <c r="Y79" i="9"/>
  <c r="X79" i="9"/>
  <c r="W79" i="9"/>
  <c r="P79" i="9"/>
  <c r="O79" i="9"/>
  <c r="AQ79" i="9" s="1"/>
  <c r="N79" i="9"/>
  <c r="AC79" i="9" s="1"/>
  <c r="M79" i="9"/>
  <c r="AI78" i="9"/>
  <c r="AT78" i="9" s="1"/>
  <c r="AH78" i="9"/>
  <c r="AF78" i="9"/>
  <c r="AE78" i="9"/>
  <c r="AA78" i="9"/>
  <c r="Z78" i="9"/>
  <c r="Y78" i="9"/>
  <c r="X78" i="9"/>
  <c r="W78" i="9"/>
  <c r="P78" i="9"/>
  <c r="O78" i="9"/>
  <c r="N78" i="9"/>
  <c r="M78" i="9"/>
  <c r="AI77" i="9"/>
  <c r="AH77" i="9"/>
  <c r="W77" i="9"/>
  <c r="AT76" i="9"/>
  <c r="AP76" i="9"/>
  <c r="AO76" i="9"/>
  <c r="AV76" i="9" s="1"/>
  <c r="AI76" i="9"/>
  <c r="AH76" i="9"/>
  <c r="AF76" i="9"/>
  <c r="AE76" i="9"/>
  <c r="AD76" i="9"/>
  <c r="AC76" i="9"/>
  <c r="AA76" i="9"/>
  <c r="Z76" i="9"/>
  <c r="Y76" i="9"/>
  <c r="X76" i="9"/>
  <c r="W76" i="9"/>
  <c r="P76" i="9"/>
  <c r="O76" i="9"/>
  <c r="N76" i="9"/>
  <c r="M76" i="9"/>
  <c r="AV75" i="9"/>
  <c r="AT75" i="9"/>
  <c r="AP75" i="9"/>
  <c r="AO75" i="9"/>
  <c r="AI75" i="9"/>
  <c r="AH75" i="9"/>
  <c r="AF75" i="9"/>
  <c r="AE75" i="9"/>
  <c r="AD75" i="9"/>
  <c r="AA75" i="9"/>
  <c r="Z75" i="9"/>
  <c r="Y75" i="9"/>
  <c r="X75" i="9"/>
  <c r="W75" i="9"/>
  <c r="P75" i="9"/>
  <c r="O75" i="9"/>
  <c r="N75" i="9"/>
  <c r="AC75" i="9" s="1"/>
  <c r="M75" i="9"/>
  <c r="AP74" i="9"/>
  <c r="AI74" i="9"/>
  <c r="AT74" i="9" s="1"/>
  <c r="AH74" i="9"/>
  <c r="AF74" i="9"/>
  <c r="AE74" i="9"/>
  <c r="AA74" i="9"/>
  <c r="Z74" i="9"/>
  <c r="Y74" i="9"/>
  <c r="X74" i="9"/>
  <c r="W74" i="9"/>
  <c r="P74" i="9"/>
  <c r="O74" i="9"/>
  <c r="N74" i="9"/>
  <c r="M74" i="9"/>
  <c r="AQ73" i="9"/>
  <c r="AP73" i="9"/>
  <c r="AI73" i="9"/>
  <c r="AH73" i="9"/>
  <c r="AF73" i="9"/>
  <c r="AE73" i="9"/>
  <c r="AB73" i="9"/>
  <c r="AA73" i="9"/>
  <c r="Z73" i="9"/>
  <c r="Y73" i="9"/>
  <c r="X73" i="9"/>
  <c r="W73" i="9"/>
  <c r="P73" i="9"/>
  <c r="O73" i="9"/>
  <c r="AD73" i="9" s="1"/>
  <c r="N73" i="9"/>
  <c r="AC73" i="9" s="1"/>
  <c r="M73" i="9"/>
  <c r="AP72" i="9"/>
  <c r="AI72" i="9"/>
  <c r="AH72" i="9"/>
  <c r="AF72" i="9"/>
  <c r="AE72" i="9"/>
  <c r="AC72" i="9"/>
  <c r="AB72" i="9"/>
  <c r="AA72" i="9"/>
  <c r="Z72" i="9"/>
  <c r="Y72" i="9"/>
  <c r="X72" i="9"/>
  <c r="W72" i="9"/>
  <c r="P72" i="9"/>
  <c r="O72" i="9"/>
  <c r="AD72" i="9" s="1"/>
  <c r="N72" i="9"/>
  <c r="AO72" i="9" s="1"/>
  <c r="AV72" i="9" s="1"/>
  <c r="M72" i="9"/>
  <c r="AI71" i="9"/>
  <c r="AH71" i="9"/>
  <c r="W71" i="9"/>
  <c r="AP70" i="9"/>
  <c r="AI70" i="9"/>
  <c r="AT70" i="9" s="1"/>
  <c r="AH70" i="9"/>
  <c r="AF70" i="9"/>
  <c r="AE70" i="9"/>
  <c r="AA70" i="9"/>
  <c r="Z70" i="9"/>
  <c r="Y70" i="9"/>
  <c r="X70" i="9"/>
  <c r="W70" i="9"/>
  <c r="P70" i="9"/>
  <c r="O70" i="9"/>
  <c r="N70" i="9"/>
  <c r="M70" i="9"/>
  <c r="AI69" i="9"/>
  <c r="AH69" i="9"/>
  <c r="AF69" i="9"/>
  <c r="AE69" i="9"/>
  <c r="AB69" i="9"/>
  <c r="AA69" i="9"/>
  <c r="Z69" i="9"/>
  <c r="Y69" i="9"/>
  <c r="X69" i="9"/>
  <c r="W69" i="9"/>
  <c r="P69" i="9"/>
  <c r="O69" i="9"/>
  <c r="AD69" i="9" s="1"/>
  <c r="N69" i="9"/>
  <c r="AC69" i="9" s="1"/>
  <c r="M69" i="9"/>
  <c r="AI68" i="9"/>
  <c r="AH68" i="9"/>
  <c r="W68" i="9"/>
  <c r="AT67" i="9"/>
  <c r="AI67" i="9"/>
  <c r="AH67" i="9"/>
  <c r="AF67" i="9"/>
  <c r="AE67" i="9"/>
  <c r="AD67" i="9"/>
  <c r="AA67" i="9"/>
  <c r="Z67" i="9"/>
  <c r="Y67" i="9"/>
  <c r="X67" i="9"/>
  <c r="W67" i="9"/>
  <c r="P67" i="9"/>
  <c r="O67" i="9"/>
  <c r="N67" i="9"/>
  <c r="AC67" i="9" s="1"/>
  <c r="M67" i="9"/>
  <c r="AI66" i="9"/>
  <c r="AT66" i="9" s="1"/>
  <c r="AH66" i="9"/>
  <c r="AF66" i="9"/>
  <c r="AE66" i="9"/>
  <c r="AA66" i="9"/>
  <c r="Z66" i="9"/>
  <c r="Y66" i="9"/>
  <c r="X66" i="9"/>
  <c r="W66" i="9"/>
  <c r="P66" i="9"/>
  <c r="O66" i="9"/>
  <c r="AQ66" i="9" s="1"/>
  <c r="N66" i="9"/>
  <c r="M66" i="9"/>
  <c r="AI65" i="9"/>
  <c r="AH65" i="9"/>
  <c r="AF65" i="9"/>
  <c r="AE65" i="9"/>
  <c r="AB65" i="9"/>
  <c r="AA65" i="9"/>
  <c r="Z65" i="9"/>
  <c r="Y65" i="9"/>
  <c r="X65" i="9"/>
  <c r="W65" i="9"/>
  <c r="P65" i="9"/>
  <c r="O65" i="9"/>
  <c r="AD65" i="9" s="1"/>
  <c r="N65" i="9"/>
  <c r="AC65" i="9" s="1"/>
  <c r="M65" i="9"/>
  <c r="AR64" i="9"/>
  <c r="AI64" i="9"/>
  <c r="AH64" i="9"/>
  <c r="AF64" i="9"/>
  <c r="AE64" i="9"/>
  <c r="AC64" i="9"/>
  <c r="AB64" i="9"/>
  <c r="AA64" i="9"/>
  <c r="Z64" i="9"/>
  <c r="Y64" i="9"/>
  <c r="X64" i="9"/>
  <c r="W64" i="9"/>
  <c r="P64" i="9"/>
  <c r="O64" i="9"/>
  <c r="AD64" i="9" s="1"/>
  <c r="N64" i="9"/>
  <c r="M64" i="9"/>
  <c r="AI63" i="9"/>
  <c r="AH63" i="9"/>
  <c r="W63" i="9"/>
  <c r="AP62" i="9"/>
  <c r="AI62" i="9"/>
  <c r="AT62" i="9" s="1"/>
  <c r="AH62" i="9"/>
  <c r="AF62" i="9"/>
  <c r="AE62" i="9"/>
  <c r="AA62" i="9"/>
  <c r="Z62" i="9"/>
  <c r="Y62" i="9"/>
  <c r="X62" i="9"/>
  <c r="W62" i="9"/>
  <c r="P62" i="9"/>
  <c r="O62" i="9"/>
  <c r="AQ62" i="9" s="1"/>
  <c r="N62" i="9"/>
  <c r="M62" i="9"/>
  <c r="AI61" i="9"/>
  <c r="AH61" i="9"/>
  <c r="AF61" i="9"/>
  <c r="AE61" i="9"/>
  <c r="AB61" i="9"/>
  <c r="AA61" i="9"/>
  <c r="Z61" i="9"/>
  <c r="Y61" i="9"/>
  <c r="X61" i="9"/>
  <c r="W61" i="9"/>
  <c r="P61" i="9"/>
  <c r="O61" i="9"/>
  <c r="AD61" i="9" s="1"/>
  <c r="N61" i="9"/>
  <c r="AC61" i="9" s="1"/>
  <c r="M61" i="9"/>
  <c r="AR60" i="9"/>
  <c r="AI60" i="9"/>
  <c r="AH60" i="9"/>
  <c r="AF60" i="9"/>
  <c r="AE60" i="9"/>
  <c r="AC60" i="9"/>
  <c r="AB60" i="9"/>
  <c r="AA60" i="9"/>
  <c r="Z60" i="9"/>
  <c r="Y60" i="9"/>
  <c r="X60" i="9"/>
  <c r="W60" i="9"/>
  <c r="P60" i="9"/>
  <c r="O60" i="9"/>
  <c r="AD60" i="9" s="1"/>
  <c r="N60" i="9"/>
  <c r="M60" i="9"/>
  <c r="AT59" i="9"/>
  <c r="AP59" i="9"/>
  <c r="AO59" i="9"/>
  <c r="AV59" i="9" s="1"/>
  <c r="AI59" i="9"/>
  <c r="AH59" i="9"/>
  <c r="AF59" i="9"/>
  <c r="AE59" i="9"/>
  <c r="AD59" i="9"/>
  <c r="AC59" i="9"/>
  <c r="AB59" i="9"/>
  <c r="AA59" i="9"/>
  <c r="Z59" i="9"/>
  <c r="Y59" i="9"/>
  <c r="X59" i="9"/>
  <c r="W59" i="9"/>
  <c r="P59" i="9"/>
  <c r="O59" i="9"/>
  <c r="N59" i="9"/>
  <c r="M59" i="9"/>
  <c r="AU58" i="9"/>
  <c r="AT58" i="9"/>
  <c r="AI58" i="9"/>
  <c r="AH58" i="9"/>
  <c r="AF58" i="9"/>
  <c r="AE58" i="9"/>
  <c r="AD58" i="9"/>
  <c r="AC58" i="9"/>
  <c r="AA58" i="9"/>
  <c r="Z58" i="9"/>
  <c r="Y58" i="9"/>
  <c r="X58" i="9"/>
  <c r="W58" i="9"/>
  <c r="P58" i="9"/>
  <c r="O58" i="9"/>
  <c r="N58" i="9"/>
  <c r="M58" i="9"/>
  <c r="AT57" i="9"/>
  <c r="AI57" i="9"/>
  <c r="AH57" i="9"/>
  <c r="AF57" i="9"/>
  <c r="AE57" i="9"/>
  <c r="AD57" i="9"/>
  <c r="AA57" i="9"/>
  <c r="Z57" i="9"/>
  <c r="Y57" i="9"/>
  <c r="X57" i="9"/>
  <c r="W57" i="9"/>
  <c r="P57" i="9"/>
  <c r="O57" i="9"/>
  <c r="N57" i="9"/>
  <c r="AC57" i="9" s="1"/>
  <c r="M57" i="9"/>
  <c r="AP56" i="9"/>
  <c r="AI56" i="9"/>
  <c r="AT56" i="9" s="1"/>
  <c r="AH56" i="9"/>
  <c r="AF56" i="9"/>
  <c r="AE56" i="9"/>
  <c r="AA56" i="9"/>
  <c r="Z56" i="9"/>
  <c r="Y56" i="9"/>
  <c r="X56" i="9"/>
  <c r="W56" i="9"/>
  <c r="P56" i="9"/>
  <c r="O56" i="9"/>
  <c r="N56" i="9"/>
  <c r="M56" i="9"/>
  <c r="AR56" i="9" s="1"/>
  <c r="AI55" i="9"/>
  <c r="AH55" i="9"/>
  <c r="AF55" i="9"/>
  <c r="AE55" i="9"/>
  <c r="AB55" i="9"/>
  <c r="AA55" i="9"/>
  <c r="Z55" i="9"/>
  <c r="Y55" i="9"/>
  <c r="X55" i="9"/>
  <c r="W55" i="9"/>
  <c r="P55" i="9"/>
  <c r="O55" i="9"/>
  <c r="AD55" i="9" s="1"/>
  <c r="N55" i="9"/>
  <c r="AC55" i="9" s="1"/>
  <c r="M55" i="9"/>
  <c r="AI54" i="9"/>
  <c r="AH54" i="9"/>
  <c r="AF54" i="9"/>
  <c r="AE54" i="9"/>
  <c r="AC54" i="9"/>
  <c r="AB54" i="9"/>
  <c r="AA54" i="9"/>
  <c r="Z54" i="9"/>
  <c r="Y54" i="9"/>
  <c r="X54" i="9"/>
  <c r="W54" i="9"/>
  <c r="P54" i="9"/>
  <c r="O54" i="9"/>
  <c r="AD54" i="9" s="1"/>
  <c r="N54" i="9"/>
  <c r="M54" i="9"/>
  <c r="AT53" i="9"/>
  <c r="AI53" i="9"/>
  <c r="AH53" i="9"/>
  <c r="AF53" i="9"/>
  <c r="AE53" i="9"/>
  <c r="AD53" i="9"/>
  <c r="AC53" i="9"/>
  <c r="AB53" i="9"/>
  <c r="AA53" i="9"/>
  <c r="Z53" i="9"/>
  <c r="Y53" i="9"/>
  <c r="X53" i="9"/>
  <c r="W53" i="9"/>
  <c r="P53" i="9"/>
  <c r="O53" i="9"/>
  <c r="N53" i="9"/>
  <c r="M53" i="9"/>
  <c r="AT52" i="9"/>
  <c r="AI52" i="9"/>
  <c r="AH52" i="9"/>
  <c r="AF52" i="9"/>
  <c r="AE52" i="9"/>
  <c r="AD52" i="9"/>
  <c r="AC52" i="9"/>
  <c r="AA52" i="9"/>
  <c r="Z52" i="9"/>
  <c r="Y52" i="9"/>
  <c r="X52" i="9"/>
  <c r="W52" i="9"/>
  <c r="P52" i="9"/>
  <c r="O52" i="9"/>
  <c r="N52" i="9"/>
  <c r="M52" i="9"/>
  <c r="AI51" i="9"/>
  <c r="AH51" i="9"/>
  <c r="W51" i="9"/>
  <c r="AP50" i="9"/>
  <c r="AI50" i="9"/>
  <c r="AH50" i="9"/>
  <c r="AF50" i="9"/>
  <c r="AE50" i="9"/>
  <c r="AC50" i="9"/>
  <c r="AB50" i="9"/>
  <c r="AA50" i="9"/>
  <c r="Z50" i="9"/>
  <c r="Y50" i="9"/>
  <c r="X50" i="9"/>
  <c r="W50" i="9"/>
  <c r="P50" i="9"/>
  <c r="O50" i="9"/>
  <c r="AD50" i="9" s="1"/>
  <c r="N50" i="9"/>
  <c r="AO50" i="9" s="1"/>
  <c r="AV50" i="9" s="1"/>
  <c r="M50" i="9"/>
  <c r="AT49" i="9"/>
  <c r="AP49" i="9"/>
  <c r="AO49" i="9"/>
  <c r="AV49" i="9" s="1"/>
  <c r="AI49" i="9"/>
  <c r="AH49" i="9"/>
  <c r="AF49" i="9"/>
  <c r="AE49" i="9"/>
  <c r="AD49" i="9"/>
  <c r="AC49" i="9"/>
  <c r="AB49" i="9"/>
  <c r="AA49" i="9"/>
  <c r="Z49" i="9"/>
  <c r="Y49" i="9"/>
  <c r="X49" i="9"/>
  <c r="W49" i="9"/>
  <c r="P49" i="9"/>
  <c r="O49" i="9"/>
  <c r="N49" i="9"/>
  <c r="M49" i="9"/>
  <c r="AU48" i="9"/>
  <c r="AT48" i="9"/>
  <c r="AP48" i="9"/>
  <c r="AO48" i="9"/>
  <c r="AV48" i="9" s="1"/>
  <c r="AI48" i="9"/>
  <c r="AH48" i="9"/>
  <c r="AF48" i="9"/>
  <c r="AE48" i="9"/>
  <c r="AD48" i="9"/>
  <c r="AC48" i="9"/>
  <c r="AA48" i="9"/>
  <c r="Z48" i="9"/>
  <c r="Y48" i="9"/>
  <c r="X48" i="9"/>
  <c r="W48" i="9"/>
  <c r="P48" i="9"/>
  <c r="O48" i="9"/>
  <c r="N48" i="9"/>
  <c r="M48" i="9"/>
  <c r="AT47" i="9"/>
  <c r="AP47" i="9"/>
  <c r="AI47" i="9"/>
  <c r="AH47" i="9"/>
  <c r="AF47" i="9"/>
  <c r="AE47" i="9"/>
  <c r="AD47" i="9"/>
  <c r="AA47" i="9"/>
  <c r="Z47" i="9"/>
  <c r="Y47" i="9"/>
  <c r="X47" i="9"/>
  <c r="W47" i="9"/>
  <c r="P47" i="9"/>
  <c r="O47" i="9"/>
  <c r="N47" i="9"/>
  <c r="M47" i="9"/>
  <c r="AP46" i="9"/>
  <c r="AI46" i="9"/>
  <c r="AT46" i="9" s="1"/>
  <c r="AH46" i="9"/>
  <c r="AF46" i="9"/>
  <c r="AE46" i="9"/>
  <c r="AA46" i="9"/>
  <c r="Z46" i="9"/>
  <c r="Y46" i="9"/>
  <c r="X46" i="9"/>
  <c r="W46" i="9"/>
  <c r="P46" i="9"/>
  <c r="O46" i="9"/>
  <c r="AD46" i="9" s="1"/>
  <c r="N46" i="9"/>
  <c r="M46" i="9"/>
  <c r="AQ45" i="9"/>
  <c r="AP45" i="9"/>
  <c r="AI45" i="9"/>
  <c r="AH45" i="9"/>
  <c r="AF45" i="9"/>
  <c r="AE45" i="9"/>
  <c r="AB45" i="9"/>
  <c r="AA45" i="9"/>
  <c r="Z45" i="9"/>
  <c r="Y45" i="9"/>
  <c r="X45" i="9"/>
  <c r="W45" i="9"/>
  <c r="P45" i="9"/>
  <c r="O45" i="9"/>
  <c r="AD45" i="9" s="1"/>
  <c r="N45" i="9"/>
  <c r="M45" i="9"/>
  <c r="AT44" i="9"/>
  <c r="AQ44" i="9"/>
  <c r="AP44" i="9"/>
  <c r="AI44" i="9"/>
  <c r="AH44" i="9"/>
  <c r="AF44" i="9"/>
  <c r="AE44" i="9"/>
  <c r="AC44" i="9"/>
  <c r="AB44" i="9"/>
  <c r="AA44" i="9"/>
  <c r="Z44" i="9"/>
  <c r="Y44" i="9"/>
  <c r="X44" i="9"/>
  <c r="W44" i="9"/>
  <c r="P44" i="9"/>
  <c r="O44" i="9"/>
  <c r="AD44" i="9" s="1"/>
  <c r="N44" i="9"/>
  <c r="AO44" i="9" s="1"/>
  <c r="AV44" i="9" s="1"/>
  <c r="M44" i="9"/>
  <c r="AI43" i="9"/>
  <c r="AH43" i="9"/>
  <c r="W43" i="9"/>
  <c r="AP42" i="9"/>
  <c r="AI42" i="9"/>
  <c r="AT42" i="9" s="1"/>
  <c r="AH42" i="9"/>
  <c r="AF42" i="9"/>
  <c r="AE42" i="9"/>
  <c r="AA42" i="9"/>
  <c r="Z42" i="9"/>
  <c r="Y42" i="9"/>
  <c r="X42" i="9"/>
  <c r="W42" i="9"/>
  <c r="P42" i="9"/>
  <c r="O42" i="9"/>
  <c r="AD42" i="9" s="1"/>
  <c r="N42" i="9"/>
  <c r="AC42" i="9" s="1"/>
  <c r="M42" i="9"/>
  <c r="AI41" i="9"/>
  <c r="AH41" i="9"/>
  <c r="AF41" i="9"/>
  <c r="AE41" i="9"/>
  <c r="AC41" i="9"/>
  <c r="AA41" i="9"/>
  <c r="Z41" i="9"/>
  <c r="Y41" i="9"/>
  <c r="X41" i="9"/>
  <c r="W41" i="9"/>
  <c r="P41" i="9"/>
  <c r="O41" i="9"/>
  <c r="N41" i="9"/>
  <c r="M41" i="9"/>
  <c r="AB41" i="9" s="1"/>
  <c r="AQ40" i="9"/>
  <c r="AP40" i="9"/>
  <c r="AI40" i="9"/>
  <c r="AJ40" i="9" s="1"/>
  <c r="AH40" i="9"/>
  <c r="AF40" i="9"/>
  <c r="AE40" i="9"/>
  <c r="AB40" i="9"/>
  <c r="AA40" i="9"/>
  <c r="Z40" i="9"/>
  <c r="Y40" i="9"/>
  <c r="X40" i="9"/>
  <c r="W40" i="9"/>
  <c r="P40" i="9"/>
  <c r="O40" i="9"/>
  <c r="AD40" i="9" s="1"/>
  <c r="N40" i="9"/>
  <c r="M40" i="9"/>
  <c r="AQ39" i="9"/>
  <c r="AI39" i="9"/>
  <c r="AJ39" i="9" s="1"/>
  <c r="AH39" i="9"/>
  <c r="AF39" i="9"/>
  <c r="AE39" i="9"/>
  <c r="AC39" i="9"/>
  <c r="AB39" i="9"/>
  <c r="AA39" i="9"/>
  <c r="Z39" i="9"/>
  <c r="Y39" i="9"/>
  <c r="X39" i="9"/>
  <c r="W39" i="9"/>
  <c r="P39" i="9"/>
  <c r="O39" i="9"/>
  <c r="AD39" i="9" s="1"/>
  <c r="N39" i="9"/>
  <c r="M39" i="9"/>
  <c r="AR39" i="9" s="1"/>
  <c r="AP38" i="9"/>
  <c r="AI38" i="9"/>
  <c r="AJ38" i="9" s="1"/>
  <c r="AH38" i="9"/>
  <c r="AF38" i="9"/>
  <c r="AE38" i="9"/>
  <c r="AD38" i="9"/>
  <c r="AB38" i="9"/>
  <c r="AA38" i="9"/>
  <c r="Z38" i="9"/>
  <c r="Y38" i="9"/>
  <c r="X38" i="9"/>
  <c r="W38" i="9"/>
  <c r="P38" i="9"/>
  <c r="O38" i="9"/>
  <c r="N38" i="9"/>
  <c r="M38" i="9"/>
  <c r="AR38" i="9" s="1"/>
  <c r="AT37" i="9"/>
  <c r="AP37" i="9"/>
  <c r="AI37" i="9"/>
  <c r="AH37" i="9"/>
  <c r="AF37" i="9"/>
  <c r="AE37" i="9"/>
  <c r="AA37" i="9"/>
  <c r="Z37" i="9"/>
  <c r="Y37" i="9"/>
  <c r="X37" i="9"/>
  <c r="W37" i="9"/>
  <c r="P37" i="9"/>
  <c r="O37" i="9"/>
  <c r="AQ37" i="9" s="1"/>
  <c r="N37" i="9"/>
  <c r="AC37" i="9" s="1"/>
  <c r="M37" i="9"/>
  <c r="AI36" i="9"/>
  <c r="AH36" i="9"/>
  <c r="W36" i="9"/>
  <c r="AT35" i="9"/>
  <c r="AI35" i="9"/>
  <c r="AH35" i="9"/>
  <c r="AF35" i="9"/>
  <c r="AE35" i="9"/>
  <c r="AD35" i="9"/>
  <c r="AC35" i="9"/>
  <c r="AB35" i="9"/>
  <c r="AA35" i="9"/>
  <c r="Z35" i="9"/>
  <c r="Y35" i="9"/>
  <c r="X35" i="9"/>
  <c r="W35" i="9"/>
  <c r="P35" i="9"/>
  <c r="O35" i="9"/>
  <c r="AQ35" i="9" s="1"/>
  <c r="N35" i="9"/>
  <c r="M35" i="9"/>
  <c r="AT34" i="9"/>
  <c r="AI34" i="9"/>
  <c r="AH34" i="9"/>
  <c r="AF34" i="9"/>
  <c r="AE34" i="9"/>
  <c r="AD34" i="9"/>
  <c r="AC34" i="9"/>
  <c r="AB34" i="9"/>
  <c r="AA34" i="9"/>
  <c r="Z34" i="9"/>
  <c r="Y34" i="9"/>
  <c r="X34" i="9"/>
  <c r="W34" i="9"/>
  <c r="P34" i="9"/>
  <c r="O34" i="9"/>
  <c r="N34" i="9"/>
  <c r="M34" i="9"/>
  <c r="AT33" i="9"/>
  <c r="AI33" i="9"/>
  <c r="AH33" i="9"/>
  <c r="AF33" i="9"/>
  <c r="AE33" i="9"/>
  <c r="AD33" i="9"/>
  <c r="AC33" i="9"/>
  <c r="AB33" i="9"/>
  <c r="AA33" i="9"/>
  <c r="Z33" i="9"/>
  <c r="Y33" i="9"/>
  <c r="X33" i="9"/>
  <c r="W33" i="9"/>
  <c r="P33" i="9"/>
  <c r="O33" i="9"/>
  <c r="AQ33" i="9" s="1"/>
  <c r="N33" i="9"/>
  <c r="M33" i="9"/>
  <c r="AT32" i="9"/>
  <c r="AJ32" i="9"/>
  <c r="AI32" i="9"/>
  <c r="AN32" i="9" s="1"/>
  <c r="AH32" i="9"/>
  <c r="AF32" i="9"/>
  <c r="AE32" i="9"/>
  <c r="AD32" i="9"/>
  <c r="AC32" i="9"/>
  <c r="AA32" i="9"/>
  <c r="Z32" i="9"/>
  <c r="Y32" i="9"/>
  <c r="X32" i="9"/>
  <c r="W32" i="9"/>
  <c r="P32" i="9"/>
  <c r="O32" i="9"/>
  <c r="AQ32" i="9" s="1"/>
  <c r="N32" i="9"/>
  <c r="M32" i="9"/>
  <c r="AR32" i="9" s="1"/>
  <c r="AU31" i="9"/>
  <c r="AT31" i="9"/>
  <c r="AI31" i="9"/>
  <c r="AH31" i="9"/>
  <c r="AF31" i="9"/>
  <c r="AE31" i="9"/>
  <c r="AD31" i="9"/>
  <c r="AA31" i="9"/>
  <c r="Z31" i="9"/>
  <c r="Y31" i="9"/>
  <c r="X31" i="9"/>
  <c r="W31" i="9"/>
  <c r="P31" i="9"/>
  <c r="O31" i="9"/>
  <c r="AQ31" i="9" s="1"/>
  <c r="N31" i="9"/>
  <c r="AO31" i="9" s="1"/>
  <c r="M31" i="9"/>
  <c r="AR31" i="9" s="1"/>
  <c r="AT30" i="9"/>
  <c r="AI30" i="9"/>
  <c r="AH30" i="9"/>
  <c r="AF30" i="9"/>
  <c r="AE30" i="9"/>
  <c r="AA30" i="9"/>
  <c r="Z30" i="9"/>
  <c r="Y30" i="9"/>
  <c r="X30" i="9"/>
  <c r="W30" i="9"/>
  <c r="P30" i="9"/>
  <c r="O30" i="9"/>
  <c r="AQ30" i="9" s="1"/>
  <c r="N30" i="9"/>
  <c r="AC30" i="9" s="1"/>
  <c r="M30" i="9"/>
  <c r="AI29" i="9"/>
  <c r="AH29" i="9"/>
  <c r="W29" i="9"/>
  <c r="AT28" i="9"/>
  <c r="AP28" i="9"/>
  <c r="AO28" i="9"/>
  <c r="AV28" i="9" s="1"/>
  <c r="AJ28" i="9"/>
  <c r="AI28" i="9"/>
  <c r="AH28" i="9"/>
  <c r="AF28" i="9"/>
  <c r="AE28" i="9"/>
  <c r="AD28" i="9"/>
  <c r="AC28" i="9"/>
  <c r="AA28" i="9"/>
  <c r="Z28" i="9"/>
  <c r="Y28" i="9"/>
  <c r="X28" i="9"/>
  <c r="W28" i="9"/>
  <c r="P28" i="9"/>
  <c r="O28" i="9"/>
  <c r="AQ28" i="9" s="1"/>
  <c r="N28" i="9"/>
  <c r="M28" i="9"/>
  <c r="AR28" i="9" s="1"/>
  <c r="AU27" i="9"/>
  <c r="AT27" i="9"/>
  <c r="AN27" i="9"/>
  <c r="AI27" i="9"/>
  <c r="AH27" i="9"/>
  <c r="AF27" i="9"/>
  <c r="AE27" i="9"/>
  <c r="AD27" i="9"/>
  <c r="AA27" i="9"/>
  <c r="Z27" i="9"/>
  <c r="Y27" i="9"/>
  <c r="X27" i="9"/>
  <c r="W27" i="9"/>
  <c r="P27" i="9"/>
  <c r="O27" i="9"/>
  <c r="AQ27" i="9" s="1"/>
  <c r="N27" i="9"/>
  <c r="M27" i="9"/>
  <c r="AR27" i="9" s="1"/>
  <c r="AI26" i="9"/>
  <c r="AH26" i="9"/>
  <c r="W26" i="9"/>
  <c r="AR25" i="9"/>
  <c r="AI25" i="9"/>
  <c r="AH25" i="9"/>
  <c r="AF25" i="9"/>
  <c r="AE25" i="9"/>
  <c r="AD25" i="9"/>
  <c r="AB25" i="9"/>
  <c r="AA25" i="9"/>
  <c r="Z25" i="9"/>
  <c r="Y25" i="9"/>
  <c r="X25" i="9"/>
  <c r="W25" i="9"/>
  <c r="P25" i="9"/>
  <c r="O25" i="9"/>
  <c r="AQ25" i="9" s="1"/>
  <c r="N25" i="9"/>
  <c r="M25" i="9"/>
  <c r="AT24" i="9"/>
  <c r="AJ24" i="9"/>
  <c r="AI24" i="9"/>
  <c r="AN24" i="9" s="1"/>
  <c r="AH24" i="9"/>
  <c r="AF24" i="9"/>
  <c r="AE24" i="9"/>
  <c r="AC24" i="9"/>
  <c r="AA24" i="9"/>
  <c r="Z24" i="9"/>
  <c r="Y24" i="9"/>
  <c r="X24" i="9"/>
  <c r="W24" i="9"/>
  <c r="P24" i="9"/>
  <c r="O24" i="9"/>
  <c r="AD24" i="9" s="1"/>
  <c r="N24" i="9"/>
  <c r="M24" i="9"/>
  <c r="AR24" i="9" s="1"/>
  <c r="AI23" i="9"/>
  <c r="AH23" i="9"/>
  <c r="W23" i="9"/>
  <c r="AT22" i="9"/>
  <c r="AI22" i="9"/>
  <c r="AH22" i="9"/>
  <c r="AF22" i="9"/>
  <c r="AE22" i="9"/>
  <c r="AC22" i="9"/>
  <c r="AA22" i="9"/>
  <c r="Z22" i="9"/>
  <c r="Y22" i="9"/>
  <c r="X22" i="9"/>
  <c r="W22" i="9"/>
  <c r="P22" i="9"/>
  <c r="O22" i="9"/>
  <c r="AD22" i="9" s="1"/>
  <c r="N22" i="9"/>
  <c r="M22" i="9"/>
  <c r="AR22" i="9" s="1"/>
  <c r="AR21" i="9"/>
  <c r="AI21" i="9"/>
  <c r="AH21" i="9"/>
  <c r="AF21" i="9"/>
  <c r="AE21" i="9"/>
  <c r="AD21" i="9"/>
  <c r="AB21" i="9"/>
  <c r="AA21" i="9"/>
  <c r="Z21" i="9"/>
  <c r="Y21" i="9"/>
  <c r="X21" i="9"/>
  <c r="W21" i="9"/>
  <c r="P21" i="9"/>
  <c r="O21" i="9"/>
  <c r="AQ21" i="9" s="1"/>
  <c r="N21" i="9"/>
  <c r="M21" i="9"/>
  <c r="AT20" i="9"/>
  <c r="AJ20" i="9"/>
  <c r="AI20" i="9"/>
  <c r="AN20" i="9" s="1"/>
  <c r="AH20" i="9"/>
  <c r="AF20" i="9"/>
  <c r="AE20" i="9"/>
  <c r="AC20" i="9"/>
  <c r="AA20" i="9"/>
  <c r="Z20" i="9"/>
  <c r="Y20" i="9"/>
  <c r="X20" i="9"/>
  <c r="W20" i="9"/>
  <c r="P20" i="9"/>
  <c r="O20" i="9"/>
  <c r="AD20" i="9" s="1"/>
  <c r="N20" i="9"/>
  <c r="M20" i="9"/>
  <c r="AR20" i="9" s="1"/>
  <c r="AU19" i="9"/>
  <c r="AT19" i="9"/>
  <c r="AI19" i="9"/>
  <c r="AH19" i="9"/>
  <c r="AF19" i="9"/>
  <c r="AE19" i="9"/>
  <c r="AD19" i="9"/>
  <c r="AB19" i="9"/>
  <c r="AA19" i="9"/>
  <c r="Z19" i="9"/>
  <c r="Y19" i="9"/>
  <c r="X19" i="9"/>
  <c r="W19" i="9"/>
  <c r="P19" i="9"/>
  <c r="O19" i="9"/>
  <c r="AQ19" i="9" s="1"/>
  <c r="N19" i="9"/>
  <c r="M19" i="9"/>
  <c r="AT18" i="9"/>
  <c r="AI18" i="9"/>
  <c r="AH18" i="9"/>
  <c r="AF18" i="9"/>
  <c r="AE18" i="9"/>
  <c r="AC18" i="9"/>
  <c r="AA18" i="9"/>
  <c r="Z18" i="9"/>
  <c r="Y18" i="9"/>
  <c r="X18" i="9"/>
  <c r="W18" i="9"/>
  <c r="P18" i="9"/>
  <c r="O18" i="9"/>
  <c r="AQ18" i="9" s="1"/>
  <c r="N18" i="9"/>
  <c r="M18" i="9"/>
  <c r="AR17" i="9"/>
  <c r="AP17" i="9"/>
  <c r="AI17" i="9"/>
  <c r="AT17" i="9" s="1"/>
  <c r="AH17" i="9"/>
  <c r="AF17" i="9"/>
  <c r="AE17" i="9"/>
  <c r="AD17" i="9"/>
  <c r="AB17" i="9"/>
  <c r="AA17" i="9"/>
  <c r="Z17" i="9"/>
  <c r="Y17" i="9"/>
  <c r="X17" i="9"/>
  <c r="W17" i="9"/>
  <c r="P17" i="9"/>
  <c r="O17" i="9"/>
  <c r="AQ17" i="9" s="1"/>
  <c r="N17" i="9"/>
  <c r="M17" i="9"/>
  <c r="AI16" i="9"/>
  <c r="AH16" i="9"/>
  <c r="W16" i="9"/>
  <c r="AU15" i="9"/>
  <c r="AT15" i="9"/>
  <c r="AP15" i="9"/>
  <c r="AN15" i="9"/>
  <c r="AI15" i="9"/>
  <c r="AH15" i="9"/>
  <c r="AF15" i="9"/>
  <c r="AE15" i="9"/>
  <c r="AD15" i="9"/>
  <c r="AB15" i="9"/>
  <c r="AA15" i="9"/>
  <c r="Z15" i="9"/>
  <c r="Y15" i="9"/>
  <c r="X15" i="9"/>
  <c r="W15" i="9"/>
  <c r="P15" i="9"/>
  <c r="O15" i="9"/>
  <c r="AQ15" i="9" s="1"/>
  <c r="N15" i="9"/>
  <c r="M15" i="9"/>
  <c r="AT14" i="9"/>
  <c r="AI14" i="9"/>
  <c r="AH14" i="9"/>
  <c r="AF14" i="9"/>
  <c r="AE14" i="9"/>
  <c r="AC14" i="9"/>
  <c r="AA14" i="9"/>
  <c r="Z14" i="9"/>
  <c r="Y14" i="9"/>
  <c r="X14" i="9"/>
  <c r="W14" i="9"/>
  <c r="P14" i="9"/>
  <c r="O14" i="9"/>
  <c r="AQ14" i="9" s="1"/>
  <c r="N14" i="9"/>
  <c r="M14" i="9"/>
  <c r="AR13" i="9"/>
  <c r="AP13" i="9"/>
  <c r="AI13" i="9"/>
  <c r="AT13" i="9" s="1"/>
  <c r="AH13" i="9"/>
  <c r="AF13" i="9"/>
  <c r="AE13" i="9"/>
  <c r="AD13" i="9"/>
  <c r="AB13" i="9"/>
  <c r="AA13" i="9"/>
  <c r="Z13" i="9"/>
  <c r="Y13" i="9"/>
  <c r="X13" i="9"/>
  <c r="W13" i="9"/>
  <c r="P13" i="9"/>
  <c r="O13" i="9"/>
  <c r="AQ13" i="9" s="1"/>
  <c r="N13" i="9"/>
  <c r="M13" i="9"/>
  <c r="AI12" i="9"/>
  <c r="AH12" i="9"/>
  <c r="W12" i="9"/>
  <c r="AU11" i="9"/>
  <c r="AT11" i="9"/>
  <c r="AP11" i="9"/>
  <c r="AI11" i="9"/>
  <c r="AH11" i="9"/>
  <c r="AF11" i="9"/>
  <c r="AE11" i="9"/>
  <c r="AD11" i="9"/>
  <c r="AB11" i="9"/>
  <c r="AA11" i="9"/>
  <c r="Z11" i="9"/>
  <c r="Y11" i="9"/>
  <c r="X11" i="9"/>
  <c r="W11" i="9"/>
  <c r="P11" i="9"/>
  <c r="O11" i="9"/>
  <c r="AQ11" i="9" s="1"/>
  <c r="N11" i="9"/>
  <c r="M11" i="9"/>
  <c r="AU10" i="9"/>
  <c r="AT10" i="9"/>
  <c r="AI10" i="9"/>
  <c r="AH10" i="9"/>
  <c r="AF10" i="9"/>
  <c r="AE10" i="9"/>
  <c r="AC10" i="9"/>
  <c r="AA10" i="9"/>
  <c r="Z10" i="9"/>
  <c r="Y10" i="9"/>
  <c r="X10" i="9"/>
  <c r="W10" i="9"/>
  <c r="P10" i="9"/>
  <c r="O10" i="9"/>
  <c r="AQ10" i="9" s="1"/>
  <c r="N10" i="9"/>
  <c r="M10" i="9"/>
  <c r="AI9" i="9"/>
  <c r="AH9" i="9"/>
  <c r="W9" i="9"/>
  <c r="AT8" i="9"/>
  <c r="AJ8" i="9"/>
  <c r="AI8" i="9"/>
  <c r="AH8" i="9"/>
  <c r="AF8" i="9"/>
  <c r="AE8" i="9"/>
  <c r="AC8" i="9"/>
  <c r="AA8" i="9"/>
  <c r="Z8" i="9"/>
  <c r="Y8" i="9"/>
  <c r="X8" i="9"/>
  <c r="W8" i="9"/>
  <c r="P8" i="9"/>
  <c r="O8" i="9"/>
  <c r="AD8" i="9" s="1"/>
  <c r="N8" i="9"/>
  <c r="M8" i="9"/>
  <c r="AR8" i="9" s="1"/>
  <c r="AU7" i="9"/>
  <c r="AT7" i="9"/>
  <c r="AP7" i="9"/>
  <c r="AI7" i="9"/>
  <c r="AH7" i="9"/>
  <c r="AF7" i="9"/>
  <c r="AE7" i="9"/>
  <c r="AD7" i="9"/>
  <c r="AB7" i="9"/>
  <c r="AA7" i="9"/>
  <c r="Z7" i="9"/>
  <c r="Y7" i="9"/>
  <c r="X7" i="9"/>
  <c r="W7" i="9"/>
  <c r="P7" i="9"/>
  <c r="O7" i="9"/>
  <c r="AQ7" i="9" s="1"/>
  <c r="N7" i="9"/>
  <c r="M7" i="9"/>
  <c r="AR7" i="9" s="1"/>
  <c r="AU6" i="9"/>
  <c r="AT6" i="9"/>
  <c r="AP6" i="9"/>
  <c r="AO6" i="9"/>
  <c r="AV6" i="9" s="1"/>
  <c r="AI6" i="9"/>
  <c r="AH6" i="9"/>
  <c r="AF6" i="9"/>
  <c r="AE6" i="9"/>
  <c r="AC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R3" i="9"/>
  <c r="AI3" i="9"/>
  <c r="AH3" i="9"/>
  <c r="AN2" i="9"/>
  <c r="AN80" i="9" s="1"/>
  <c r="AM2" i="9"/>
  <c r="AL2" i="9"/>
  <c r="AK2" i="9"/>
  <c r="AJ2" i="9"/>
  <c r="AJ81" i="9" s="1"/>
  <c r="AA2" i="9"/>
  <c r="A2" i="9"/>
  <c r="AU1" i="9"/>
  <c r="AR1" i="9"/>
  <c r="AR72" i="9" s="1"/>
  <c r="AQ1" i="9"/>
  <c r="AQ83" i="9" s="1"/>
  <c r="AP1" i="9"/>
  <c r="AP66" i="9" s="1"/>
  <c r="AO1" i="9"/>
  <c r="AA1" i="9"/>
  <c r="A1" i="9"/>
  <c r="AJ1" i="9" s="1"/>
  <c r="AT46" i="8"/>
  <c r="AP46" i="8"/>
  <c r="AI46" i="8"/>
  <c r="AH46" i="8"/>
  <c r="AF46" i="8"/>
  <c r="AE46" i="8"/>
  <c r="AD46" i="8"/>
  <c r="AA46" i="8"/>
  <c r="Z46" i="8"/>
  <c r="Y46" i="8"/>
  <c r="X46" i="8"/>
  <c r="W46" i="8"/>
  <c r="P46" i="8"/>
  <c r="O46" i="8"/>
  <c r="AQ46" i="8" s="1"/>
  <c r="N46" i="8"/>
  <c r="AO46" i="8" s="1"/>
  <c r="AV46" i="8" s="1"/>
  <c r="M46" i="8"/>
  <c r="AT45" i="8"/>
  <c r="AI45" i="8"/>
  <c r="AH45" i="8"/>
  <c r="AF45" i="8"/>
  <c r="AE45" i="8"/>
  <c r="AA45" i="8"/>
  <c r="Z45" i="8"/>
  <c r="Y45" i="8"/>
  <c r="X45" i="8"/>
  <c r="W45" i="8"/>
  <c r="P45" i="8"/>
  <c r="O45" i="8"/>
  <c r="N45" i="8"/>
  <c r="AC45" i="8" s="1"/>
  <c r="M45" i="8"/>
  <c r="AI44" i="8"/>
  <c r="AT44" i="8" s="1"/>
  <c r="AH44" i="8"/>
  <c r="AF44" i="8"/>
  <c r="AE44" i="8"/>
  <c r="AB44" i="8"/>
  <c r="AA44" i="8"/>
  <c r="Z44" i="8"/>
  <c r="Y44" i="8"/>
  <c r="X44" i="8"/>
  <c r="W44" i="8"/>
  <c r="P44" i="8"/>
  <c r="O44" i="8"/>
  <c r="N44" i="8"/>
  <c r="M44" i="8"/>
  <c r="AT43" i="8"/>
  <c r="AP43" i="8"/>
  <c r="AI43" i="8"/>
  <c r="AH43" i="8"/>
  <c r="AF43" i="8"/>
  <c r="AE43" i="8"/>
  <c r="AC43" i="8"/>
  <c r="AA43" i="8"/>
  <c r="Z43" i="8"/>
  <c r="Y43" i="8"/>
  <c r="X43" i="8"/>
  <c r="W43" i="8"/>
  <c r="P43" i="8"/>
  <c r="O43" i="8"/>
  <c r="AD43" i="8" s="1"/>
  <c r="N43" i="8"/>
  <c r="AO43" i="8" s="1"/>
  <c r="AV43" i="8" s="1"/>
  <c r="M43" i="8"/>
  <c r="AP42" i="8"/>
  <c r="AI42" i="8"/>
  <c r="AH42" i="8"/>
  <c r="AF42" i="8"/>
  <c r="AE42" i="8"/>
  <c r="AD42" i="8"/>
  <c r="AB42" i="8"/>
  <c r="AA42" i="8"/>
  <c r="Z42" i="8"/>
  <c r="Y42" i="8"/>
  <c r="X42" i="8"/>
  <c r="W42" i="8"/>
  <c r="P42" i="8"/>
  <c r="O42" i="8"/>
  <c r="N42" i="8"/>
  <c r="AO42" i="8" s="1"/>
  <c r="AV42" i="8" s="1"/>
  <c r="M42" i="8"/>
  <c r="AV41" i="8"/>
  <c r="AT41" i="8"/>
  <c r="AP41" i="8"/>
  <c r="AO41" i="8"/>
  <c r="AI41" i="8"/>
  <c r="AH41" i="8"/>
  <c r="AF41" i="8"/>
  <c r="AE41" i="8"/>
  <c r="AC41" i="8"/>
  <c r="AA41" i="8"/>
  <c r="Z41" i="8"/>
  <c r="Y41" i="8"/>
  <c r="X41" i="8"/>
  <c r="W41" i="8"/>
  <c r="P41" i="8"/>
  <c r="O41" i="8"/>
  <c r="AD41" i="8" s="1"/>
  <c r="N41" i="8"/>
  <c r="M41" i="8"/>
  <c r="AI40" i="8"/>
  <c r="AH40" i="8"/>
  <c r="W40" i="8"/>
  <c r="AT39" i="8"/>
  <c r="AI39" i="8"/>
  <c r="AH39" i="8"/>
  <c r="AF39" i="8"/>
  <c r="AE39" i="8"/>
  <c r="AC39" i="8"/>
  <c r="AA39" i="8"/>
  <c r="Z39" i="8"/>
  <c r="Y39" i="8"/>
  <c r="X39" i="8"/>
  <c r="W39" i="8"/>
  <c r="P39" i="8"/>
  <c r="O39" i="8"/>
  <c r="AD39" i="8" s="1"/>
  <c r="N39" i="8"/>
  <c r="M39" i="8"/>
  <c r="AI38" i="8"/>
  <c r="AH38" i="8"/>
  <c r="W38" i="8"/>
  <c r="AT37" i="8"/>
  <c r="AP37" i="8"/>
  <c r="AO37" i="8"/>
  <c r="AV37" i="8" s="1"/>
  <c r="AI37" i="8"/>
  <c r="AH37" i="8"/>
  <c r="AF37" i="8"/>
  <c r="AE37" i="8"/>
  <c r="AC37" i="8"/>
  <c r="AA37" i="8"/>
  <c r="Z37" i="8"/>
  <c r="Y37" i="8"/>
  <c r="X37" i="8"/>
  <c r="W37" i="8"/>
  <c r="P37" i="8"/>
  <c r="O37" i="8"/>
  <c r="AD37" i="8" s="1"/>
  <c r="N37" i="8"/>
  <c r="M37" i="8"/>
  <c r="AR36" i="8"/>
  <c r="AI36" i="8"/>
  <c r="AH36" i="8"/>
  <c r="AF36" i="8"/>
  <c r="AE36" i="8"/>
  <c r="AD36" i="8"/>
  <c r="AB36" i="8"/>
  <c r="AA36" i="8"/>
  <c r="Z36" i="8"/>
  <c r="Y36" i="8"/>
  <c r="X36" i="8"/>
  <c r="W36" i="8"/>
  <c r="P36" i="8"/>
  <c r="O36" i="8"/>
  <c r="N36" i="8"/>
  <c r="M36" i="8"/>
  <c r="AT35" i="8"/>
  <c r="AQ35" i="8"/>
  <c r="AI35" i="8"/>
  <c r="AH35" i="8"/>
  <c r="AF35" i="8"/>
  <c r="AE35" i="8"/>
  <c r="AC35" i="8"/>
  <c r="AA35" i="8"/>
  <c r="Z35" i="8"/>
  <c r="Y35" i="8"/>
  <c r="X35" i="8"/>
  <c r="W35" i="8"/>
  <c r="P35" i="8"/>
  <c r="O35" i="8"/>
  <c r="AD35" i="8" s="1"/>
  <c r="N35" i="8"/>
  <c r="M35" i="8"/>
  <c r="AI34" i="8"/>
  <c r="AH34" i="8"/>
  <c r="AF34" i="8"/>
  <c r="AE34" i="8"/>
  <c r="AD34" i="8"/>
  <c r="AB34" i="8"/>
  <c r="AA34" i="8"/>
  <c r="Z34" i="8"/>
  <c r="Y34" i="8"/>
  <c r="X34" i="8"/>
  <c r="W34" i="8"/>
  <c r="P34" i="8"/>
  <c r="O34" i="8"/>
  <c r="N34" i="8"/>
  <c r="M34" i="8"/>
  <c r="AI33" i="8"/>
  <c r="AH33" i="8"/>
  <c r="W33" i="8"/>
  <c r="AI32" i="8"/>
  <c r="AH32" i="8"/>
  <c r="AF32" i="8"/>
  <c r="AE32" i="8"/>
  <c r="AD32" i="8"/>
  <c r="AB32" i="8"/>
  <c r="AA32" i="8"/>
  <c r="Z32" i="8"/>
  <c r="Y32" i="8"/>
  <c r="X32" i="8"/>
  <c r="W32" i="8"/>
  <c r="P32" i="8"/>
  <c r="O32" i="8"/>
  <c r="AQ32" i="8" s="1"/>
  <c r="N32" i="8"/>
  <c r="M32" i="8"/>
  <c r="AT31" i="8"/>
  <c r="AI31" i="8"/>
  <c r="AH31" i="8"/>
  <c r="AF31" i="8"/>
  <c r="AE31" i="8"/>
  <c r="AA31" i="8"/>
  <c r="Z31" i="8"/>
  <c r="Y31" i="8"/>
  <c r="X31" i="8"/>
  <c r="W31" i="8"/>
  <c r="P31" i="8"/>
  <c r="O31" i="8"/>
  <c r="AD31" i="8" s="1"/>
  <c r="N31" i="8"/>
  <c r="AC31" i="8" s="1"/>
  <c r="M31" i="8"/>
  <c r="AR30" i="8"/>
  <c r="AP30" i="8"/>
  <c r="AI30" i="8"/>
  <c r="AH30" i="8"/>
  <c r="AF30" i="8"/>
  <c r="AE30" i="8"/>
  <c r="AB30" i="8"/>
  <c r="AA30" i="8"/>
  <c r="Z30" i="8"/>
  <c r="Y30" i="8"/>
  <c r="X30" i="8"/>
  <c r="W30" i="8"/>
  <c r="P30" i="8"/>
  <c r="O30" i="8"/>
  <c r="AD30" i="8" s="1"/>
  <c r="N30" i="8"/>
  <c r="AO30" i="8" s="1"/>
  <c r="AV30" i="8" s="1"/>
  <c r="M30" i="8"/>
  <c r="AI29" i="8"/>
  <c r="AH29" i="8"/>
  <c r="W29" i="8"/>
  <c r="AP28" i="8"/>
  <c r="AO28" i="8"/>
  <c r="AV28" i="8" s="1"/>
  <c r="AI28" i="8"/>
  <c r="AH28" i="8"/>
  <c r="AF28" i="8"/>
  <c r="AE28" i="8"/>
  <c r="AD28" i="8"/>
  <c r="AA28" i="8"/>
  <c r="Z28" i="8"/>
  <c r="Y28" i="8"/>
  <c r="X28" i="8"/>
  <c r="W28" i="8"/>
  <c r="P28" i="8"/>
  <c r="O28" i="8"/>
  <c r="AQ28" i="8" s="1"/>
  <c r="N28" i="8"/>
  <c r="AC28" i="8" s="1"/>
  <c r="M28" i="8"/>
  <c r="AR28" i="8" s="1"/>
  <c r="AT27" i="8"/>
  <c r="AI27" i="8"/>
  <c r="AH27" i="8"/>
  <c r="AF27" i="8"/>
  <c r="AE27" i="8"/>
  <c r="AA27" i="8"/>
  <c r="Z27" i="8"/>
  <c r="Y27" i="8"/>
  <c r="X27" i="8"/>
  <c r="W27" i="8"/>
  <c r="P27" i="8"/>
  <c r="O27" i="8"/>
  <c r="AD27" i="8" s="1"/>
  <c r="N27" i="8"/>
  <c r="M27" i="8"/>
  <c r="AI26" i="8"/>
  <c r="AH26" i="8"/>
  <c r="AF26" i="8"/>
  <c r="AE26" i="8"/>
  <c r="AB26" i="8"/>
  <c r="AA26" i="8"/>
  <c r="Z26" i="8"/>
  <c r="Y26" i="8"/>
  <c r="X26" i="8"/>
  <c r="W26" i="8"/>
  <c r="P26" i="8"/>
  <c r="O26" i="8"/>
  <c r="AQ26" i="8" s="1"/>
  <c r="N26" i="8"/>
  <c r="M26" i="8"/>
  <c r="AI25" i="8"/>
  <c r="AH25" i="8"/>
  <c r="W25" i="8"/>
  <c r="AI24" i="8"/>
  <c r="AH24" i="8"/>
  <c r="AF24" i="8"/>
  <c r="AE24" i="8"/>
  <c r="AB24" i="8"/>
  <c r="AA24" i="8"/>
  <c r="Z24" i="8"/>
  <c r="Y24" i="8"/>
  <c r="X24" i="8"/>
  <c r="W24" i="8"/>
  <c r="P24" i="8"/>
  <c r="O24" i="8"/>
  <c r="N24" i="8"/>
  <c r="AC24" i="8" s="1"/>
  <c r="M24" i="8"/>
  <c r="AR24" i="8" s="1"/>
  <c r="AR23" i="8"/>
  <c r="AP23" i="8"/>
  <c r="AI23" i="8"/>
  <c r="AH23" i="8"/>
  <c r="AF23" i="8"/>
  <c r="AE23" i="8"/>
  <c r="AA23" i="8"/>
  <c r="Z23" i="8"/>
  <c r="Y23" i="8"/>
  <c r="X23" i="8"/>
  <c r="W23" i="8"/>
  <c r="P23" i="8"/>
  <c r="O23" i="8"/>
  <c r="AD23" i="8" s="1"/>
  <c r="N23" i="8"/>
  <c r="M23" i="8"/>
  <c r="AB23" i="8" s="1"/>
  <c r="AU22" i="8"/>
  <c r="AI22" i="8"/>
  <c r="AT22" i="8" s="1"/>
  <c r="AH22" i="8"/>
  <c r="AF22" i="8"/>
  <c r="AE22" i="8"/>
  <c r="AB22" i="8"/>
  <c r="AA22" i="8"/>
  <c r="Z22" i="8"/>
  <c r="Y22" i="8"/>
  <c r="X22" i="8"/>
  <c r="W22" i="8"/>
  <c r="P22" i="8"/>
  <c r="O22" i="8"/>
  <c r="AD22" i="8" s="1"/>
  <c r="N22" i="8"/>
  <c r="AC22" i="8" s="1"/>
  <c r="M22" i="8"/>
  <c r="AR21" i="8"/>
  <c r="AP21" i="8"/>
  <c r="AO21" i="8"/>
  <c r="AV21" i="8" s="1"/>
  <c r="AI21" i="8"/>
  <c r="AH21" i="8"/>
  <c r="AF21" i="8"/>
  <c r="AE21" i="8"/>
  <c r="AC21" i="8"/>
  <c r="AB21" i="8"/>
  <c r="AA21" i="8"/>
  <c r="Z21" i="8"/>
  <c r="Y21" i="8"/>
  <c r="X21" i="8"/>
  <c r="W21" i="8"/>
  <c r="P21" i="8"/>
  <c r="O21" i="8"/>
  <c r="AD21" i="8" s="1"/>
  <c r="N21" i="8"/>
  <c r="M21" i="8"/>
  <c r="AI20" i="8"/>
  <c r="AH20" i="8"/>
  <c r="W20" i="8"/>
  <c r="AT19" i="8"/>
  <c r="AP19" i="8"/>
  <c r="AJ19" i="8"/>
  <c r="AI19" i="8"/>
  <c r="AH19" i="8"/>
  <c r="AF19" i="8"/>
  <c r="AE19" i="8"/>
  <c r="AA19" i="8"/>
  <c r="Z19" i="8"/>
  <c r="Y19" i="8"/>
  <c r="X19" i="8"/>
  <c r="W19" i="8"/>
  <c r="P19" i="8"/>
  <c r="O19" i="8"/>
  <c r="AQ19" i="8" s="1"/>
  <c r="N19" i="8"/>
  <c r="M19" i="8"/>
  <c r="AR19" i="8" s="1"/>
  <c r="AU18" i="8"/>
  <c r="AI18" i="8"/>
  <c r="AT18" i="8" s="1"/>
  <c r="AH18" i="8"/>
  <c r="AF18" i="8"/>
  <c r="AE18" i="8"/>
  <c r="AB18" i="8"/>
  <c r="AA18" i="8"/>
  <c r="Z18" i="8"/>
  <c r="Y18" i="8"/>
  <c r="X18" i="8"/>
  <c r="W18" i="8"/>
  <c r="P18" i="8"/>
  <c r="O18" i="8"/>
  <c r="AD18" i="8" s="1"/>
  <c r="N18" i="8"/>
  <c r="AC18" i="8" s="1"/>
  <c r="M18" i="8"/>
  <c r="AI17" i="8"/>
  <c r="AH17" i="8"/>
  <c r="W17" i="8"/>
  <c r="AV16" i="8"/>
  <c r="AP16" i="8"/>
  <c r="AO16" i="8"/>
  <c r="AI16" i="8"/>
  <c r="AN16" i="8" s="1"/>
  <c r="AH16" i="8"/>
  <c r="AF16" i="8"/>
  <c r="AE16" i="8"/>
  <c r="AD16" i="8"/>
  <c r="AA16" i="8"/>
  <c r="Z16" i="8"/>
  <c r="Y16" i="8"/>
  <c r="X16" i="8"/>
  <c r="W16" i="8"/>
  <c r="P16" i="8"/>
  <c r="O16" i="8"/>
  <c r="AQ16" i="8" s="1"/>
  <c r="N16" i="8"/>
  <c r="AC16" i="8" s="1"/>
  <c r="M16" i="8"/>
  <c r="AT15" i="8"/>
  <c r="AP15" i="8"/>
  <c r="AJ15" i="8"/>
  <c r="AI15" i="8"/>
  <c r="AH15" i="8"/>
  <c r="AF15" i="8"/>
  <c r="AE15" i="8"/>
  <c r="AA15" i="8"/>
  <c r="Z15" i="8"/>
  <c r="Y15" i="8"/>
  <c r="X15" i="8"/>
  <c r="W15" i="8"/>
  <c r="P15" i="8"/>
  <c r="O15" i="8"/>
  <c r="AQ15" i="8" s="1"/>
  <c r="N15" i="8"/>
  <c r="M15" i="8"/>
  <c r="AR15" i="8" s="1"/>
  <c r="AU14" i="8"/>
  <c r="AQ14" i="8"/>
  <c r="AP14" i="8"/>
  <c r="AI14" i="8"/>
  <c r="AT14" i="8" s="1"/>
  <c r="AH14" i="8"/>
  <c r="AF14" i="8"/>
  <c r="AE14" i="8"/>
  <c r="AB14" i="8"/>
  <c r="AA14" i="8"/>
  <c r="Z14" i="8"/>
  <c r="Y14" i="8"/>
  <c r="X14" i="8"/>
  <c r="W14" i="8"/>
  <c r="P14" i="8"/>
  <c r="O14" i="8"/>
  <c r="AD14" i="8" s="1"/>
  <c r="N14" i="8"/>
  <c r="AC14" i="8" s="1"/>
  <c r="M14" i="8"/>
  <c r="AR13" i="8"/>
  <c r="AP13" i="8"/>
  <c r="AO13" i="8"/>
  <c r="AV13" i="8" s="1"/>
  <c r="AI13" i="8"/>
  <c r="AH13" i="8"/>
  <c r="AF13" i="8"/>
  <c r="AE13" i="8"/>
  <c r="AC13" i="8"/>
  <c r="AB13" i="8"/>
  <c r="AA13" i="8"/>
  <c r="Z13" i="8"/>
  <c r="Y13" i="8"/>
  <c r="X13" i="8"/>
  <c r="W13" i="8"/>
  <c r="P13" i="8"/>
  <c r="O13" i="8"/>
  <c r="AD13" i="8" s="1"/>
  <c r="N13" i="8"/>
  <c r="M13" i="8"/>
  <c r="AI12" i="8"/>
  <c r="AH12" i="8"/>
  <c r="W12" i="8"/>
  <c r="AT11" i="8"/>
  <c r="AP11" i="8"/>
  <c r="AJ11" i="8"/>
  <c r="AI11" i="8"/>
  <c r="AH11" i="8"/>
  <c r="AF11" i="8"/>
  <c r="AE11" i="8"/>
  <c r="AA11" i="8"/>
  <c r="Z11" i="8"/>
  <c r="Y11" i="8"/>
  <c r="X11" i="8"/>
  <c r="W11" i="8"/>
  <c r="P11" i="8"/>
  <c r="O11" i="8"/>
  <c r="AQ11" i="8" s="1"/>
  <c r="N11" i="8"/>
  <c r="M11" i="8"/>
  <c r="AR11" i="8" s="1"/>
  <c r="AU10" i="8"/>
  <c r="AI10" i="8"/>
  <c r="AT10" i="8" s="1"/>
  <c r="AH10" i="8"/>
  <c r="AF10" i="8"/>
  <c r="AE10" i="8"/>
  <c r="AB10" i="8"/>
  <c r="AA10" i="8"/>
  <c r="Z10" i="8"/>
  <c r="Y10" i="8"/>
  <c r="X10" i="8"/>
  <c r="W10" i="8"/>
  <c r="P10" i="8"/>
  <c r="O10" i="8"/>
  <c r="AD10" i="8" s="1"/>
  <c r="N10" i="8"/>
  <c r="AC10" i="8" s="1"/>
  <c r="M10" i="8"/>
  <c r="AR9" i="8"/>
  <c r="AP9" i="8"/>
  <c r="AO9" i="8"/>
  <c r="AV9" i="8" s="1"/>
  <c r="AI9" i="8"/>
  <c r="AH9" i="8"/>
  <c r="AF9" i="8"/>
  <c r="AE9" i="8"/>
  <c r="AC9" i="8"/>
  <c r="AB9" i="8"/>
  <c r="AA9" i="8"/>
  <c r="Z9" i="8"/>
  <c r="Y9" i="8"/>
  <c r="X9" i="8"/>
  <c r="W9" i="8"/>
  <c r="P9" i="8"/>
  <c r="O9" i="8"/>
  <c r="AD9" i="8" s="1"/>
  <c r="N9" i="8"/>
  <c r="M9" i="8"/>
  <c r="AU8" i="8"/>
  <c r="AT8" i="8"/>
  <c r="AP8" i="8"/>
  <c r="AJ8" i="8"/>
  <c r="AI8" i="8"/>
  <c r="AH8" i="8"/>
  <c r="AF8" i="8"/>
  <c r="AE8" i="8"/>
  <c r="AD8" i="8"/>
  <c r="AC8" i="8"/>
  <c r="AB8" i="8"/>
  <c r="AA8" i="8"/>
  <c r="Z8" i="8"/>
  <c r="Y8" i="8"/>
  <c r="X8" i="8"/>
  <c r="W8" i="8"/>
  <c r="P8" i="8"/>
  <c r="O8" i="8"/>
  <c r="AQ8" i="8" s="1"/>
  <c r="N8" i="8"/>
  <c r="AO8" i="8" s="1"/>
  <c r="AV8" i="8" s="1"/>
  <c r="M8" i="8"/>
  <c r="AU7" i="8"/>
  <c r="AT7" i="8"/>
  <c r="AP7" i="8"/>
  <c r="AO7" i="8"/>
  <c r="AV7" i="8" s="1"/>
  <c r="AN7" i="8"/>
  <c r="AJ7" i="8"/>
  <c r="AI7" i="8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R7" i="8" s="1"/>
  <c r="AU6" i="8"/>
  <c r="AI6" i="8"/>
  <c r="AN6" i="8" s="1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AC6" i="8" s="1"/>
  <c r="M6" i="8"/>
  <c r="AI5" i="8"/>
  <c r="AH5" i="8"/>
  <c r="W5" i="8"/>
  <c r="AI4" i="8"/>
  <c r="AU3" i="8"/>
  <c r="AR3" i="8"/>
  <c r="AQ3" i="8"/>
  <c r="AI3" i="8"/>
  <c r="AH3" i="8"/>
  <c r="AN2" i="8"/>
  <c r="AN46" i="8" s="1"/>
  <c r="AM2" i="8"/>
  <c r="AL2" i="8"/>
  <c r="AK2" i="8"/>
  <c r="AJ2" i="8"/>
  <c r="AJ39" i="8" s="1"/>
  <c r="AA2" i="8"/>
  <c r="A2" i="8"/>
  <c r="AU1" i="8"/>
  <c r="AR1" i="8"/>
  <c r="AR44" i="8" s="1"/>
  <c r="AQ1" i="8"/>
  <c r="AQ31" i="8" s="1"/>
  <c r="AP1" i="8"/>
  <c r="AP44" i="8" s="1"/>
  <c r="AO1" i="8"/>
  <c r="AO6" i="8" s="1"/>
  <c r="AJ1" i="8"/>
  <c r="AA1" i="8"/>
  <c r="A1" i="8"/>
  <c r="AH1" i="8" s="1"/>
  <c r="AH2" i="8" s="1"/>
  <c r="AU33" i="7"/>
  <c r="AT33" i="7"/>
  <c r="AP33" i="7"/>
  <c r="AO33" i="7"/>
  <c r="AV33" i="7" s="1"/>
  <c r="AI33" i="7"/>
  <c r="AH33" i="7"/>
  <c r="AF33" i="7"/>
  <c r="AE33" i="7"/>
  <c r="AD33" i="7"/>
  <c r="AC33" i="7"/>
  <c r="AA33" i="7"/>
  <c r="Z33" i="7"/>
  <c r="Y33" i="7"/>
  <c r="X33" i="7"/>
  <c r="W33" i="7"/>
  <c r="P33" i="7"/>
  <c r="O33" i="7"/>
  <c r="AQ33" i="7" s="1"/>
  <c r="N33" i="7"/>
  <c r="M33" i="7"/>
  <c r="AR33" i="7" s="1"/>
  <c r="AP32" i="7"/>
  <c r="AO32" i="7"/>
  <c r="AV32" i="7" s="1"/>
  <c r="AI32" i="7"/>
  <c r="AH32" i="7"/>
  <c r="AF32" i="7"/>
  <c r="AE32" i="7"/>
  <c r="AD32" i="7"/>
  <c r="AA32" i="7"/>
  <c r="Z32" i="7"/>
  <c r="Y32" i="7"/>
  <c r="X32" i="7"/>
  <c r="W32" i="7"/>
  <c r="P32" i="7"/>
  <c r="O32" i="7"/>
  <c r="AQ32" i="7" s="1"/>
  <c r="N32" i="7"/>
  <c r="AC32" i="7" s="1"/>
  <c r="M32" i="7"/>
  <c r="AT31" i="7"/>
  <c r="AP31" i="7"/>
  <c r="AI31" i="7"/>
  <c r="AH31" i="7"/>
  <c r="AF31" i="7"/>
  <c r="AE31" i="7"/>
  <c r="AA31" i="7"/>
  <c r="Z31" i="7"/>
  <c r="Y31" i="7"/>
  <c r="X31" i="7"/>
  <c r="W31" i="7"/>
  <c r="P31" i="7"/>
  <c r="O31" i="7"/>
  <c r="AQ31" i="7" s="1"/>
  <c r="N31" i="7"/>
  <c r="M31" i="7"/>
  <c r="AR31" i="7" s="1"/>
  <c r="AI30" i="7"/>
  <c r="AH30" i="7"/>
  <c r="W30" i="7"/>
  <c r="AU29" i="7"/>
  <c r="AT29" i="7"/>
  <c r="AP29" i="7"/>
  <c r="AO29" i="7"/>
  <c r="AV29" i="7" s="1"/>
  <c r="AI29" i="7"/>
  <c r="AH29" i="7"/>
  <c r="AF29" i="7"/>
  <c r="AE29" i="7"/>
  <c r="AD29" i="7"/>
  <c r="AC29" i="7"/>
  <c r="AA29" i="7"/>
  <c r="Z29" i="7"/>
  <c r="Y29" i="7"/>
  <c r="X29" i="7"/>
  <c r="W29" i="7"/>
  <c r="P29" i="7"/>
  <c r="O29" i="7"/>
  <c r="AQ29" i="7" s="1"/>
  <c r="N29" i="7"/>
  <c r="M29" i="7"/>
  <c r="AR29" i="7" s="1"/>
  <c r="AP28" i="7"/>
  <c r="AO28" i="7"/>
  <c r="AV28" i="7" s="1"/>
  <c r="AI28" i="7"/>
  <c r="AH28" i="7"/>
  <c r="AF28" i="7"/>
  <c r="AE28" i="7"/>
  <c r="AD28" i="7"/>
  <c r="AA28" i="7"/>
  <c r="Z28" i="7"/>
  <c r="Y28" i="7"/>
  <c r="X28" i="7"/>
  <c r="W28" i="7"/>
  <c r="P28" i="7"/>
  <c r="O28" i="7"/>
  <c r="AQ28" i="7" s="1"/>
  <c r="N28" i="7"/>
  <c r="AC28" i="7" s="1"/>
  <c r="M28" i="7"/>
  <c r="AI27" i="7"/>
  <c r="AH27" i="7"/>
  <c r="W27" i="7"/>
  <c r="AT26" i="7"/>
  <c r="AJ26" i="7"/>
  <c r="AI26" i="7"/>
  <c r="AH26" i="7"/>
  <c r="AF26" i="7"/>
  <c r="AE26" i="7"/>
  <c r="AD26" i="7"/>
  <c r="AC26" i="7"/>
  <c r="AB26" i="7"/>
  <c r="AA26" i="7"/>
  <c r="Z26" i="7"/>
  <c r="Y26" i="7"/>
  <c r="X26" i="7"/>
  <c r="W26" i="7"/>
  <c r="P26" i="7"/>
  <c r="O26" i="7"/>
  <c r="AQ26" i="7" s="1"/>
  <c r="N26" i="7"/>
  <c r="M26" i="7"/>
  <c r="AU25" i="7"/>
  <c r="AT25" i="7"/>
  <c r="AP25" i="7"/>
  <c r="AO25" i="7"/>
  <c r="AV25" i="7" s="1"/>
  <c r="AI25" i="7"/>
  <c r="AH25" i="7"/>
  <c r="AF25" i="7"/>
  <c r="AE25" i="7"/>
  <c r="AD25" i="7"/>
  <c r="AC25" i="7"/>
  <c r="AA25" i="7"/>
  <c r="Z25" i="7"/>
  <c r="Y25" i="7"/>
  <c r="X25" i="7"/>
  <c r="W25" i="7"/>
  <c r="P25" i="7"/>
  <c r="O25" i="7"/>
  <c r="AQ25" i="7" s="1"/>
  <c r="N25" i="7"/>
  <c r="M25" i="7"/>
  <c r="AR25" i="7" s="1"/>
  <c r="AV24" i="7"/>
  <c r="AP24" i="7"/>
  <c r="AO24" i="7"/>
  <c r="AI24" i="7"/>
  <c r="AH24" i="7"/>
  <c r="AF24" i="7"/>
  <c r="AE24" i="7"/>
  <c r="AD24" i="7"/>
  <c r="AA24" i="7"/>
  <c r="Z24" i="7"/>
  <c r="Y24" i="7"/>
  <c r="X24" i="7"/>
  <c r="W24" i="7"/>
  <c r="P24" i="7"/>
  <c r="O24" i="7"/>
  <c r="AQ24" i="7" s="1"/>
  <c r="N24" i="7"/>
  <c r="AC24" i="7" s="1"/>
  <c r="M24" i="7"/>
  <c r="AI23" i="7"/>
  <c r="AH23" i="7"/>
  <c r="W23" i="7"/>
  <c r="AT22" i="7"/>
  <c r="AP22" i="7"/>
  <c r="AJ22" i="7"/>
  <c r="AI22" i="7"/>
  <c r="AH22" i="7"/>
  <c r="AF22" i="7"/>
  <c r="AE22" i="7"/>
  <c r="AD22" i="7"/>
  <c r="AC22" i="7"/>
  <c r="AB22" i="7"/>
  <c r="AA22" i="7"/>
  <c r="Z22" i="7"/>
  <c r="Y22" i="7"/>
  <c r="X22" i="7"/>
  <c r="W22" i="7"/>
  <c r="P22" i="7"/>
  <c r="O22" i="7"/>
  <c r="AQ22" i="7" s="1"/>
  <c r="N22" i="7"/>
  <c r="M22" i="7"/>
  <c r="AU21" i="7"/>
  <c r="AT21" i="7"/>
  <c r="AP21" i="7"/>
  <c r="AO21" i="7"/>
  <c r="AV21" i="7" s="1"/>
  <c r="AI21" i="7"/>
  <c r="AH21" i="7"/>
  <c r="AF21" i="7"/>
  <c r="AE21" i="7"/>
  <c r="AD21" i="7"/>
  <c r="AC21" i="7"/>
  <c r="AA21" i="7"/>
  <c r="Z21" i="7"/>
  <c r="Y21" i="7"/>
  <c r="X21" i="7"/>
  <c r="W21" i="7"/>
  <c r="P21" i="7"/>
  <c r="O21" i="7"/>
  <c r="AQ21" i="7" s="1"/>
  <c r="N21" i="7"/>
  <c r="M21" i="7"/>
  <c r="AR21" i="7" s="1"/>
  <c r="AI20" i="7"/>
  <c r="AH20" i="7"/>
  <c r="AF20" i="7"/>
  <c r="AE20" i="7"/>
  <c r="AD20" i="7"/>
  <c r="AA20" i="7"/>
  <c r="Z20" i="7"/>
  <c r="Y20" i="7"/>
  <c r="X20" i="7"/>
  <c r="W20" i="7"/>
  <c r="P20" i="7"/>
  <c r="O20" i="7"/>
  <c r="AQ20" i="7" s="1"/>
  <c r="N20" i="7"/>
  <c r="AC20" i="7" s="1"/>
  <c r="M20" i="7"/>
  <c r="AI19" i="7"/>
  <c r="AH19" i="7"/>
  <c r="W19" i="7"/>
  <c r="AT18" i="7"/>
  <c r="AP18" i="7"/>
  <c r="AJ18" i="7"/>
  <c r="AI18" i="7"/>
  <c r="AH18" i="7"/>
  <c r="AF18" i="7"/>
  <c r="AE18" i="7"/>
  <c r="AD18" i="7"/>
  <c r="AC18" i="7"/>
  <c r="AB18" i="7"/>
  <c r="AA18" i="7"/>
  <c r="Z18" i="7"/>
  <c r="Y18" i="7"/>
  <c r="X18" i="7"/>
  <c r="W18" i="7"/>
  <c r="P18" i="7"/>
  <c r="O18" i="7"/>
  <c r="AQ18" i="7" s="1"/>
  <c r="N18" i="7"/>
  <c r="AO18" i="7" s="1"/>
  <c r="AV18" i="7" s="1"/>
  <c r="M18" i="7"/>
  <c r="AU17" i="7"/>
  <c r="AT17" i="7"/>
  <c r="AP17" i="7"/>
  <c r="AO17" i="7"/>
  <c r="AV17" i="7" s="1"/>
  <c r="AI17" i="7"/>
  <c r="AH17" i="7"/>
  <c r="AF17" i="7"/>
  <c r="AE17" i="7"/>
  <c r="AD17" i="7"/>
  <c r="AC17" i="7"/>
  <c r="AA17" i="7"/>
  <c r="Z17" i="7"/>
  <c r="Y17" i="7"/>
  <c r="X17" i="7"/>
  <c r="W17" i="7"/>
  <c r="P17" i="7"/>
  <c r="O17" i="7"/>
  <c r="AQ17" i="7" s="1"/>
  <c r="N17" i="7"/>
  <c r="M17" i="7"/>
  <c r="AR17" i="7" s="1"/>
  <c r="AI16" i="7"/>
  <c r="AH16" i="7"/>
  <c r="W16" i="7"/>
  <c r="AR15" i="7"/>
  <c r="AI15" i="7"/>
  <c r="AH15" i="7"/>
  <c r="AF15" i="7"/>
  <c r="AE15" i="7"/>
  <c r="AC15" i="7"/>
  <c r="AB15" i="7"/>
  <c r="AA15" i="7"/>
  <c r="Z15" i="7"/>
  <c r="Y15" i="7"/>
  <c r="X15" i="7"/>
  <c r="W15" i="7"/>
  <c r="P15" i="7"/>
  <c r="O15" i="7"/>
  <c r="AD15" i="7" s="1"/>
  <c r="N15" i="7"/>
  <c r="M15" i="7"/>
  <c r="AU14" i="7"/>
  <c r="AT14" i="7"/>
  <c r="AP14" i="7"/>
  <c r="AJ14" i="7"/>
  <c r="AI14" i="7"/>
  <c r="AH14" i="7"/>
  <c r="AF14" i="7"/>
  <c r="AE14" i="7"/>
  <c r="AD14" i="7"/>
  <c r="AC14" i="7"/>
  <c r="AB14" i="7"/>
  <c r="AA14" i="7"/>
  <c r="Z14" i="7"/>
  <c r="Y14" i="7"/>
  <c r="X14" i="7"/>
  <c r="W14" i="7"/>
  <c r="P14" i="7"/>
  <c r="O14" i="7"/>
  <c r="AQ14" i="7" s="1"/>
  <c r="N14" i="7"/>
  <c r="AO14" i="7" s="1"/>
  <c r="AV14" i="7" s="1"/>
  <c r="M14" i="7"/>
  <c r="AU13" i="7"/>
  <c r="AT13" i="7"/>
  <c r="AP13" i="7"/>
  <c r="AO13" i="7"/>
  <c r="AV13" i="7" s="1"/>
  <c r="AN13" i="7"/>
  <c r="AI13" i="7"/>
  <c r="AH13" i="7"/>
  <c r="AF13" i="7"/>
  <c r="AE13" i="7"/>
  <c r="AD13" i="7"/>
  <c r="AC13" i="7"/>
  <c r="AA13" i="7"/>
  <c r="Z13" i="7"/>
  <c r="Y13" i="7"/>
  <c r="X13" i="7"/>
  <c r="W13" i="7"/>
  <c r="P13" i="7"/>
  <c r="O13" i="7"/>
  <c r="AQ13" i="7" s="1"/>
  <c r="N13" i="7"/>
  <c r="M13" i="7"/>
  <c r="AR13" i="7" s="1"/>
  <c r="AI12" i="7"/>
  <c r="AH12" i="7"/>
  <c r="W12" i="7"/>
  <c r="AR11" i="7"/>
  <c r="AP11" i="7"/>
  <c r="AO11" i="7"/>
  <c r="AV11" i="7" s="1"/>
  <c r="AI11" i="7"/>
  <c r="AH11" i="7"/>
  <c r="AF11" i="7"/>
  <c r="AE11" i="7"/>
  <c r="AC11" i="7"/>
  <c r="AB11" i="7"/>
  <c r="AA11" i="7"/>
  <c r="Z11" i="7"/>
  <c r="Y11" i="7"/>
  <c r="X11" i="7"/>
  <c r="W11" i="7"/>
  <c r="P11" i="7"/>
  <c r="O11" i="7"/>
  <c r="AD11" i="7" s="1"/>
  <c r="N11" i="7"/>
  <c r="M11" i="7"/>
  <c r="AI10" i="7"/>
  <c r="AH10" i="7"/>
  <c r="W10" i="7"/>
  <c r="AT9" i="7"/>
  <c r="AP9" i="7"/>
  <c r="AJ9" i="7"/>
  <c r="AI9" i="7"/>
  <c r="AH9" i="7"/>
  <c r="AF9" i="7"/>
  <c r="AE9" i="7"/>
  <c r="AA9" i="7"/>
  <c r="Z9" i="7"/>
  <c r="Y9" i="7"/>
  <c r="X9" i="7"/>
  <c r="W9" i="7"/>
  <c r="P9" i="7"/>
  <c r="O9" i="7"/>
  <c r="AQ9" i="7" s="1"/>
  <c r="N9" i="7"/>
  <c r="M9" i="7"/>
  <c r="AR9" i="7" s="1"/>
  <c r="AI8" i="7"/>
  <c r="AH8" i="7"/>
  <c r="W8" i="7"/>
  <c r="AU7" i="7"/>
  <c r="AT7" i="7"/>
  <c r="AJ7" i="7"/>
  <c r="AI7" i="7"/>
  <c r="AH7" i="7"/>
  <c r="AF7" i="7"/>
  <c r="AE7" i="7"/>
  <c r="AD7" i="7"/>
  <c r="AC7" i="7"/>
  <c r="AA7" i="7"/>
  <c r="Z7" i="7"/>
  <c r="Y7" i="7"/>
  <c r="X7" i="7"/>
  <c r="W7" i="7"/>
  <c r="P7" i="7"/>
  <c r="O7" i="7"/>
  <c r="AQ7" i="7" s="1"/>
  <c r="N7" i="7"/>
  <c r="M7" i="7"/>
  <c r="AR7" i="7" s="1"/>
  <c r="AV6" i="7"/>
  <c r="AU6" i="7"/>
  <c r="AP6" i="7"/>
  <c r="AO6" i="7"/>
  <c r="AI6" i="7"/>
  <c r="AH6" i="7"/>
  <c r="AF6" i="7"/>
  <c r="AE6" i="7"/>
  <c r="AD6" i="7"/>
  <c r="AA6" i="7"/>
  <c r="Z6" i="7"/>
  <c r="Y6" i="7"/>
  <c r="X6" i="7"/>
  <c r="W6" i="7"/>
  <c r="P6" i="7"/>
  <c r="O6" i="7"/>
  <c r="AQ6" i="7" s="1"/>
  <c r="N6" i="7"/>
  <c r="AC6" i="7" s="1"/>
  <c r="M6" i="7"/>
  <c r="AI5" i="7"/>
  <c r="AH5" i="7"/>
  <c r="W5" i="7"/>
  <c r="AI4" i="7"/>
  <c r="AU3" i="7"/>
  <c r="AR3" i="7"/>
  <c r="AQ3" i="7"/>
  <c r="AI3" i="7"/>
  <c r="AH3" i="7"/>
  <c r="AN2" i="7"/>
  <c r="AN21" i="7" s="1"/>
  <c r="AM2" i="7"/>
  <c r="AL2" i="7"/>
  <c r="AK2" i="7"/>
  <c r="AJ2" i="7"/>
  <c r="AJ31" i="7" s="1"/>
  <c r="AA2" i="7"/>
  <c r="A2" i="7"/>
  <c r="AU1" i="7"/>
  <c r="AU15" i="7" s="1"/>
  <c r="AR1" i="7"/>
  <c r="AR26" i="7" s="1"/>
  <c r="AQ1" i="7"/>
  <c r="AP1" i="7"/>
  <c r="AP26" i="7" s="1"/>
  <c r="AO1" i="7"/>
  <c r="AJ1" i="7"/>
  <c r="AA1" i="7"/>
  <c r="A1" i="7"/>
  <c r="AH1" i="7" s="1"/>
  <c r="AH2" i="7" s="1"/>
  <c r="AT39" i="6"/>
  <c r="AP39" i="6"/>
  <c r="AO39" i="6"/>
  <c r="AV39" i="6" s="1"/>
  <c r="AI39" i="6"/>
  <c r="AH39" i="6"/>
  <c r="AF39" i="6"/>
  <c r="AE39" i="6"/>
  <c r="AD39" i="6"/>
  <c r="AC39" i="6"/>
  <c r="AA39" i="6"/>
  <c r="Z39" i="6"/>
  <c r="Y39" i="6"/>
  <c r="X39" i="6"/>
  <c r="W39" i="6"/>
  <c r="P39" i="6"/>
  <c r="O39" i="6"/>
  <c r="AQ39" i="6" s="1"/>
  <c r="N39" i="6"/>
  <c r="M39" i="6"/>
  <c r="AV38" i="6"/>
  <c r="AP38" i="6"/>
  <c r="AO38" i="6"/>
  <c r="AI38" i="6"/>
  <c r="AH38" i="6"/>
  <c r="AF38" i="6"/>
  <c r="AE38" i="6"/>
  <c r="AD38" i="6"/>
  <c r="AA38" i="6"/>
  <c r="Z38" i="6"/>
  <c r="Y38" i="6"/>
  <c r="X38" i="6"/>
  <c r="W38" i="6"/>
  <c r="P38" i="6"/>
  <c r="O38" i="6"/>
  <c r="AQ38" i="6" s="1"/>
  <c r="N38" i="6"/>
  <c r="AC38" i="6" s="1"/>
  <c r="M38" i="6"/>
  <c r="AT37" i="6"/>
  <c r="AP37" i="6"/>
  <c r="AJ37" i="6"/>
  <c r="AI37" i="6"/>
  <c r="AH37" i="6"/>
  <c r="AF37" i="6"/>
  <c r="AE37" i="6"/>
  <c r="AA37" i="6"/>
  <c r="Z37" i="6"/>
  <c r="Y37" i="6"/>
  <c r="X37" i="6"/>
  <c r="W37" i="6"/>
  <c r="P37" i="6"/>
  <c r="O37" i="6"/>
  <c r="AQ37" i="6" s="1"/>
  <c r="N37" i="6"/>
  <c r="M37" i="6"/>
  <c r="AP36" i="6"/>
  <c r="AI36" i="6"/>
  <c r="AT36" i="6" s="1"/>
  <c r="AH36" i="6"/>
  <c r="AF36" i="6"/>
  <c r="AE36" i="6"/>
  <c r="AB36" i="6"/>
  <c r="AA36" i="6"/>
  <c r="Z36" i="6"/>
  <c r="Y36" i="6"/>
  <c r="X36" i="6"/>
  <c r="W36" i="6"/>
  <c r="P36" i="6"/>
  <c r="O36" i="6"/>
  <c r="AD36" i="6" s="1"/>
  <c r="N36" i="6"/>
  <c r="AC36" i="6" s="1"/>
  <c r="M36" i="6"/>
  <c r="AI35" i="6"/>
  <c r="AH35" i="6"/>
  <c r="W35" i="6"/>
  <c r="AV34" i="6"/>
  <c r="AP34" i="6"/>
  <c r="AO34" i="6"/>
  <c r="AI34" i="6"/>
  <c r="AH34" i="6"/>
  <c r="AF34" i="6"/>
  <c r="AE34" i="6"/>
  <c r="AD34" i="6"/>
  <c r="AA34" i="6"/>
  <c r="Z34" i="6"/>
  <c r="Y34" i="6"/>
  <c r="X34" i="6"/>
  <c r="W34" i="6"/>
  <c r="P34" i="6"/>
  <c r="O34" i="6"/>
  <c r="AQ34" i="6" s="1"/>
  <c r="N34" i="6"/>
  <c r="AC34" i="6" s="1"/>
  <c r="M34" i="6"/>
  <c r="AT33" i="6"/>
  <c r="AP33" i="6"/>
  <c r="AJ33" i="6"/>
  <c r="AI33" i="6"/>
  <c r="AH33" i="6"/>
  <c r="AF33" i="6"/>
  <c r="AE33" i="6"/>
  <c r="AA33" i="6"/>
  <c r="Z33" i="6"/>
  <c r="Y33" i="6"/>
  <c r="X33" i="6"/>
  <c r="W33" i="6"/>
  <c r="P33" i="6"/>
  <c r="O33" i="6"/>
  <c r="AQ33" i="6" s="1"/>
  <c r="N33" i="6"/>
  <c r="AO33" i="6" s="1"/>
  <c r="AV33" i="6" s="1"/>
  <c r="M33" i="6"/>
  <c r="AI32" i="6"/>
  <c r="AH32" i="6"/>
  <c r="W32" i="6"/>
  <c r="AT31" i="6"/>
  <c r="AP31" i="6"/>
  <c r="AO31" i="6"/>
  <c r="AV31" i="6" s="1"/>
  <c r="AI31" i="6"/>
  <c r="AH31" i="6"/>
  <c r="AF31" i="6"/>
  <c r="AE31" i="6"/>
  <c r="AD31" i="6"/>
  <c r="AC31" i="6"/>
  <c r="AA31" i="6"/>
  <c r="Z31" i="6"/>
  <c r="Y31" i="6"/>
  <c r="X31" i="6"/>
  <c r="W31" i="6"/>
  <c r="P31" i="6"/>
  <c r="O31" i="6"/>
  <c r="AQ31" i="6" s="1"/>
  <c r="N31" i="6"/>
  <c r="M31" i="6"/>
  <c r="AV30" i="6"/>
  <c r="AP30" i="6"/>
  <c r="AO30" i="6"/>
  <c r="AI30" i="6"/>
  <c r="AH30" i="6"/>
  <c r="AF30" i="6"/>
  <c r="AE30" i="6"/>
  <c r="AD30" i="6"/>
  <c r="AA30" i="6"/>
  <c r="Z30" i="6"/>
  <c r="Y30" i="6"/>
  <c r="X30" i="6"/>
  <c r="W30" i="6"/>
  <c r="P30" i="6"/>
  <c r="O30" i="6"/>
  <c r="AQ30" i="6" s="1"/>
  <c r="N30" i="6"/>
  <c r="AC30" i="6" s="1"/>
  <c r="M30" i="6"/>
  <c r="AB30" i="6" s="1"/>
  <c r="AI29" i="6"/>
  <c r="AH29" i="6"/>
  <c r="W29" i="6"/>
  <c r="AT28" i="6"/>
  <c r="AP28" i="6"/>
  <c r="AJ28" i="6"/>
  <c r="AI28" i="6"/>
  <c r="AH28" i="6"/>
  <c r="AF28" i="6"/>
  <c r="AE28" i="6"/>
  <c r="AD28" i="6"/>
  <c r="AC28" i="6"/>
  <c r="AB28" i="6"/>
  <c r="AA28" i="6"/>
  <c r="Z28" i="6"/>
  <c r="Y28" i="6"/>
  <c r="X28" i="6"/>
  <c r="W28" i="6"/>
  <c r="P28" i="6"/>
  <c r="O28" i="6"/>
  <c r="AQ28" i="6" s="1"/>
  <c r="N28" i="6"/>
  <c r="AO28" i="6" s="1"/>
  <c r="AV28" i="6" s="1"/>
  <c r="M28" i="6"/>
  <c r="AT27" i="6"/>
  <c r="AQ27" i="6"/>
  <c r="AP27" i="6"/>
  <c r="AO27" i="6"/>
  <c r="AV27" i="6" s="1"/>
  <c r="AI27" i="6"/>
  <c r="AH27" i="6"/>
  <c r="AF27" i="6"/>
  <c r="AE27" i="6"/>
  <c r="AD27" i="6"/>
  <c r="AC27" i="6"/>
  <c r="AA27" i="6"/>
  <c r="Z27" i="6"/>
  <c r="Y27" i="6"/>
  <c r="X27" i="6"/>
  <c r="W27" i="6"/>
  <c r="P27" i="6"/>
  <c r="O27" i="6"/>
  <c r="N27" i="6"/>
  <c r="M27" i="6"/>
  <c r="AP26" i="6"/>
  <c r="AO26" i="6"/>
  <c r="AV26" i="6" s="1"/>
  <c r="AI26" i="6"/>
  <c r="AH26" i="6"/>
  <c r="AF26" i="6"/>
  <c r="AE26" i="6"/>
  <c r="AD26" i="6"/>
  <c r="AB26" i="6"/>
  <c r="AA26" i="6"/>
  <c r="Z26" i="6"/>
  <c r="Y26" i="6"/>
  <c r="X26" i="6"/>
  <c r="W26" i="6"/>
  <c r="P26" i="6"/>
  <c r="O26" i="6"/>
  <c r="AQ26" i="6" s="1"/>
  <c r="N26" i="6"/>
  <c r="AC26" i="6" s="1"/>
  <c r="M26" i="6"/>
  <c r="AT25" i="6"/>
  <c r="AP25" i="6"/>
  <c r="AJ25" i="6"/>
  <c r="AI25" i="6"/>
  <c r="AH25" i="6"/>
  <c r="AF25" i="6"/>
  <c r="AE25" i="6"/>
  <c r="AA25" i="6"/>
  <c r="Z25" i="6"/>
  <c r="Y25" i="6"/>
  <c r="X25" i="6"/>
  <c r="W25" i="6"/>
  <c r="P25" i="6"/>
  <c r="O25" i="6"/>
  <c r="AQ25" i="6" s="1"/>
  <c r="N25" i="6"/>
  <c r="AO25" i="6" s="1"/>
  <c r="AV25" i="6" s="1"/>
  <c r="M25" i="6"/>
  <c r="AP24" i="6"/>
  <c r="AI24" i="6"/>
  <c r="AT24" i="6" s="1"/>
  <c r="AH24" i="6"/>
  <c r="AF24" i="6"/>
  <c r="AE24" i="6"/>
  <c r="AB24" i="6"/>
  <c r="AA24" i="6"/>
  <c r="Z24" i="6"/>
  <c r="Y24" i="6"/>
  <c r="X24" i="6"/>
  <c r="W24" i="6"/>
  <c r="P24" i="6"/>
  <c r="O24" i="6"/>
  <c r="AQ24" i="6" s="1"/>
  <c r="N24" i="6"/>
  <c r="AC24" i="6" s="1"/>
  <c r="M24" i="6"/>
  <c r="AP23" i="6"/>
  <c r="AO23" i="6"/>
  <c r="AV23" i="6" s="1"/>
  <c r="AI23" i="6"/>
  <c r="AH23" i="6"/>
  <c r="AF23" i="6"/>
  <c r="AE23" i="6"/>
  <c r="AC23" i="6"/>
  <c r="AB23" i="6"/>
  <c r="AA23" i="6"/>
  <c r="Z23" i="6"/>
  <c r="Y23" i="6"/>
  <c r="X23" i="6"/>
  <c r="W23" i="6"/>
  <c r="P23" i="6"/>
  <c r="O23" i="6"/>
  <c r="AD23" i="6" s="1"/>
  <c r="N23" i="6"/>
  <c r="M23" i="6"/>
  <c r="AR23" i="6" s="1"/>
  <c r="AT22" i="6"/>
  <c r="AP22" i="6"/>
  <c r="AJ22" i="6"/>
  <c r="AI22" i="6"/>
  <c r="AH22" i="6"/>
  <c r="AF22" i="6"/>
  <c r="AE22" i="6"/>
  <c r="AD22" i="6"/>
  <c r="AC22" i="6"/>
  <c r="AB22" i="6"/>
  <c r="AA22" i="6"/>
  <c r="Z22" i="6"/>
  <c r="Y22" i="6"/>
  <c r="X22" i="6"/>
  <c r="W22" i="6"/>
  <c r="P22" i="6"/>
  <c r="O22" i="6"/>
  <c r="AQ22" i="6" s="1"/>
  <c r="N22" i="6"/>
  <c r="AO22" i="6" s="1"/>
  <c r="AV22" i="6" s="1"/>
  <c r="M22" i="6"/>
  <c r="AT21" i="6"/>
  <c r="AP21" i="6"/>
  <c r="AO21" i="6"/>
  <c r="AV21" i="6" s="1"/>
  <c r="AJ21" i="6"/>
  <c r="AI21" i="6"/>
  <c r="AH21" i="6"/>
  <c r="AF21" i="6"/>
  <c r="AE21" i="6"/>
  <c r="AC21" i="6"/>
  <c r="AA21" i="6"/>
  <c r="Z21" i="6"/>
  <c r="Y21" i="6"/>
  <c r="X21" i="6"/>
  <c r="W21" i="6"/>
  <c r="P21" i="6"/>
  <c r="O21" i="6"/>
  <c r="AD21" i="6" s="1"/>
  <c r="N21" i="6"/>
  <c r="M21" i="6"/>
  <c r="AP20" i="6"/>
  <c r="AO20" i="6"/>
  <c r="AV20" i="6" s="1"/>
  <c r="AI20" i="6"/>
  <c r="AH20" i="6"/>
  <c r="AF20" i="6"/>
  <c r="AE20" i="6"/>
  <c r="AD20" i="6"/>
  <c r="AB20" i="6"/>
  <c r="AA20" i="6"/>
  <c r="Z20" i="6"/>
  <c r="Y20" i="6"/>
  <c r="X20" i="6"/>
  <c r="W20" i="6"/>
  <c r="P20" i="6"/>
  <c r="O20" i="6"/>
  <c r="AQ20" i="6" s="1"/>
  <c r="N20" i="6"/>
  <c r="AC20" i="6" s="1"/>
  <c r="M20" i="6"/>
  <c r="AR20" i="6" s="1"/>
  <c r="AT19" i="6"/>
  <c r="AJ19" i="6"/>
  <c r="AI19" i="6"/>
  <c r="AH19" i="6"/>
  <c r="AF19" i="6"/>
  <c r="AE19" i="6"/>
  <c r="AA19" i="6"/>
  <c r="Z19" i="6"/>
  <c r="Y19" i="6"/>
  <c r="X19" i="6"/>
  <c r="W19" i="6"/>
  <c r="P19" i="6"/>
  <c r="O19" i="6"/>
  <c r="AQ19" i="6" s="1"/>
  <c r="N19" i="6"/>
  <c r="M19" i="6"/>
  <c r="AI18" i="6"/>
  <c r="AH18" i="6"/>
  <c r="W18" i="6"/>
  <c r="AU17" i="6"/>
  <c r="AT17" i="6"/>
  <c r="AJ17" i="6"/>
  <c r="AI17" i="6"/>
  <c r="AH17" i="6"/>
  <c r="AF17" i="6"/>
  <c r="AE17" i="6"/>
  <c r="AD17" i="6"/>
  <c r="AC17" i="6"/>
  <c r="AA17" i="6"/>
  <c r="Z17" i="6"/>
  <c r="Y17" i="6"/>
  <c r="X17" i="6"/>
  <c r="W17" i="6"/>
  <c r="P17" i="6"/>
  <c r="O17" i="6"/>
  <c r="AQ17" i="6" s="1"/>
  <c r="N17" i="6"/>
  <c r="M17" i="6"/>
  <c r="AU16" i="6"/>
  <c r="AI16" i="6"/>
  <c r="AH16" i="6"/>
  <c r="AF16" i="6"/>
  <c r="AE16" i="6"/>
  <c r="AD16" i="6"/>
  <c r="AB16" i="6"/>
  <c r="AA16" i="6"/>
  <c r="Z16" i="6"/>
  <c r="Y16" i="6"/>
  <c r="X16" i="6"/>
  <c r="W16" i="6"/>
  <c r="P16" i="6"/>
  <c r="O16" i="6"/>
  <c r="AQ16" i="6" s="1"/>
  <c r="N16" i="6"/>
  <c r="AC16" i="6" s="1"/>
  <c r="M16" i="6"/>
  <c r="AR16" i="6" s="1"/>
  <c r="AT15" i="6"/>
  <c r="AQ15" i="6"/>
  <c r="AP15" i="6"/>
  <c r="AJ15" i="6"/>
  <c r="AI15" i="6"/>
  <c r="AH15" i="6"/>
  <c r="AF15" i="6"/>
  <c r="AE15" i="6"/>
  <c r="AA15" i="6"/>
  <c r="Z15" i="6"/>
  <c r="Y15" i="6"/>
  <c r="X15" i="6"/>
  <c r="W15" i="6"/>
  <c r="P15" i="6"/>
  <c r="O15" i="6"/>
  <c r="AD15" i="6" s="1"/>
  <c r="N15" i="6"/>
  <c r="AO15" i="6" s="1"/>
  <c r="M15" i="6"/>
  <c r="AI14" i="6"/>
  <c r="AH14" i="6"/>
  <c r="W14" i="6"/>
  <c r="AU13" i="6"/>
  <c r="AT13" i="6"/>
  <c r="AQ13" i="6"/>
  <c r="AP13" i="6"/>
  <c r="AJ13" i="6"/>
  <c r="AI13" i="6"/>
  <c r="AH13" i="6"/>
  <c r="AF13" i="6"/>
  <c r="AE13" i="6"/>
  <c r="AD13" i="6"/>
  <c r="AA13" i="6"/>
  <c r="Z13" i="6"/>
  <c r="Y13" i="6"/>
  <c r="X13" i="6"/>
  <c r="W13" i="6"/>
  <c r="P13" i="6"/>
  <c r="O13" i="6"/>
  <c r="N13" i="6"/>
  <c r="AC13" i="6" s="1"/>
  <c r="M13" i="6"/>
  <c r="AU12" i="6"/>
  <c r="AP12" i="6"/>
  <c r="AI12" i="6"/>
  <c r="AN12" i="6" s="1"/>
  <c r="AH12" i="6"/>
  <c r="AF12" i="6"/>
  <c r="AE12" i="6"/>
  <c r="AD12" i="6"/>
  <c r="AA12" i="6"/>
  <c r="Z12" i="6"/>
  <c r="Y12" i="6"/>
  <c r="X12" i="6"/>
  <c r="W12" i="6"/>
  <c r="P12" i="6"/>
  <c r="O12" i="6"/>
  <c r="AQ12" i="6" s="1"/>
  <c r="N12" i="6"/>
  <c r="AC12" i="6" s="1"/>
  <c r="M12" i="6"/>
  <c r="AB12" i="6" s="1"/>
  <c r="AP11" i="6"/>
  <c r="AJ11" i="6"/>
  <c r="AI11" i="6"/>
  <c r="AH11" i="6"/>
  <c r="AF11" i="6"/>
  <c r="AE11" i="6"/>
  <c r="AC11" i="6"/>
  <c r="AB11" i="6"/>
  <c r="AA11" i="6"/>
  <c r="Z11" i="6"/>
  <c r="Y11" i="6"/>
  <c r="X11" i="6"/>
  <c r="W11" i="6"/>
  <c r="P11" i="6"/>
  <c r="O11" i="6"/>
  <c r="AD11" i="6" s="1"/>
  <c r="N11" i="6"/>
  <c r="M11" i="6"/>
  <c r="AR11" i="6" s="1"/>
  <c r="AI10" i="6"/>
  <c r="AH10" i="6"/>
  <c r="W10" i="6"/>
  <c r="AT9" i="6"/>
  <c r="AP9" i="6"/>
  <c r="AO9" i="6"/>
  <c r="AV9" i="6" s="1"/>
  <c r="AJ9" i="6"/>
  <c r="AI9" i="6"/>
  <c r="AH9" i="6"/>
  <c r="AF9" i="6"/>
  <c r="AE9" i="6"/>
  <c r="AD9" i="6"/>
  <c r="AA9" i="6"/>
  <c r="Z9" i="6"/>
  <c r="Y9" i="6"/>
  <c r="X9" i="6"/>
  <c r="W9" i="6"/>
  <c r="P9" i="6"/>
  <c r="O9" i="6"/>
  <c r="AQ9" i="6" s="1"/>
  <c r="N9" i="6"/>
  <c r="AC9" i="6" s="1"/>
  <c r="M9" i="6"/>
  <c r="AI8" i="6"/>
  <c r="AH8" i="6"/>
  <c r="W8" i="6"/>
  <c r="AU7" i="6"/>
  <c r="AP7" i="6"/>
  <c r="AO7" i="6"/>
  <c r="AV7" i="6" s="1"/>
  <c r="AI7" i="6"/>
  <c r="AN7" i="6" s="1"/>
  <c r="AH7" i="6"/>
  <c r="AF7" i="6"/>
  <c r="AE7" i="6"/>
  <c r="AC7" i="6"/>
  <c r="AB7" i="6"/>
  <c r="AA7" i="6"/>
  <c r="Z7" i="6"/>
  <c r="Y7" i="6"/>
  <c r="X7" i="6"/>
  <c r="W7" i="6"/>
  <c r="P7" i="6"/>
  <c r="O7" i="6"/>
  <c r="AD7" i="6" s="1"/>
  <c r="N7" i="6"/>
  <c r="M7" i="6"/>
  <c r="AP6" i="6"/>
  <c r="AO6" i="6"/>
  <c r="AV6" i="6" s="1"/>
  <c r="AI6" i="6"/>
  <c r="AN6" i="6" s="1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M6" i="6"/>
  <c r="AR6" i="6" s="1"/>
  <c r="AI5" i="6"/>
  <c r="AH5" i="6"/>
  <c r="W5" i="6"/>
  <c r="AI4" i="6"/>
  <c r="AQ3" i="6"/>
  <c r="AP3" i="6"/>
  <c r="AO3" i="6"/>
  <c r="AI3" i="6"/>
  <c r="AH3" i="6"/>
  <c r="AN2" i="6"/>
  <c r="AN36" i="6" s="1"/>
  <c r="AM2" i="6"/>
  <c r="AL2" i="6"/>
  <c r="AK2" i="6"/>
  <c r="AJ2" i="6"/>
  <c r="AJ39" i="6" s="1"/>
  <c r="AA2" i="6"/>
  <c r="A2" i="6"/>
  <c r="AU1" i="6"/>
  <c r="AU39" i="6" s="1"/>
  <c r="AR1" i="6"/>
  <c r="AR30" i="6" s="1"/>
  <c r="AQ1" i="6"/>
  <c r="AP1" i="6"/>
  <c r="AO1" i="6"/>
  <c r="AO17" i="6" s="1"/>
  <c r="AJ1" i="6"/>
  <c r="AH1" i="6"/>
  <c r="AH2" i="6" s="1"/>
  <c r="AA1" i="6"/>
  <c r="A1" i="6"/>
  <c r="B56" i="3"/>
  <c r="B69" i="3" s="1"/>
  <c r="A48" i="3"/>
  <c r="A61" i="3" s="1"/>
  <c r="A43" i="3"/>
  <c r="A56" i="3" s="1"/>
  <c r="A69" i="3" s="1"/>
  <c r="A42" i="3"/>
  <c r="A55" i="3" s="1"/>
  <c r="A68" i="3" s="1"/>
  <c r="A41" i="3"/>
  <c r="A54" i="3" s="1"/>
  <c r="A67" i="3" s="1"/>
  <c r="A40" i="3"/>
  <c r="A53" i="3" s="1"/>
  <c r="A66" i="3" s="1"/>
  <c r="A39" i="3"/>
  <c r="A52" i="3" s="1"/>
  <c r="A65" i="3" s="1"/>
  <c r="A38" i="3"/>
  <c r="A51" i="3" s="1"/>
  <c r="A64" i="3" s="1"/>
  <c r="A37" i="3"/>
  <c r="A50" i="3" s="1"/>
  <c r="A63" i="3" s="1"/>
  <c r="A36" i="3"/>
  <c r="A49" i="3" s="1"/>
  <c r="A62" i="3" s="1"/>
  <c r="A35" i="3"/>
  <c r="A34" i="3"/>
  <c r="A47" i="3" s="1"/>
  <c r="A60" i="3" s="1"/>
  <c r="C30" i="3"/>
  <c r="C43" i="3" s="1"/>
  <c r="C56" i="3" s="1"/>
  <c r="C69" i="3" s="1"/>
  <c r="B30" i="3"/>
  <c r="B43" i="3" s="1"/>
  <c r="A30" i="3"/>
  <c r="C29" i="3"/>
  <c r="C42" i="3" s="1"/>
  <c r="C55" i="3" s="1"/>
  <c r="C68" i="3" s="1"/>
  <c r="B29" i="3"/>
  <c r="B42" i="3" s="1"/>
  <c r="B55" i="3" s="1"/>
  <c r="B68" i="3" s="1"/>
  <c r="A29" i="3"/>
  <c r="C28" i="3"/>
  <c r="C41" i="3" s="1"/>
  <c r="C54" i="3" s="1"/>
  <c r="C67" i="3" s="1"/>
  <c r="B28" i="3"/>
  <c r="B41" i="3" s="1"/>
  <c r="B54" i="3" s="1"/>
  <c r="B67" i="3" s="1"/>
  <c r="A28" i="3"/>
  <c r="C27" i="3"/>
  <c r="C40" i="3" s="1"/>
  <c r="C53" i="3" s="1"/>
  <c r="C66" i="3" s="1"/>
  <c r="B27" i="3"/>
  <c r="B40" i="3" s="1"/>
  <c r="B53" i="3" s="1"/>
  <c r="B66" i="3" s="1"/>
  <c r="A27" i="3"/>
  <c r="C26" i="3"/>
  <c r="C39" i="3" s="1"/>
  <c r="C52" i="3" s="1"/>
  <c r="C65" i="3" s="1"/>
  <c r="B26" i="3"/>
  <c r="B39" i="3" s="1"/>
  <c r="B52" i="3" s="1"/>
  <c r="B65" i="3" s="1"/>
  <c r="A26" i="3"/>
  <c r="C25" i="3"/>
  <c r="C38" i="3" s="1"/>
  <c r="C51" i="3" s="1"/>
  <c r="C64" i="3" s="1"/>
  <c r="B25" i="3"/>
  <c r="B38" i="3" s="1"/>
  <c r="B51" i="3" s="1"/>
  <c r="B64" i="3" s="1"/>
  <c r="A25" i="3"/>
  <c r="C24" i="3"/>
  <c r="C37" i="3" s="1"/>
  <c r="C50" i="3" s="1"/>
  <c r="C63" i="3" s="1"/>
  <c r="B24" i="3"/>
  <c r="B37" i="3" s="1"/>
  <c r="B50" i="3" s="1"/>
  <c r="B63" i="3" s="1"/>
  <c r="A24" i="3"/>
  <c r="C23" i="3"/>
  <c r="C36" i="3" s="1"/>
  <c r="C49" i="3" s="1"/>
  <c r="C62" i="3" s="1"/>
  <c r="B23" i="3"/>
  <c r="B36" i="3" s="1"/>
  <c r="B49" i="3" s="1"/>
  <c r="B62" i="3" s="1"/>
  <c r="A23" i="3"/>
  <c r="C22" i="3"/>
  <c r="C35" i="3" s="1"/>
  <c r="C48" i="3" s="1"/>
  <c r="C61" i="3" s="1"/>
  <c r="B22" i="3"/>
  <c r="B35" i="3" s="1"/>
  <c r="B48" i="3" s="1"/>
  <c r="B61" i="3" s="1"/>
  <c r="A22" i="3"/>
  <c r="C21" i="3"/>
  <c r="C34" i="3" s="1"/>
  <c r="C47" i="3" s="1"/>
  <c r="C60" i="3" s="1"/>
  <c r="B21" i="3"/>
  <c r="B34" i="3" s="1"/>
  <c r="B47" i="3" s="1"/>
  <c r="B60" i="3" s="1"/>
  <c r="A21" i="3"/>
  <c r="W20" i="3"/>
  <c r="W33" i="3" s="1"/>
  <c r="W46" i="3" s="1"/>
  <c r="W59" i="3" s="1"/>
  <c r="T20" i="3"/>
  <c r="T33" i="3" s="1"/>
  <c r="T46" i="3" s="1"/>
  <c r="T59" i="3" s="1"/>
  <c r="Q20" i="3"/>
  <c r="Q33" i="3" s="1"/>
  <c r="Q46" i="3" s="1"/>
  <c r="Q59" i="3" s="1"/>
  <c r="N20" i="3"/>
  <c r="N33" i="3" s="1"/>
  <c r="N46" i="3" s="1"/>
  <c r="N59" i="3" s="1"/>
  <c r="K20" i="3"/>
  <c r="K33" i="3" s="1"/>
  <c r="K46" i="3" s="1"/>
  <c r="K59" i="3" s="1"/>
  <c r="H20" i="3"/>
  <c r="H33" i="3" s="1"/>
  <c r="H46" i="3" s="1"/>
  <c r="H59" i="3" s="1"/>
  <c r="E20" i="3"/>
  <c r="E33" i="3" s="1"/>
  <c r="E46" i="3" s="1"/>
  <c r="E59" i="3" s="1"/>
  <c r="W7" i="3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D7" i="3"/>
  <c r="D20" i="3" s="1"/>
  <c r="D33" i="3" s="1"/>
  <c r="D46" i="3" s="1"/>
  <c r="D59" i="3" s="1"/>
  <c r="A2" i="2"/>
  <c r="A1" i="2"/>
  <c r="AV8" i="1" l="1"/>
  <c r="AQ5" i="1"/>
  <c r="AT10" i="1"/>
  <c r="AJ10" i="1"/>
  <c r="AC4" i="1"/>
  <c r="AJ4" i="1"/>
  <c r="AT4" i="1"/>
  <c r="AB5" i="1"/>
  <c r="AQ6" i="1"/>
  <c r="AN10" i="1"/>
  <c r="AN12" i="1"/>
  <c r="AT12" i="1"/>
  <c r="AV12" i="1" s="1"/>
  <c r="AJ12" i="1"/>
  <c r="AN15" i="1"/>
  <c r="AT15" i="1"/>
  <c r="AJ15" i="1"/>
  <c r="AO17" i="1"/>
  <c r="AV17" i="1" s="1"/>
  <c r="AC17" i="1"/>
  <c r="AR18" i="1"/>
  <c r="AB18" i="1"/>
  <c r="AD4" i="1"/>
  <c r="AJ5" i="1"/>
  <c r="AT5" i="1"/>
  <c r="AB6" i="1"/>
  <c r="AD10" i="1"/>
  <c r="AV32" i="1"/>
  <c r="AC6" i="1"/>
  <c r="AB7" i="1"/>
  <c r="AC11" i="1"/>
  <c r="AB12" i="1"/>
  <c r="AB8" i="1"/>
  <c r="AV10" i="1"/>
  <c r="AJ8" i="1"/>
  <c r="AQ22" i="1"/>
  <c r="AQ28" i="1"/>
  <c r="AQ34" i="1"/>
  <c r="AQ40" i="1"/>
  <c r="AC44" i="1"/>
  <c r="AB45" i="1"/>
  <c r="AQ46" i="1"/>
  <c r="AD49" i="1"/>
  <c r="AC50" i="1"/>
  <c r="AB51" i="1"/>
  <c r="AO54" i="1"/>
  <c r="AV54" i="1" s="1"/>
  <c r="AD55" i="1"/>
  <c r="AC56" i="1"/>
  <c r="AC57" i="1"/>
  <c r="AC59" i="1"/>
  <c r="AC60" i="1"/>
  <c r="AO60" i="1"/>
  <c r="AV60" i="1" s="1"/>
  <c r="AT60" i="1"/>
  <c r="AJ60" i="1"/>
  <c r="AN60" i="1"/>
  <c r="AR62" i="1"/>
  <c r="AB62" i="1"/>
  <c r="AQ11" i="1"/>
  <c r="AO13" i="1"/>
  <c r="AV13" i="1" s="1"/>
  <c r="AD14" i="1"/>
  <c r="AQ17" i="1"/>
  <c r="AJ21" i="1"/>
  <c r="AT21" i="1"/>
  <c r="AQ23" i="1"/>
  <c r="AJ27" i="1"/>
  <c r="AT27" i="1"/>
  <c r="AQ29" i="1"/>
  <c r="AJ33" i="1"/>
  <c r="AT33" i="1"/>
  <c r="AQ35" i="1"/>
  <c r="AJ39" i="1"/>
  <c r="AT39" i="1"/>
  <c r="AQ41" i="1"/>
  <c r="AJ45" i="1"/>
  <c r="AT45" i="1"/>
  <c r="AV45" i="1" s="1"/>
  <c r="AQ47" i="1"/>
  <c r="AJ51" i="1"/>
  <c r="AT51" i="1"/>
  <c r="AV51" i="1" s="1"/>
  <c r="AQ53" i="1"/>
  <c r="AO61" i="1"/>
  <c r="AQ12" i="1"/>
  <c r="AD15" i="1"/>
  <c r="AC16" i="1"/>
  <c r="AJ16" i="1"/>
  <c r="AQ18" i="1"/>
  <c r="AD21" i="1"/>
  <c r="AC22" i="1"/>
  <c r="AJ22" i="1"/>
  <c r="AB23" i="1"/>
  <c r="AQ24" i="1"/>
  <c r="AD27" i="1"/>
  <c r="AC28" i="1"/>
  <c r="AJ28" i="1"/>
  <c r="AB29" i="1"/>
  <c r="AQ30" i="1"/>
  <c r="AD33" i="1"/>
  <c r="AC34" i="1"/>
  <c r="AJ34" i="1"/>
  <c r="AQ36" i="1"/>
  <c r="AD39" i="1"/>
  <c r="AC40" i="1"/>
  <c r="AJ40" i="1"/>
  <c r="AQ42" i="1"/>
  <c r="AD45" i="1"/>
  <c r="AC46" i="1"/>
  <c r="AJ46" i="1"/>
  <c r="AB47" i="1"/>
  <c r="AQ48" i="1"/>
  <c r="AD51" i="1"/>
  <c r="AC52" i="1"/>
  <c r="AJ52" i="1"/>
  <c r="AQ54" i="1"/>
  <c r="AQ60" i="1"/>
  <c r="AV67" i="1"/>
  <c r="AV74" i="1"/>
  <c r="AC23" i="1"/>
  <c r="AB24" i="1"/>
  <c r="AC29" i="1"/>
  <c r="AB30" i="1"/>
  <c r="AC35" i="1"/>
  <c r="AB36" i="1"/>
  <c r="AC41" i="1"/>
  <c r="AB42" i="1"/>
  <c r="AC47" i="1"/>
  <c r="AB48" i="1"/>
  <c r="AR63" i="1"/>
  <c r="AB63" i="1"/>
  <c r="AT66" i="1"/>
  <c r="AJ66" i="1"/>
  <c r="AN66" i="1"/>
  <c r="AJ18" i="1"/>
  <c r="AT18" i="1"/>
  <c r="AB19" i="1"/>
  <c r="AJ24" i="1"/>
  <c r="AT24" i="1"/>
  <c r="AB25" i="1"/>
  <c r="AJ30" i="1"/>
  <c r="AT30" i="1"/>
  <c r="AB31" i="1"/>
  <c r="AJ36" i="1"/>
  <c r="AT36" i="1"/>
  <c r="AB37" i="1"/>
  <c r="AJ42" i="1"/>
  <c r="AT42" i="1"/>
  <c r="AV42" i="1" s="1"/>
  <c r="AB43" i="1"/>
  <c r="AJ48" i="1"/>
  <c r="AT48" i="1"/>
  <c r="AB49" i="1"/>
  <c r="AJ54" i="1"/>
  <c r="AT54" i="1"/>
  <c r="AB55" i="1"/>
  <c r="AR57" i="1"/>
  <c r="AO62" i="1"/>
  <c r="AV62" i="1" s="1"/>
  <c r="AV73" i="1"/>
  <c r="AV86" i="1"/>
  <c r="AJ13" i="1"/>
  <c r="AB14" i="1"/>
  <c r="AJ19" i="1"/>
  <c r="AB20" i="1"/>
  <c r="AJ25" i="1"/>
  <c r="AJ31" i="1"/>
  <c r="AB32" i="1"/>
  <c r="AJ37" i="1"/>
  <c r="AB38" i="1"/>
  <c r="AJ43" i="1"/>
  <c r="AB44" i="1"/>
  <c r="AB50" i="1"/>
  <c r="AB56" i="1"/>
  <c r="AB58" i="1"/>
  <c r="AR61" i="1"/>
  <c r="AB61" i="1"/>
  <c r="AV77" i="1"/>
  <c r="AJ61" i="1"/>
  <c r="AD66" i="1"/>
  <c r="AC67" i="1"/>
  <c r="AJ67" i="1"/>
  <c r="AB68" i="1"/>
  <c r="AD72" i="1"/>
  <c r="AN72" i="1"/>
  <c r="AC73" i="1"/>
  <c r="AJ73" i="1"/>
  <c r="AB74" i="1"/>
  <c r="AD78" i="1"/>
  <c r="AN78" i="1"/>
  <c r="AC79" i="1"/>
  <c r="AJ79" i="1"/>
  <c r="AB80" i="1"/>
  <c r="AD84" i="1"/>
  <c r="AN84" i="1"/>
  <c r="AC85" i="1"/>
  <c r="AJ85" i="1"/>
  <c r="AT85" i="1"/>
  <c r="AV85" i="1" s="1"/>
  <c r="AB86" i="1"/>
  <c r="AD90" i="1"/>
  <c r="AN90" i="1"/>
  <c r="AC91" i="1"/>
  <c r="AJ91" i="1"/>
  <c r="AT91" i="1"/>
  <c r="AV91" i="1" s="1"/>
  <c r="AB92" i="1"/>
  <c r="AD96" i="1"/>
  <c r="AN96" i="1"/>
  <c r="AC97" i="1"/>
  <c r="AJ97" i="1"/>
  <c r="AT97" i="1"/>
  <c r="AV97" i="1" s="1"/>
  <c r="AB98" i="1"/>
  <c r="AR99" i="1"/>
  <c r="AB100" i="1"/>
  <c r="AJ100" i="1"/>
  <c r="AO101" i="1"/>
  <c r="AV101" i="1" s="1"/>
  <c r="AR102" i="1"/>
  <c r="AV102" i="1" s="1"/>
  <c r="AB102" i="1"/>
  <c r="AB104" i="1"/>
  <c r="AJ104" i="1"/>
  <c r="AD105" i="1"/>
  <c r="AT110" i="1"/>
  <c r="AQ112" i="1"/>
  <c r="AC117" i="1"/>
  <c r="AO117" i="1"/>
  <c r="AV117" i="1" s="1"/>
  <c r="AT117" i="1"/>
  <c r="AJ117" i="1"/>
  <c r="AN117" i="1"/>
  <c r="AO66" i="1"/>
  <c r="AV66" i="1" s="1"/>
  <c r="AD67" i="1"/>
  <c r="AC68" i="1"/>
  <c r="AB69" i="1"/>
  <c r="AO72" i="1"/>
  <c r="AV72" i="1" s="1"/>
  <c r="AD73" i="1"/>
  <c r="AC74" i="1"/>
  <c r="AB75" i="1"/>
  <c r="AO78" i="1"/>
  <c r="AV78" i="1" s="1"/>
  <c r="AD79" i="1"/>
  <c r="AC80" i="1"/>
  <c r="AB81" i="1"/>
  <c r="AO84" i="1"/>
  <c r="AV84" i="1" s="1"/>
  <c r="AD85" i="1"/>
  <c r="AB87" i="1"/>
  <c r="AO90" i="1"/>
  <c r="AV90" i="1" s="1"/>
  <c r="AD91" i="1"/>
  <c r="AB93" i="1"/>
  <c r="AO96" i="1"/>
  <c r="AV96" i="1" s="1"/>
  <c r="AD97" i="1"/>
  <c r="AC100" i="1"/>
  <c r="AQ102" i="1"/>
  <c r="AT103" i="1"/>
  <c r="AV103" i="1" s="1"/>
  <c r="AR107" i="1"/>
  <c r="AB107" i="1"/>
  <c r="AQ116" i="1"/>
  <c r="AO119" i="1"/>
  <c r="AV119" i="1" s="1"/>
  <c r="AC119" i="1"/>
  <c r="AV144" i="1"/>
  <c r="AQ65" i="1"/>
  <c r="AQ71" i="1"/>
  <c r="AQ77" i="1"/>
  <c r="AQ83" i="1"/>
  <c r="AQ89" i="1"/>
  <c r="AQ95" i="1"/>
  <c r="AR108" i="1"/>
  <c r="AV108" i="1" s="1"/>
  <c r="AB108" i="1"/>
  <c r="AT109" i="1"/>
  <c r="AV109" i="1" s="1"/>
  <c r="AV110" i="1"/>
  <c r="AR112" i="1"/>
  <c r="AB112" i="1"/>
  <c r="AC105" i="1"/>
  <c r="AO105" i="1"/>
  <c r="AC111" i="1"/>
  <c r="AO111" i="1"/>
  <c r="AV111" i="1" s="1"/>
  <c r="AT111" i="1"/>
  <c r="AJ111" i="1"/>
  <c r="AN111" i="1"/>
  <c r="AT123" i="1"/>
  <c r="AJ123" i="1"/>
  <c r="AN123" i="1"/>
  <c r="AQ124" i="1"/>
  <c r="AD124" i="1"/>
  <c r="AJ77" i="1"/>
  <c r="AT77" i="1"/>
  <c r="AJ83" i="1"/>
  <c r="AT83" i="1"/>
  <c r="AJ89" i="1"/>
  <c r="AT89" i="1"/>
  <c r="AV89" i="1" s="1"/>
  <c r="AJ95" i="1"/>
  <c r="AT95" i="1"/>
  <c r="AV95" i="1" s="1"/>
  <c r="AT101" i="1"/>
  <c r="AJ101" i="1"/>
  <c r="AT105" i="1"/>
  <c r="AJ105" i="1"/>
  <c r="AR106" i="1"/>
  <c r="AV106" i="1" s="1"/>
  <c r="AB106" i="1"/>
  <c r="AO107" i="1"/>
  <c r="AV107" i="1" s="1"/>
  <c r="AJ109" i="1"/>
  <c r="AO112" i="1"/>
  <c r="AV112" i="1" s="1"/>
  <c r="AR113" i="1"/>
  <c r="AB113" i="1"/>
  <c r="AR118" i="1"/>
  <c r="AB118" i="1"/>
  <c r="AV147" i="1"/>
  <c r="AB67" i="1"/>
  <c r="AJ72" i="1"/>
  <c r="AB73" i="1"/>
  <c r="AJ78" i="1"/>
  <c r="AB79" i="1"/>
  <c r="AJ84" i="1"/>
  <c r="AB85" i="1"/>
  <c r="AJ90" i="1"/>
  <c r="AB91" i="1"/>
  <c r="AJ96" i="1"/>
  <c r="AB97" i="1"/>
  <c r="AV99" i="1"/>
  <c r="AT100" i="1"/>
  <c r="AV100" i="1" s="1"/>
  <c r="AN101" i="1"/>
  <c r="AT104" i="1"/>
  <c r="AV104" i="1" s="1"/>
  <c r="AN105" i="1"/>
  <c r="AQ111" i="1"/>
  <c r="AR114" i="1"/>
  <c r="AB114" i="1"/>
  <c r="AR120" i="1"/>
  <c r="AB120" i="1"/>
  <c r="AV126" i="1"/>
  <c r="AV132" i="1"/>
  <c r="AD117" i="1"/>
  <c r="AB119" i="1"/>
  <c r="AD123" i="1"/>
  <c r="AB125" i="1"/>
  <c r="AD129" i="1"/>
  <c r="AN129" i="1"/>
  <c r="AB131" i="1"/>
  <c r="AD135" i="1"/>
  <c r="AN135" i="1"/>
  <c r="AB137" i="1"/>
  <c r="AD141" i="1"/>
  <c r="AN141" i="1"/>
  <c r="AB143" i="1"/>
  <c r="AT143" i="1"/>
  <c r="AV143" i="1" s="1"/>
  <c r="AB144" i="1"/>
  <c r="AT144" i="1"/>
  <c r="AB145" i="1"/>
  <c r="AD148" i="1"/>
  <c r="AO148" i="1"/>
  <c r="AV148" i="1" s="1"/>
  <c r="AR149" i="1"/>
  <c r="AV149" i="1" s="1"/>
  <c r="AB149" i="1"/>
  <c r="AO150" i="1"/>
  <c r="AC150" i="1"/>
  <c r="AR151" i="1"/>
  <c r="AB151" i="1"/>
  <c r="AQ151" i="1"/>
  <c r="AT152" i="1"/>
  <c r="AJ152" i="1"/>
  <c r="AR157" i="1"/>
  <c r="AB157" i="1"/>
  <c r="AQ157" i="1"/>
  <c r="AN162" i="1"/>
  <c r="AT162" i="1"/>
  <c r="AJ162" i="1"/>
  <c r="AV173" i="1"/>
  <c r="AJ107" i="1"/>
  <c r="AJ113" i="1"/>
  <c r="AJ119" i="1"/>
  <c r="AO123" i="1"/>
  <c r="AV123" i="1" s="1"/>
  <c r="AC125" i="1"/>
  <c r="AJ125" i="1"/>
  <c r="AB126" i="1"/>
  <c r="AO129" i="1"/>
  <c r="AV129" i="1" s="1"/>
  <c r="AD130" i="1"/>
  <c r="AC131" i="1"/>
  <c r="AJ131" i="1"/>
  <c r="AB132" i="1"/>
  <c r="AO135" i="1"/>
  <c r="AV135" i="1" s="1"/>
  <c r="AD136" i="1"/>
  <c r="AC137" i="1"/>
  <c r="AJ137" i="1"/>
  <c r="AB138" i="1"/>
  <c r="AO141" i="1"/>
  <c r="AV141" i="1" s="1"/>
  <c r="AD142" i="1"/>
  <c r="AC143" i="1"/>
  <c r="AC144" i="1"/>
  <c r="AJ145" i="1"/>
  <c r="AC147" i="1"/>
  <c r="AT150" i="1"/>
  <c r="AJ150" i="1"/>
  <c r="AN152" i="1"/>
  <c r="AO156" i="1"/>
  <c r="AV156" i="1" s="1"/>
  <c r="AC156" i="1"/>
  <c r="AQ161" i="1"/>
  <c r="AQ122" i="1"/>
  <c r="AQ128" i="1"/>
  <c r="AQ134" i="1"/>
  <c r="AQ140" i="1"/>
  <c r="AN156" i="1"/>
  <c r="AT156" i="1"/>
  <c r="AJ156" i="1"/>
  <c r="AJ121" i="1"/>
  <c r="AJ127" i="1"/>
  <c r="AJ133" i="1"/>
  <c r="AJ139" i="1"/>
  <c r="AR148" i="1"/>
  <c r="AO154" i="1"/>
  <c r="AV154" i="1" s="1"/>
  <c r="AC154" i="1"/>
  <c r="AR155" i="1"/>
  <c r="AB155" i="1"/>
  <c r="AT160" i="1"/>
  <c r="AJ160" i="1"/>
  <c r="AC164" i="1"/>
  <c r="AO164" i="1"/>
  <c r="AV164" i="1" s="1"/>
  <c r="AT148" i="1"/>
  <c r="AJ148" i="1"/>
  <c r="AT154" i="1"/>
  <c r="AJ154" i="1"/>
  <c r="AR163" i="1"/>
  <c r="AB163" i="1"/>
  <c r="AV191" i="1"/>
  <c r="AB124" i="1"/>
  <c r="AJ129" i="1"/>
  <c r="AB130" i="1"/>
  <c r="AJ135" i="1"/>
  <c r="AB136" i="1"/>
  <c r="AJ141" i="1"/>
  <c r="AB142" i="1"/>
  <c r="AV146" i="1"/>
  <c r="AT147" i="1"/>
  <c r="AN148" i="1"/>
  <c r="AC152" i="1"/>
  <c r="AO152" i="1"/>
  <c r="AV152" i="1" s="1"/>
  <c r="AR153" i="1"/>
  <c r="AB153" i="1"/>
  <c r="AN154" i="1"/>
  <c r="AC158" i="1"/>
  <c r="AO158" i="1"/>
  <c r="AV158" i="1" s="1"/>
  <c r="AR159" i="1"/>
  <c r="AB159" i="1"/>
  <c r="AO162" i="1"/>
  <c r="AV162" i="1" s="1"/>
  <c r="AC162" i="1"/>
  <c r="AV171" i="1"/>
  <c r="AV179" i="1"/>
  <c r="AQ167" i="1"/>
  <c r="AQ173" i="1"/>
  <c r="AQ179" i="1"/>
  <c r="AQ185" i="1"/>
  <c r="AQ191" i="1"/>
  <c r="AC197" i="1"/>
  <c r="AO197" i="1"/>
  <c r="AR198" i="1"/>
  <c r="AB198" i="1"/>
  <c r="AV202" i="1"/>
  <c r="AC203" i="1"/>
  <c r="AO203" i="1"/>
  <c r="AV203" i="1" s="1"/>
  <c r="AR210" i="1"/>
  <c r="AB210" i="1"/>
  <c r="AN213" i="1"/>
  <c r="AT213" i="1"/>
  <c r="AJ213" i="1"/>
  <c r="AR228" i="1"/>
  <c r="AB228" i="1"/>
  <c r="AC239" i="1"/>
  <c r="AO239" i="1"/>
  <c r="AV239" i="1" s="1"/>
  <c r="AD159" i="1"/>
  <c r="AC160" i="1"/>
  <c r="AB161" i="1"/>
  <c r="AD165" i="1"/>
  <c r="AC166" i="1"/>
  <c r="AJ166" i="1"/>
  <c r="AT166" i="1"/>
  <c r="AV166" i="1" s="1"/>
  <c r="AB167" i="1"/>
  <c r="AO170" i="1"/>
  <c r="AV170" i="1" s="1"/>
  <c r="AD171" i="1"/>
  <c r="AC172" i="1"/>
  <c r="AJ172" i="1"/>
  <c r="AT172" i="1"/>
  <c r="AV172" i="1" s="1"/>
  <c r="AB173" i="1"/>
  <c r="AO176" i="1"/>
  <c r="AV176" i="1" s="1"/>
  <c r="AD177" i="1"/>
  <c r="AC178" i="1"/>
  <c r="AJ178" i="1"/>
  <c r="AT178" i="1"/>
  <c r="AV178" i="1" s="1"/>
  <c r="AB179" i="1"/>
  <c r="AO182" i="1"/>
  <c r="AV182" i="1" s="1"/>
  <c r="AD183" i="1"/>
  <c r="AC184" i="1"/>
  <c r="AJ184" i="1"/>
  <c r="AT184" i="1"/>
  <c r="AB185" i="1"/>
  <c r="AO188" i="1"/>
  <c r="AV188" i="1" s="1"/>
  <c r="AD189" i="1"/>
  <c r="AC190" i="1"/>
  <c r="AJ190" i="1"/>
  <c r="AT190" i="1"/>
  <c r="AV190" i="1" s="1"/>
  <c r="AB191" i="1"/>
  <c r="AQ192" i="1"/>
  <c r="AO195" i="1"/>
  <c r="AC195" i="1"/>
  <c r="AR196" i="1"/>
  <c r="AV196" i="1" s="1"/>
  <c r="AB196" i="1"/>
  <c r="AT197" i="1"/>
  <c r="AJ197" i="1"/>
  <c r="AC209" i="1"/>
  <c r="AO209" i="1"/>
  <c r="AV209" i="1" s="1"/>
  <c r="AC215" i="1"/>
  <c r="AO215" i="1"/>
  <c r="AV215" i="1" s="1"/>
  <c r="AR216" i="1"/>
  <c r="AV216" i="1" s="1"/>
  <c r="AB216" i="1"/>
  <c r="AV223" i="1"/>
  <c r="AV230" i="1"/>
  <c r="AC233" i="1"/>
  <c r="AO233" i="1"/>
  <c r="AV233" i="1" s="1"/>
  <c r="AQ169" i="1"/>
  <c r="AQ175" i="1"/>
  <c r="AQ181" i="1"/>
  <c r="AQ187" i="1"/>
  <c r="AQ193" i="1"/>
  <c r="AT195" i="1"/>
  <c r="AJ195" i="1"/>
  <c r="AO201" i="1"/>
  <c r="AC201" i="1"/>
  <c r="AR202" i="1"/>
  <c r="AB202" i="1"/>
  <c r="AN219" i="1"/>
  <c r="AT219" i="1"/>
  <c r="AJ219" i="1"/>
  <c r="AV224" i="1"/>
  <c r="AC227" i="1"/>
  <c r="AO227" i="1"/>
  <c r="AV227" i="1" s="1"/>
  <c r="AV237" i="1"/>
  <c r="AN237" i="1"/>
  <c r="AT237" i="1"/>
  <c r="AJ237" i="1"/>
  <c r="AV243" i="1"/>
  <c r="AN243" i="1"/>
  <c r="AT243" i="1"/>
  <c r="AJ243" i="1"/>
  <c r="AC168" i="1"/>
  <c r="AJ168" i="1"/>
  <c r="AT168" i="1"/>
  <c r="AB169" i="1"/>
  <c r="AC174" i="1"/>
  <c r="AJ174" i="1"/>
  <c r="AT174" i="1"/>
  <c r="AB175" i="1"/>
  <c r="AC180" i="1"/>
  <c r="AJ180" i="1"/>
  <c r="AT180" i="1"/>
  <c r="AV180" i="1" s="1"/>
  <c r="AB181" i="1"/>
  <c r="AC186" i="1"/>
  <c r="AJ186" i="1"/>
  <c r="AT186" i="1"/>
  <c r="AB187" i="1"/>
  <c r="AC192" i="1"/>
  <c r="AJ192" i="1"/>
  <c r="AT192" i="1"/>
  <c r="AV192" i="1" s="1"/>
  <c r="AB193" i="1"/>
  <c r="AT194" i="1"/>
  <c r="AV194" i="1" s="1"/>
  <c r="AN195" i="1"/>
  <c r="AQ200" i="1"/>
  <c r="AT201" i="1"/>
  <c r="AJ201" i="1"/>
  <c r="AQ208" i="1"/>
  <c r="AV211" i="1"/>
  <c r="AQ214" i="1"/>
  <c r="AV220" i="1"/>
  <c r="AC221" i="1"/>
  <c r="AO221" i="1"/>
  <c r="AV221" i="1" s="1"/>
  <c r="AR222" i="1"/>
  <c r="AB222" i="1"/>
  <c r="AN225" i="1"/>
  <c r="AT225" i="1"/>
  <c r="AJ225" i="1"/>
  <c r="AN231" i="1"/>
  <c r="AT231" i="1"/>
  <c r="AV231" i="1" s="1"/>
  <c r="AJ231" i="1"/>
  <c r="AQ238" i="1"/>
  <c r="AO199" i="1"/>
  <c r="AV199" i="1" s="1"/>
  <c r="AC199" i="1"/>
  <c r="AR200" i="1"/>
  <c r="AV200" i="1" s="1"/>
  <c r="AB200" i="1"/>
  <c r="AV235" i="1"/>
  <c r="AV241" i="1"/>
  <c r="AJ158" i="1"/>
  <c r="AJ164" i="1"/>
  <c r="AB165" i="1"/>
  <c r="AJ170" i="1"/>
  <c r="AB171" i="1"/>
  <c r="AJ176" i="1"/>
  <c r="AB177" i="1"/>
  <c r="AJ182" i="1"/>
  <c r="AB183" i="1"/>
  <c r="AJ188" i="1"/>
  <c r="AB189" i="1"/>
  <c r="AC194" i="1"/>
  <c r="AQ198" i="1"/>
  <c r="AT199" i="1"/>
  <c r="AJ199" i="1"/>
  <c r="AR204" i="1"/>
  <c r="AB204" i="1"/>
  <c r="AV206" i="1"/>
  <c r="AN207" i="1"/>
  <c r="AT207" i="1"/>
  <c r="AV207" i="1" s="1"/>
  <c r="AJ207" i="1"/>
  <c r="AV213" i="1"/>
  <c r="AV217" i="1"/>
  <c r="AQ220" i="1"/>
  <c r="AR234" i="1"/>
  <c r="AV234" i="1" s="1"/>
  <c r="AB234" i="1"/>
  <c r="AR240" i="1"/>
  <c r="AB240" i="1"/>
  <c r="AN203" i="1"/>
  <c r="AQ206" i="1"/>
  <c r="AN209" i="1"/>
  <c r="AQ212" i="1"/>
  <c r="AQ218" i="1"/>
  <c r="AQ224" i="1"/>
  <c r="AQ230" i="1"/>
  <c r="AQ236" i="1"/>
  <c r="AQ242" i="1"/>
  <c r="AD204" i="1"/>
  <c r="AC205" i="1"/>
  <c r="AJ205" i="1"/>
  <c r="AB206" i="1"/>
  <c r="AD210" i="1"/>
  <c r="AC211" i="1"/>
  <c r="AJ211" i="1"/>
  <c r="AB212" i="1"/>
  <c r="AD216" i="1"/>
  <c r="AC217" i="1"/>
  <c r="AJ217" i="1"/>
  <c r="AB218" i="1"/>
  <c r="AD222" i="1"/>
  <c r="AC223" i="1"/>
  <c r="AJ223" i="1"/>
  <c r="AQ225" i="1"/>
  <c r="AJ229" i="1"/>
  <c r="AQ231" i="1"/>
  <c r="AJ235" i="1"/>
  <c r="AQ237" i="1"/>
  <c r="AJ241" i="1"/>
  <c r="AQ243" i="1"/>
  <c r="AC207" i="1"/>
  <c r="AB208" i="1"/>
  <c r="AC213" i="1"/>
  <c r="AB214" i="1"/>
  <c r="AC219" i="1"/>
  <c r="AB220" i="1"/>
  <c r="AC225" i="1"/>
  <c r="AB226" i="1"/>
  <c r="AC231" i="1"/>
  <c r="AB232" i="1"/>
  <c r="AC237" i="1"/>
  <c r="AB238" i="1"/>
  <c r="AC243" i="1"/>
  <c r="AT226" i="1"/>
  <c r="AV226" i="1" s="1"/>
  <c r="AB227" i="1"/>
  <c r="AJ232" i="1"/>
  <c r="AT232" i="1"/>
  <c r="AV232" i="1" s="1"/>
  <c r="AB233" i="1"/>
  <c r="AJ238" i="1"/>
  <c r="AT238" i="1"/>
  <c r="AV238" i="1" s="1"/>
  <c r="AB239" i="1"/>
  <c r="AJ203" i="1"/>
  <c r="AJ209" i="1"/>
  <c r="AJ215" i="1"/>
  <c r="AJ221" i="1"/>
  <c r="AJ227" i="1"/>
  <c r="AJ233" i="1"/>
  <c r="AV15" i="6"/>
  <c r="AP17" i="6"/>
  <c r="AP16" i="6"/>
  <c r="AU3" i="6"/>
  <c r="AU9" i="6"/>
  <c r="AO13" i="6"/>
  <c r="AC15" i="6"/>
  <c r="AR19" i="6"/>
  <c r="AR21" i="6"/>
  <c r="AU24" i="6"/>
  <c r="AN31" i="6"/>
  <c r="AC33" i="6"/>
  <c r="AR39" i="6"/>
  <c r="AN7" i="7"/>
  <c r="AN9" i="7"/>
  <c r="AN17" i="7"/>
  <c r="AN22" i="7"/>
  <c r="AN28" i="7"/>
  <c r="AR32" i="7"/>
  <c r="AB32" i="7"/>
  <c r="AN8" i="8"/>
  <c r="AN13" i="8"/>
  <c r="AT13" i="8"/>
  <c r="AJ13" i="8"/>
  <c r="AN27" i="8"/>
  <c r="AQ7" i="6"/>
  <c r="AN9" i="6"/>
  <c r="AN11" i="6"/>
  <c r="AT11" i="6"/>
  <c r="AO12" i="6"/>
  <c r="AR13" i="6"/>
  <c r="AB13" i="6"/>
  <c r="AT16" i="6"/>
  <c r="AJ16" i="6"/>
  <c r="AR17" i="6"/>
  <c r="AO19" i="6"/>
  <c r="AN19" i="6"/>
  <c r="AN20" i="6"/>
  <c r="AT20" i="6"/>
  <c r="AJ20" i="6"/>
  <c r="AQ21" i="6"/>
  <c r="AN22" i="6"/>
  <c r="AN23" i="6"/>
  <c r="AT23" i="6"/>
  <c r="AJ23" i="6"/>
  <c r="AR25" i="6"/>
  <c r="AR27" i="6"/>
  <c r="AN28" i="6"/>
  <c r="AR38" i="6"/>
  <c r="AB38" i="6"/>
  <c r="AC9" i="7"/>
  <c r="AO9" i="7"/>
  <c r="AV9" i="7" s="1"/>
  <c r="AR24" i="7"/>
  <c r="AB24" i="7"/>
  <c r="AN29" i="7"/>
  <c r="AN32" i="7"/>
  <c r="AR6" i="8"/>
  <c r="AB6" i="8"/>
  <c r="AN9" i="8"/>
  <c r="AT9" i="8"/>
  <c r="AJ9" i="8"/>
  <c r="AQ10" i="8"/>
  <c r="AR16" i="8"/>
  <c r="AB16" i="8"/>
  <c r="AO23" i="8"/>
  <c r="AV23" i="8" s="1"/>
  <c r="AC23" i="8"/>
  <c r="AO27" i="8"/>
  <c r="AC27" i="8"/>
  <c r="AN34" i="8"/>
  <c r="AO39" i="8"/>
  <c r="AN39" i="8"/>
  <c r="AO85" i="9"/>
  <c r="AV85" i="9" s="1"/>
  <c r="AO53" i="9"/>
  <c r="AO81" i="9"/>
  <c r="AO80" i="9"/>
  <c r="AO58" i="9"/>
  <c r="AO52" i="9"/>
  <c r="AO35" i="9"/>
  <c r="AO3" i="9"/>
  <c r="AO67" i="9"/>
  <c r="AO32" i="9"/>
  <c r="AO24" i="9"/>
  <c r="AO20" i="9"/>
  <c r="AO8" i="9"/>
  <c r="AV8" i="9" s="1"/>
  <c r="AO83" i="9"/>
  <c r="AO39" i="9"/>
  <c r="AO37" i="9"/>
  <c r="AO57" i="9"/>
  <c r="AO14" i="9"/>
  <c r="AO30" i="9"/>
  <c r="AV30" i="9" s="1"/>
  <c r="AO79" i="9"/>
  <c r="AO18" i="9"/>
  <c r="AR36" i="6"/>
  <c r="AR24" i="6"/>
  <c r="AR28" i="6"/>
  <c r="AR22" i="6"/>
  <c r="AT6" i="6"/>
  <c r="AR7" i="6"/>
  <c r="AN16" i="6"/>
  <c r="AN25" i="6"/>
  <c r="AN26" i="6"/>
  <c r="AT26" i="6"/>
  <c r="AJ26" i="6"/>
  <c r="AR34" i="6"/>
  <c r="AQ36" i="6"/>
  <c r="AN38" i="6"/>
  <c r="AR6" i="7"/>
  <c r="AB6" i="7"/>
  <c r="AN18" i="7"/>
  <c r="AN24" i="7"/>
  <c r="AN33" i="7"/>
  <c r="AC19" i="8"/>
  <c r="AO19" i="8"/>
  <c r="AV31" i="9"/>
  <c r="AU36" i="6"/>
  <c r="AU23" i="6"/>
  <c r="AU28" i="6"/>
  <c r="AU22" i="6"/>
  <c r="AU38" i="6"/>
  <c r="AU34" i="6"/>
  <c r="AU30" i="6"/>
  <c r="AU26" i="6"/>
  <c r="AU20" i="6"/>
  <c r="AU37" i="6"/>
  <c r="AU33" i="6"/>
  <c r="AU25" i="6"/>
  <c r="AU19" i="6"/>
  <c r="AU15" i="6"/>
  <c r="AU11" i="6"/>
  <c r="AJ6" i="6"/>
  <c r="AU6" i="6"/>
  <c r="AJ7" i="6"/>
  <c r="AT7" i="6"/>
  <c r="AR9" i="6"/>
  <c r="AB9" i="6"/>
  <c r="AO11" i="6"/>
  <c r="AR15" i="6"/>
  <c r="AB15" i="6"/>
  <c r="AO16" i="6"/>
  <c r="AV16" i="6" s="1"/>
  <c r="AC19" i="6"/>
  <c r="AP19" i="6"/>
  <c r="AU21" i="6"/>
  <c r="AN24" i="6"/>
  <c r="AU27" i="6"/>
  <c r="AR31" i="6"/>
  <c r="AR33" i="6"/>
  <c r="AR37" i="6"/>
  <c r="AN37" i="6"/>
  <c r="AN39" i="6"/>
  <c r="AN6" i="7"/>
  <c r="AN11" i="7"/>
  <c r="AT11" i="7"/>
  <c r="AJ11" i="7"/>
  <c r="AN14" i="7"/>
  <c r="AR20" i="7"/>
  <c r="AB20" i="7"/>
  <c r="AN25" i="7"/>
  <c r="AO26" i="7"/>
  <c r="AN31" i="7"/>
  <c r="AN45" i="8"/>
  <c r="AN37" i="8"/>
  <c r="AN30" i="8"/>
  <c r="AN22" i="8"/>
  <c r="AN18" i="8"/>
  <c r="AN14" i="8"/>
  <c r="AN10" i="8"/>
  <c r="AN42" i="8"/>
  <c r="AN19" i="8"/>
  <c r="AN11" i="8"/>
  <c r="AN15" i="8"/>
  <c r="AR12" i="6"/>
  <c r="AN15" i="6"/>
  <c r="AN21" i="6"/>
  <c r="AD24" i="6"/>
  <c r="AC25" i="6"/>
  <c r="AN27" i="6"/>
  <c r="AN30" i="6"/>
  <c r="AT30" i="6"/>
  <c r="AJ30" i="6"/>
  <c r="AN33" i="6"/>
  <c r="AN34" i="6"/>
  <c r="AC37" i="6"/>
  <c r="AO37" i="6"/>
  <c r="AV37" i="6" s="1"/>
  <c r="AN15" i="7"/>
  <c r="AT15" i="7"/>
  <c r="AJ15" i="7"/>
  <c r="AN20" i="7"/>
  <c r="AO22" i="7"/>
  <c r="AC31" i="7"/>
  <c r="AO31" i="7"/>
  <c r="AV31" i="7" s="1"/>
  <c r="AO3" i="8"/>
  <c r="AO45" i="8"/>
  <c r="AO24" i="8"/>
  <c r="AC11" i="8"/>
  <c r="AO11" i="8"/>
  <c r="AV11" i="8" s="1"/>
  <c r="AC15" i="8"/>
  <c r="AO15" i="8"/>
  <c r="AV15" i="8" s="1"/>
  <c r="AN21" i="8"/>
  <c r="AT21" i="8"/>
  <c r="AJ21" i="8"/>
  <c r="AQ22" i="8"/>
  <c r="AN28" i="8"/>
  <c r="AR45" i="8"/>
  <c r="AB45" i="8"/>
  <c r="AQ22" i="9"/>
  <c r="AV17" i="6"/>
  <c r="AR3" i="6"/>
  <c r="AQ11" i="6"/>
  <c r="AT12" i="6"/>
  <c r="AJ12" i="6"/>
  <c r="AN13" i="6"/>
  <c r="AN17" i="6"/>
  <c r="AR26" i="6"/>
  <c r="AU31" i="6"/>
  <c r="AB34" i="6"/>
  <c r="AO15" i="7"/>
  <c r="AO3" i="7"/>
  <c r="AO7" i="7"/>
  <c r="AO20" i="7"/>
  <c r="AN26" i="7"/>
  <c r="AR28" i="7"/>
  <c r="AB28" i="7"/>
  <c r="AQ18" i="8"/>
  <c r="AN24" i="8"/>
  <c r="AN26" i="8"/>
  <c r="AO10" i="9"/>
  <c r="AB17" i="6"/>
  <c r="AD19" i="6"/>
  <c r="AB21" i="6"/>
  <c r="AO24" i="6"/>
  <c r="AV24" i="6" s="1"/>
  <c r="AD25" i="6"/>
  <c r="AB27" i="6"/>
  <c r="AB31" i="6"/>
  <c r="AD33" i="6"/>
  <c r="AJ34" i="6"/>
  <c r="AT34" i="6"/>
  <c r="AO36" i="6"/>
  <c r="AV36" i="6" s="1"/>
  <c r="AD37" i="6"/>
  <c r="AJ38" i="6"/>
  <c r="AT38" i="6"/>
  <c r="AB39" i="6"/>
  <c r="AP3" i="7"/>
  <c r="AJ6" i="7"/>
  <c r="AT6" i="7"/>
  <c r="AB7" i="7"/>
  <c r="AD9" i="7"/>
  <c r="AU9" i="7"/>
  <c r="AB13" i="7"/>
  <c r="AP15" i="7"/>
  <c r="AB17" i="7"/>
  <c r="AJ20" i="7"/>
  <c r="AT20" i="7"/>
  <c r="AB21" i="7"/>
  <c r="AJ24" i="7"/>
  <c r="AT24" i="7"/>
  <c r="AB25" i="7"/>
  <c r="AJ28" i="7"/>
  <c r="AT28" i="7"/>
  <c r="AB29" i="7"/>
  <c r="AD31" i="7"/>
  <c r="AU31" i="7"/>
  <c r="AJ32" i="7"/>
  <c r="AT32" i="7"/>
  <c r="AB33" i="7"/>
  <c r="AU43" i="8"/>
  <c r="AU39" i="8"/>
  <c r="AU35" i="8"/>
  <c r="AU31" i="8"/>
  <c r="AU27" i="8"/>
  <c r="AU23" i="8"/>
  <c r="AU41" i="8"/>
  <c r="AU45" i="8"/>
  <c r="AU37" i="8"/>
  <c r="AU44" i="8"/>
  <c r="AU36" i="8"/>
  <c r="AU32" i="8"/>
  <c r="AU28" i="8"/>
  <c r="AP3" i="8"/>
  <c r="AJ6" i="8"/>
  <c r="AT6" i="8"/>
  <c r="AB7" i="8"/>
  <c r="AO10" i="8"/>
  <c r="AD11" i="8"/>
  <c r="AU11" i="8"/>
  <c r="AO14" i="8"/>
  <c r="AV14" i="8" s="1"/>
  <c r="AD15" i="8"/>
  <c r="AU15" i="8"/>
  <c r="AJ16" i="8"/>
  <c r="AT16" i="8"/>
  <c r="AO18" i="8"/>
  <c r="AD19" i="8"/>
  <c r="AU19" i="8"/>
  <c r="AO22" i="8"/>
  <c r="AV22" i="8" s="1"/>
  <c r="AU24" i="8"/>
  <c r="AO26" i="8"/>
  <c r="AC26" i="8"/>
  <c r="AU26" i="8"/>
  <c r="AQ27" i="8"/>
  <c r="AB28" i="8"/>
  <c r="AJ31" i="8"/>
  <c r="AP32" i="8"/>
  <c r="AO34" i="8"/>
  <c r="AO35" i="8"/>
  <c r="AN35" i="8"/>
  <c r="AQ36" i="8"/>
  <c r="AT36" i="8"/>
  <c r="AJ36" i="8"/>
  <c r="AN36" i="8"/>
  <c r="AQ42" i="8"/>
  <c r="AT42" i="8"/>
  <c r="AJ42" i="8"/>
  <c r="AN43" i="8"/>
  <c r="AC44" i="8"/>
  <c r="AO44" i="8"/>
  <c r="AV44" i="8" s="1"/>
  <c r="AR46" i="8"/>
  <c r="AN8" i="9"/>
  <c r="AR10" i="9"/>
  <c r="AB10" i="9"/>
  <c r="AO25" i="9"/>
  <c r="AO33" i="9"/>
  <c r="AN35" i="9"/>
  <c r="AJ35" i="9"/>
  <c r="AQ23" i="6"/>
  <c r="AJ27" i="6"/>
  <c r="AJ31" i="6"/>
  <c r="AQ11" i="7"/>
  <c r="AJ13" i="7"/>
  <c r="AR14" i="7"/>
  <c r="AQ15" i="7"/>
  <c r="AJ17" i="7"/>
  <c r="AR18" i="7"/>
  <c r="AU20" i="7"/>
  <c r="AJ21" i="7"/>
  <c r="AR22" i="7"/>
  <c r="AU24" i="7"/>
  <c r="AJ25" i="7"/>
  <c r="AU28" i="7"/>
  <c r="AJ29" i="7"/>
  <c r="AU32" i="7"/>
  <c r="AJ33" i="7"/>
  <c r="AR8" i="8"/>
  <c r="AQ9" i="8"/>
  <c r="AP10" i="8"/>
  <c r="AQ13" i="8"/>
  <c r="AU16" i="8"/>
  <c r="AP18" i="8"/>
  <c r="AQ21" i="8"/>
  <c r="AP22" i="8"/>
  <c r="AQ23" i="8"/>
  <c r="AQ24" i="8"/>
  <c r="AT24" i="8"/>
  <c r="AJ24" i="8"/>
  <c r="AT26" i="8"/>
  <c r="AJ26" i="8"/>
  <c r="AR27" i="8"/>
  <c r="AB27" i="8"/>
  <c r="AQ30" i="8"/>
  <c r="AR32" i="8"/>
  <c r="AQ34" i="8"/>
  <c r="AT34" i="8"/>
  <c r="AJ34" i="8"/>
  <c r="AJ35" i="8"/>
  <c r="AP36" i="8"/>
  <c r="AQ37" i="8"/>
  <c r="AR39" i="8"/>
  <c r="AJ43" i="8"/>
  <c r="AQ44" i="8"/>
  <c r="AN83" i="9"/>
  <c r="AN59" i="9"/>
  <c r="AN53" i="9"/>
  <c r="AN49" i="9"/>
  <c r="AN79" i="9"/>
  <c r="AN75" i="9"/>
  <c r="AN67" i="9"/>
  <c r="AN57" i="9"/>
  <c r="AN47" i="9"/>
  <c r="AN78" i="9"/>
  <c r="AN52" i="9"/>
  <c r="AN48" i="9"/>
  <c r="AN33" i="9"/>
  <c r="AN30" i="9"/>
  <c r="AN18" i="9"/>
  <c r="AN14" i="9"/>
  <c r="AN10" i="9"/>
  <c r="AN6" i="9"/>
  <c r="AN58" i="9"/>
  <c r="AN37" i="9"/>
  <c r="AN7" i="9"/>
  <c r="AO11" i="9"/>
  <c r="AV11" i="9" s="1"/>
  <c r="AC17" i="9"/>
  <c r="AO17" i="9"/>
  <c r="AN19" i="9"/>
  <c r="AO22" i="9"/>
  <c r="AN22" i="9"/>
  <c r="AN25" i="9"/>
  <c r="AT25" i="9"/>
  <c r="AJ25" i="9"/>
  <c r="AO27" i="9"/>
  <c r="AN28" i="9"/>
  <c r="AN34" i="9"/>
  <c r="AJ34" i="9"/>
  <c r="AR67" i="9"/>
  <c r="AB67" i="9"/>
  <c r="AU18" i="7"/>
  <c r="AP20" i="7"/>
  <c r="AU22" i="7"/>
  <c r="AU26" i="7"/>
  <c r="AP45" i="8"/>
  <c r="AP39" i="8"/>
  <c r="AP35" i="8"/>
  <c r="AP31" i="8"/>
  <c r="AP34" i="8"/>
  <c r="AP6" i="8"/>
  <c r="AV6" i="8" s="1"/>
  <c r="AR10" i="8"/>
  <c r="AR14" i="8"/>
  <c r="AR18" i="8"/>
  <c r="AR22" i="8"/>
  <c r="AN23" i="8"/>
  <c r="AT23" i="8"/>
  <c r="AD24" i="8"/>
  <c r="AD26" i="8"/>
  <c r="AP26" i="8"/>
  <c r="AJ27" i="8"/>
  <c r="AU30" i="8"/>
  <c r="AR34" i="8"/>
  <c r="AR37" i="8"/>
  <c r="AB37" i="8"/>
  <c r="AR41" i="8"/>
  <c r="AB41" i="8"/>
  <c r="AR42" i="8"/>
  <c r="AQ43" i="8"/>
  <c r="AR6" i="9"/>
  <c r="AB6" i="9"/>
  <c r="AN11" i="9"/>
  <c r="AR14" i="9"/>
  <c r="AB14" i="9"/>
  <c r="AO15" i="9"/>
  <c r="AV15" i="9" s="1"/>
  <c r="AO21" i="9"/>
  <c r="AR30" i="9"/>
  <c r="AB30" i="9"/>
  <c r="AN31" i="9"/>
  <c r="AC38" i="9"/>
  <c r="AO38" i="9"/>
  <c r="AN41" i="9"/>
  <c r="AT41" i="9"/>
  <c r="AJ41" i="9"/>
  <c r="AO54" i="9"/>
  <c r="AN76" i="9"/>
  <c r="AB19" i="6"/>
  <c r="AJ24" i="6"/>
  <c r="AB25" i="6"/>
  <c r="AB33" i="6"/>
  <c r="AJ36" i="6"/>
  <c r="AB37" i="6"/>
  <c r="AP7" i="7"/>
  <c r="AB9" i="7"/>
  <c r="AU11" i="7"/>
  <c r="AB31" i="7"/>
  <c r="AJ46" i="8"/>
  <c r="AJ45" i="8"/>
  <c r="AJ37" i="8"/>
  <c r="AU9" i="8"/>
  <c r="AJ10" i="8"/>
  <c r="AB11" i="8"/>
  <c r="AU13" i="8"/>
  <c r="AJ14" i="8"/>
  <c r="AB15" i="8"/>
  <c r="AJ18" i="8"/>
  <c r="AB19" i="8"/>
  <c r="AU21" i="8"/>
  <c r="AJ22" i="8"/>
  <c r="AJ23" i="8"/>
  <c r="AP24" i="8"/>
  <c r="AT30" i="8"/>
  <c r="AJ30" i="8"/>
  <c r="AR31" i="8"/>
  <c r="AC32" i="8"/>
  <c r="AO32" i="8"/>
  <c r="AU34" i="8"/>
  <c r="AQ39" i="8"/>
  <c r="AN41" i="8"/>
  <c r="AU42" i="8"/>
  <c r="AQ45" i="8"/>
  <c r="AN21" i="9"/>
  <c r="AT21" i="9"/>
  <c r="AJ21" i="9"/>
  <c r="AD41" i="9"/>
  <c r="AQ41" i="9"/>
  <c r="AC70" i="9"/>
  <c r="AO70" i="9"/>
  <c r="AN72" i="9"/>
  <c r="AT72" i="9"/>
  <c r="AJ72" i="9"/>
  <c r="AR26" i="8"/>
  <c r="AP27" i="8"/>
  <c r="AT28" i="8"/>
  <c r="AJ28" i="8"/>
  <c r="AO31" i="8"/>
  <c r="AN31" i="8"/>
  <c r="AT32" i="8"/>
  <c r="AJ32" i="8"/>
  <c r="AN32" i="8"/>
  <c r="AR35" i="8"/>
  <c r="AC36" i="8"/>
  <c r="AO36" i="8"/>
  <c r="AJ41" i="8"/>
  <c r="AR43" i="8"/>
  <c r="AU46" i="8"/>
  <c r="AO7" i="9"/>
  <c r="AV7" i="9" s="1"/>
  <c r="AC13" i="9"/>
  <c r="AO13" i="9"/>
  <c r="AR18" i="9"/>
  <c r="AB18" i="9"/>
  <c r="AO19" i="9"/>
  <c r="AO34" i="9"/>
  <c r="AR37" i="9"/>
  <c r="AB37" i="9"/>
  <c r="AO40" i="9"/>
  <c r="AV40" i="9" s="1"/>
  <c r="AC40" i="9"/>
  <c r="AO42" i="9"/>
  <c r="AV42" i="9" s="1"/>
  <c r="AC47" i="9"/>
  <c r="AO47" i="9"/>
  <c r="AV47" i="9" s="1"/>
  <c r="AQ41" i="8"/>
  <c r="AD44" i="8"/>
  <c r="AN44" i="8"/>
  <c r="AB46" i="8"/>
  <c r="AH1" i="9"/>
  <c r="AH2" i="9" s="1"/>
  <c r="AU85" i="9"/>
  <c r="AU81" i="9"/>
  <c r="AU83" i="9"/>
  <c r="AU73" i="9"/>
  <c r="AU69" i="9"/>
  <c r="AU65" i="9"/>
  <c r="AU61" i="9"/>
  <c r="AU55" i="9"/>
  <c r="AU45" i="9"/>
  <c r="AU41" i="9"/>
  <c r="AU72" i="9"/>
  <c r="AU64" i="9"/>
  <c r="AU60" i="9"/>
  <c r="AU54" i="9"/>
  <c r="AU50" i="9"/>
  <c r="AU44" i="9"/>
  <c r="AU59" i="9"/>
  <c r="AU53" i="9"/>
  <c r="AU49" i="9"/>
  <c r="AU79" i="9"/>
  <c r="AU75" i="9"/>
  <c r="AU67" i="9"/>
  <c r="AU57" i="9"/>
  <c r="AU47" i="9"/>
  <c r="AU88" i="9"/>
  <c r="AU84" i="9"/>
  <c r="AU78" i="9"/>
  <c r="AU74" i="9"/>
  <c r="AU70" i="9"/>
  <c r="AU66" i="9"/>
  <c r="AU62" i="9"/>
  <c r="AU56" i="9"/>
  <c r="AU46" i="9"/>
  <c r="AU42" i="9"/>
  <c r="AP3" i="9"/>
  <c r="AJ6" i="9"/>
  <c r="AQ8" i="9"/>
  <c r="AJ10" i="9"/>
  <c r="AR11" i="9"/>
  <c r="AN13" i="9"/>
  <c r="AU13" i="9"/>
  <c r="AJ14" i="9"/>
  <c r="AR15" i="9"/>
  <c r="AN17" i="9"/>
  <c r="AU17" i="9"/>
  <c r="AJ18" i="9"/>
  <c r="AR19" i="9"/>
  <c r="AQ20" i="9"/>
  <c r="AP21" i="9"/>
  <c r="AQ24" i="9"/>
  <c r="AP25" i="9"/>
  <c r="AB27" i="9"/>
  <c r="AJ30" i="9"/>
  <c r="AB31" i="9"/>
  <c r="AP33" i="9"/>
  <c r="AP34" i="9"/>
  <c r="AD37" i="9"/>
  <c r="AN38" i="9"/>
  <c r="AN39" i="9"/>
  <c r="AN40" i="9"/>
  <c r="AR41" i="9"/>
  <c r="AJ44" i="9"/>
  <c r="AC45" i="9"/>
  <c r="AO45" i="9"/>
  <c r="AV45" i="9" s="1"/>
  <c r="AN45" i="9"/>
  <c r="AT45" i="9"/>
  <c r="AJ45" i="9"/>
  <c r="AQ46" i="9"/>
  <c r="AU52" i="9"/>
  <c r="AN55" i="9"/>
  <c r="AQ57" i="9"/>
  <c r="AO60" i="9"/>
  <c r="AV60" i="9" s="1"/>
  <c r="AR62" i="9"/>
  <c r="AO64" i="9"/>
  <c r="AR66" i="9"/>
  <c r="AQ69" i="9"/>
  <c r="AN73" i="9"/>
  <c r="AU76" i="9"/>
  <c r="AQ78" i="9"/>
  <c r="AR79" i="9"/>
  <c r="AB79" i="9"/>
  <c r="AR10" i="10"/>
  <c r="AB10" i="10"/>
  <c r="AD45" i="8"/>
  <c r="AC46" i="8"/>
  <c r="AQ3" i="9"/>
  <c r="AD6" i="9"/>
  <c r="AC7" i="9"/>
  <c r="AJ7" i="9"/>
  <c r="AB8" i="9"/>
  <c r="AD10" i="9"/>
  <c r="AC11" i="9"/>
  <c r="AJ11" i="9"/>
  <c r="AD14" i="9"/>
  <c r="AU14" i="9"/>
  <c r="AC15" i="9"/>
  <c r="AJ15" i="9"/>
  <c r="AD18" i="9"/>
  <c r="AU18" i="9"/>
  <c r="AC19" i="9"/>
  <c r="AJ19" i="9"/>
  <c r="AB20" i="9"/>
  <c r="AP22" i="9"/>
  <c r="AB24" i="9"/>
  <c r="AC27" i="9"/>
  <c r="AJ27" i="9"/>
  <c r="AB28" i="9"/>
  <c r="AD30" i="9"/>
  <c r="AU30" i="9"/>
  <c r="AC31" i="9"/>
  <c r="AJ31" i="9"/>
  <c r="AB32" i="9"/>
  <c r="AQ34" i="9"/>
  <c r="AR34" i="9"/>
  <c r="AR35" i="9"/>
  <c r="AO41" i="9"/>
  <c r="AR42" i="9"/>
  <c r="AB42" i="9"/>
  <c r="AR47" i="9"/>
  <c r="AB47" i="9"/>
  <c r="AR48" i="9"/>
  <c r="AJ49" i="9"/>
  <c r="AN50" i="9"/>
  <c r="AT50" i="9"/>
  <c r="AJ50" i="9"/>
  <c r="AR52" i="9"/>
  <c r="AQ55" i="9"/>
  <c r="AJ59" i="9"/>
  <c r="AN60" i="9"/>
  <c r="AT60" i="9"/>
  <c r="AJ60" i="9"/>
  <c r="AC62" i="9"/>
  <c r="AO62" i="9"/>
  <c r="AV62" i="9" s="1"/>
  <c r="AN64" i="9"/>
  <c r="AT64" i="9"/>
  <c r="AJ64" i="9"/>
  <c r="AC66" i="9"/>
  <c r="AO66" i="9"/>
  <c r="AV66" i="9" s="1"/>
  <c r="AR70" i="9"/>
  <c r="AQ75" i="9"/>
  <c r="AQ76" i="9"/>
  <c r="AQ80" i="9"/>
  <c r="AQ81" i="9"/>
  <c r="AQ84" i="9"/>
  <c r="AT84" i="9"/>
  <c r="AJ84" i="9"/>
  <c r="AN84" i="9"/>
  <c r="AR16" i="10"/>
  <c r="AB16" i="10"/>
  <c r="AC30" i="8"/>
  <c r="AB31" i="8"/>
  <c r="AC34" i="8"/>
  <c r="AB35" i="8"/>
  <c r="AB39" i="8"/>
  <c r="AC42" i="8"/>
  <c r="AB43" i="8"/>
  <c r="AP85" i="9"/>
  <c r="AP81" i="9"/>
  <c r="AP83" i="9"/>
  <c r="AP53" i="9"/>
  <c r="AP39" i="9"/>
  <c r="AP35" i="9"/>
  <c r="AP80" i="9"/>
  <c r="AP58" i="9"/>
  <c r="AP52" i="9"/>
  <c r="AP79" i="9"/>
  <c r="AP67" i="9"/>
  <c r="AP57" i="9"/>
  <c r="AP69" i="9"/>
  <c r="AP65" i="9"/>
  <c r="AP61" i="9"/>
  <c r="AP55" i="9"/>
  <c r="AP86" i="9"/>
  <c r="AP64" i="9"/>
  <c r="AP60" i="9"/>
  <c r="AP54" i="9"/>
  <c r="AU3" i="9"/>
  <c r="AU8" i="9"/>
  <c r="AP10" i="9"/>
  <c r="AP14" i="9"/>
  <c r="AP18" i="9"/>
  <c r="AU20" i="9"/>
  <c r="AC21" i="9"/>
  <c r="AB22" i="9"/>
  <c r="AU24" i="9"/>
  <c r="AC25" i="9"/>
  <c r="AU28" i="9"/>
  <c r="AP30" i="9"/>
  <c r="AU32" i="9"/>
  <c r="AJ33" i="9"/>
  <c r="AU33" i="9"/>
  <c r="AU34" i="9"/>
  <c r="AU35" i="9"/>
  <c r="AQ38" i="9"/>
  <c r="AR40" i="9"/>
  <c r="AR44" i="9"/>
  <c r="AR45" i="9"/>
  <c r="AQ47" i="9"/>
  <c r="AQ48" i="9"/>
  <c r="AR50" i="9"/>
  <c r="AQ52" i="9"/>
  <c r="AQ53" i="9"/>
  <c r="AN54" i="9"/>
  <c r="AT54" i="9"/>
  <c r="AJ54" i="9"/>
  <c r="AC56" i="9"/>
  <c r="AO56" i="9"/>
  <c r="AV56" i="9" s="1"/>
  <c r="AR58" i="9"/>
  <c r="AQ70" i="9"/>
  <c r="AR74" i="9"/>
  <c r="AU86" i="9"/>
  <c r="AQ88" i="9"/>
  <c r="AT88" i="9"/>
  <c r="AJ88" i="9"/>
  <c r="AN88" i="9"/>
  <c r="AJ85" i="9"/>
  <c r="AJ83" i="9"/>
  <c r="AJ80" i="9"/>
  <c r="AJ76" i="9"/>
  <c r="AJ58" i="9"/>
  <c r="AJ52" i="9"/>
  <c r="AJ48" i="9"/>
  <c r="AJ79" i="9"/>
  <c r="AJ75" i="9"/>
  <c r="AJ67" i="9"/>
  <c r="AJ57" i="9"/>
  <c r="AJ47" i="9"/>
  <c r="AP19" i="9"/>
  <c r="AU21" i="9"/>
  <c r="AJ22" i="9"/>
  <c r="AU25" i="9"/>
  <c r="AP27" i="9"/>
  <c r="AP31" i="9"/>
  <c r="AT38" i="9"/>
  <c r="AT39" i="9"/>
  <c r="AT40" i="9"/>
  <c r="AP41" i="9"/>
  <c r="AQ42" i="9"/>
  <c r="AR46" i="9"/>
  <c r="AB46" i="9"/>
  <c r="AR54" i="9"/>
  <c r="AQ56" i="9"/>
  <c r="AR57" i="9"/>
  <c r="AB57" i="9"/>
  <c r="AN61" i="9"/>
  <c r="AN65" i="9"/>
  <c r="AQ67" i="9"/>
  <c r="AC74" i="9"/>
  <c r="AO74" i="9"/>
  <c r="AV74" i="9" s="1"/>
  <c r="AR78" i="9"/>
  <c r="AU80" i="9"/>
  <c r="AN85" i="9"/>
  <c r="AJ44" i="8"/>
  <c r="AR88" i="9"/>
  <c r="AR84" i="9"/>
  <c r="AR73" i="9"/>
  <c r="AR69" i="9"/>
  <c r="AR65" i="9"/>
  <c r="AR61" i="9"/>
  <c r="AR55" i="9"/>
  <c r="AR86" i="9"/>
  <c r="AR59" i="9"/>
  <c r="AR53" i="9"/>
  <c r="AR49" i="9"/>
  <c r="AP8" i="9"/>
  <c r="AJ13" i="9"/>
  <c r="AJ17" i="9"/>
  <c r="AP20" i="9"/>
  <c r="AU22" i="9"/>
  <c r="AP24" i="9"/>
  <c r="AP32" i="9"/>
  <c r="AR33" i="9"/>
  <c r="AJ37" i="9"/>
  <c r="AU37" i="9"/>
  <c r="AU38" i="9"/>
  <c r="AU39" i="9"/>
  <c r="AU40" i="9"/>
  <c r="AN44" i="9"/>
  <c r="AC46" i="9"/>
  <c r="AO46" i="9"/>
  <c r="AV46" i="9" s="1"/>
  <c r="AQ49" i="9"/>
  <c r="AJ53" i="9"/>
  <c r="AQ58" i="9"/>
  <c r="AQ59" i="9"/>
  <c r="AQ61" i="9"/>
  <c r="AQ65" i="9"/>
  <c r="AN69" i="9"/>
  <c r="AQ74" i="9"/>
  <c r="AR75" i="9"/>
  <c r="AB75" i="9"/>
  <c r="AR76" i="9"/>
  <c r="AC78" i="9"/>
  <c r="AO78" i="9"/>
  <c r="AP78" i="9"/>
  <c r="AR80" i="9"/>
  <c r="AR81" i="9"/>
  <c r="AU24" i="10"/>
  <c r="AU20" i="10"/>
  <c r="AU14" i="10"/>
  <c r="AU23" i="10"/>
  <c r="AU19" i="10"/>
  <c r="AU13" i="10"/>
  <c r="AU22" i="10"/>
  <c r="AU18" i="10"/>
  <c r="AU12" i="10"/>
  <c r="AU8" i="10"/>
  <c r="AU3" i="10"/>
  <c r="AU16" i="10"/>
  <c r="AU10" i="10"/>
  <c r="AU6" i="10"/>
  <c r="AU15" i="10"/>
  <c r="AU11" i="10"/>
  <c r="AU17" i="10"/>
  <c r="AD6" i="10"/>
  <c r="AQ6" i="10"/>
  <c r="AB10" i="11"/>
  <c r="AR10" i="11"/>
  <c r="AN42" i="9"/>
  <c r="AN46" i="9"/>
  <c r="AB48" i="9"/>
  <c r="AB52" i="9"/>
  <c r="AO55" i="9"/>
  <c r="AD56" i="9"/>
  <c r="AN56" i="9"/>
  <c r="AB58" i="9"/>
  <c r="AO61" i="9"/>
  <c r="AD62" i="9"/>
  <c r="AN62" i="9"/>
  <c r="AO65" i="9"/>
  <c r="AD66" i="9"/>
  <c r="AN66" i="9"/>
  <c r="AO69" i="9"/>
  <c r="AD70" i="9"/>
  <c r="AN70" i="9"/>
  <c r="AO73" i="9"/>
  <c r="AV73" i="9" s="1"/>
  <c r="AD74" i="9"/>
  <c r="AN74" i="9"/>
  <c r="AB76" i="9"/>
  <c r="AD78" i="9"/>
  <c r="AB80" i="9"/>
  <c r="AR6" i="10"/>
  <c r="AB6" i="10"/>
  <c r="AQ10" i="10"/>
  <c r="AJ12" i="10"/>
  <c r="AQ13" i="10"/>
  <c r="AN13" i="10"/>
  <c r="AT13" i="10"/>
  <c r="AJ13" i="10"/>
  <c r="AJ22" i="10"/>
  <c r="AR15" i="11"/>
  <c r="AB15" i="11"/>
  <c r="AR20" i="11"/>
  <c r="AB20" i="11"/>
  <c r="AD38" i="11"/>
  <c r="AQ38" i="11"/>
  <c r="AD50" i="11"/>
  <c r="AQ50" i="11"/>
  <c r="AQ50" i="9"/>
  <c r="AQ54" i="9"/>
  <c r="AQ60" i="9"/>
  <c r="AQ64" i="9"/>
  <c r="AQ72" i="9"/>
  <c r="AN81" i="9"/>
  <c r="AO84" i="9"/>
  <c r="AV84" i="9" s="1"/>
  <c r="AC84" i="9"/>
  <c r="AR85" i="9"/>
  <c r="AB85" i="9"/>
  <c r="AO88" i="9"/>
  <c r="AV88" i="9" s="1"/>
  <c r="AC88" i="9"/>
  <c r="AQ14" i="10"/>
  <c r="AR84" i="11"/>
  <c r="AR78" i="11"/>
  <c r="AR62" i="11"/>
  <c r="AR64" i="11"/>
  <c r="AR58" i="11"/>
  <c r="AR72" i="11"/>
  <c r="AR56" i="11"/>
  <c r="AR50" i="11"/>
  <c r="AR44" i="11"/>
  <c r="AR40" i="11"/>
  <c r="AR74" i="11"/>
  <c r="AR66" i="11"/>
  <c r="AR41" i="11"/>
  <c r="AR37" i="11"/>
  <c r="AR3" i="11"/>
  <c r="AR51" i="11"/>
  <c r="AR49" i="11"/>
  <c r="AR45" i="11"/>
  <c r="AR29" i="11"/>
  <c r="AR70" i="11"/>
  <c r="AR13" i="11"/>
  <c r="AR7" i="11"/>
  <c r="AO86" i="9"/>
  <c r="AC86" i="9"/>
  <c r="AH1" i="10"/>
  <c r="AH2" i="10" s="1"/>
  <c r="AN16" i="10"/>
  <c r="AN10" i="10"/>
  <c r="AN6" i="10"/>
  <c r="AO7" i="10"/>
  <c r="AV7" i="10" s="1"/>
  <c r="AC7" i="10"/>
  <c r="AR8" i="10"/>
  <c r="AB8" i="10"/>
  <c r="AN18" i="10"/>
  <c r="AN6" i="11"/>
  <c r="AT6" i="11"/>
  <c r="AJ6" i="11"/>
  <c r="AO45" i="11"/>
  <c r="AV45" i="11" s="1"/>
  <c r="AC45" i="11"/>
  <c r="AN45" i="11"/>
  <c r="AT45" i="11"/>
  <c r="AJ45" i="11"/>
  <c r="AT49" i="11"/>
  <c r="AJ49" i="11"/>
  <c r="AN49" i="11"/>
  <c r="AR53" i="11"/>
  <c r="AJ55" i="9"/>
  <c r="AT55" i="9"/>
  <c r="AB56" i="9"/>
  <c r="AJ61" i="9"/>
  <c r="AT61" i="9"/>
  <c r="AB62" i="9"/>
  <c r="AJ65" i="9"/>
  <c r="AT65" i="9"/>
  <c r="AB66" i="9"/>
  <c r="AJ69" i="9"/>
  <c r="AT69" i="9"/>
  <c r="AB70" i="9"/>
  <c r="AJ73" i="9"/>
  <c r="AT73" i="9"/>
  <c r="AB74" i="9"/>
  <c r="AB78" i="9"/>
  <c r="AQ86" i="9"/>
  <c r="AT86" i="9"/>
  <c r="AJ86" i="9"/>
  <c r="AO3" i="10"/>
  <c r="AO22" i="10"/>
  <c r="AQ7" i="10"/>
  <c r="AT7" i="10"/>
  <c r="AJ7" i="10"/>
  <c r="AN8" i="10"/>
  <c r="AO11" i="10"/>
  <c r="AV11" i="10" s="1"/>
  <c r="AC11" i="10"/>
  <c r="AR12" i="10"/>
  <c r="AB12" i="10"/>
  <c r="AN14" i="10"/>
  <c r="AC15" i="10"/>
  <c r="AO15" i="10"/>
  <c r="AV15" i="10" s="1"/>
  <c r="AQ16" i="10"/>
  <c r="AQ17" i="10"/>
  <c r="AQ19" i="10"/>
  <c r="AN19" i="10"/>
  <c r="AT19" i="10"/>
  <c r="AJ19" i="10"/>
  <c r="AQ23" i="10"/>
  <c r="AN23" i="10"/>
  <c r="AT23" i="10"/>
  <c r="AJ23" i="10"/>
  <c r="AV77" i="11"/>
  <c r="AR9" i="11"/>
  <c r="AC12" i="11"/>
  <c r="AO12" i="11"/>
  <c r="AV12" i="11" s="1"/>
  <c r="AN13" i="11"/>
  <c r="AJ13" i="11"/>
  <c r="AD22" i="11"/>
  <c r="AQ22" i="11"/>
  <c r="AN51" i="11"/>
  <c r="AT51" i="11"/>
  <c r="AJ51" i="11"/>
  <c r="AJ42" i="9"/>
  <c r="AJ46" i="9"/>
  <c r="AJ56" i="9"/>
  <c r="AJ62" i="9"/>
  <c r="AJ66" i="9"/>
  <c r="AJ70" i="9"/>
  <c r="AJ74" i="9"/>
  <c r="AJ78" i="9"/>
  <c r="AR83" i="9"/>
  <c r="AB83" i="9"/>
  <c r="AQ85" i="9"/>
  <c r="AN86" i="9"/>
  <c r="AJ24" i="10"/>
  <c r="AJ20" i="10"/>
  <c r="AJ14" i="10"/>
  <c r="AJ16" i="10"/>
  <c r="AJ10" i="10"/>
  <c r="AN7" i="10"/>
  <c r="AJ8" i="10"/>
  <c r="AQ11" i="10"/>
  <c r="AN12" i="10"/>
  <c r="AQ15" i="10"/>
  <c r="AN17" i="10"/>
  <c r="AQ20" i="10"/>
  <c r="AN22" i="10"/>
  <c r="AQ24" i="10"/>
  <c r="AR6" i="11"/>
  <c r="AQ7" i="11"/>
  <c r="AC27" i="11"/>
  <c r="AO27" i="11"/>
  <c r="AV27" i="11" s="1"/>
  <c r="AV44" i="11"/>
  <c r="AQ12" i="10"/>
  <c r="AN15" i="10"/>
  <c r="AQ18" i="10"/>
  <c r="AQ22" i="10"/>
  <c r="AP67" i="11"/>
  <c r="AP63" i="11"/>
  <c r="AP78" i="11"/>
  <c r="AP70" i="11"/>
  <c r="AP66" i="11"/>
  <c r="AP81" i="11"/>
  <c r="AP77" i="11"/>
  <c r="AP69" i="11"/>
  <c r="AP61" i="11"/>
  <c r="AP55" i="11"/>
  <c r="AP44" i="11"/>
  <c r="AP40" i="11"/>
  <c r="AP49" i="11"/>
  <c r="AP48" i="11"/>
  <c r="AV48" i="11" s="1"/>
  <c r="AP32" i="11"/>
  <c r="AP20" i="11"/>
  <c r="AP42" i="11"/>
  <c r="AP34" i="11"/>
  <c r="AV34" i="11" s="1"/>
  <c r="AP18" i="11"/>
  <c r="AT9" i="11"/>
  <c r="AD10" i="11"/>
  <c r="AP10" i="11"/>
  <c r="AQ18" i="11"/>
  <c r="AO20" i="11"/>
  <c r="AR22" i="11"/>
  <c r="AB22" i="11"/>
  <c r="AN22" i="11"/>
  <c r="AC23" i="11"/>
  <c r="AO23" i="11"/>
  <c r="AV23" i="11" s="1"/>
  <c r="AU27" i="11"/>
  <c r="AT29" i="11"/>
  <c r="AJ29" i="11"/>
  <c r="AP31" i="11"/>
  <c r="AC35" i="11"/>
  <c r="AO35" i="11"/>
  <c r="AR38" i="11"/>
  <c r="AB38" i="11"/>
  <c r="AN38" i="11"/>
  <c r="AQ40" i="11"/>
  <c r="AR42" i="11"/>
  <c r="AB42" i="11"/>
  <c r="AN42" i="11"/>
  <c r="AQ47" i="11"/>
  <c r="AN47" i="11"/>
  <c r="AQ48" i="11"/>
  <c r="AN48" i="11"/>
  <c r="AO61" i="11"/>
  <c r="AR75" i="11"/>
  <c r="AJ11" i="10"/>
  <c r="AD16" i="10"/>
  <c r="AC17" i="10"/>
  <c r="AJ17" i="10"/>
  <c r="AB18" i="10"/>
  <c r="AB22" i="10"/>
  <c r="AQ67" i="11"/>
  <c r="AQ61" i="11"/>
  <c r="AQ53" i="11"/>
  <c r="AQ75" i="11"/>
  <c r="AJ83" i="11"/>
  <c r="AJ85" i="11"/>
  <c r="AJ81" i="11"/>
  <c r="AJ77" i="11"/>
  <c r="AJ47" i="11"/>
  <c r="AJ35" i="11"/>
  <c r="AJ31" i="11"/>
  <c r="AJ27" i="11"/>
  <c r="AJ23" i="11"/>
  <c r="AJ19" i="11"/>
  <c r="AJ15" i="11"/>
  <c r="AJ11" i="11"/>
  <c r="AJ75" i="11"/>
  <c r="AJ67" i="11"/>
  <c r="AJ63" i="11"/>
  <c r="AJ61" i="11"/>
  <c r="AJ55" i="11"/>
  <c r="AJ79" i="11"/>
  <c r="AJ71" i="11"/>
  <c r="AJ69" i="11"/>
  <c r="AJ56" i="11"/>
  <c r="AJ53" i="11"/>
  <c r="AB9" i="11"/>
  <c r="AJ9" i="11"/>
  <c r="AD11" i="11"/>
  <c r="AR12" i="11"/>
  <c r="AB12" i="11"/>
  <c r="AQ13" i="11"/>
  <c r="AQ15" i="11"/>
  <c r="AQ16" i="11"/>
  <c r="AQ23" i="11"/>
  <c r="AN23" i="11"/>
  <c r="AQ24" i="11"/>
  <c r="AR27" i="11"/>
  <c r="AR28" i="11"/>
  <c r="AB28" i="11"/>
  <c r="AN29" i="11"/>
  <c r="AO32" i="11"/>
  <c r="AR34" i="11"/>
  <c r="AB34" i="11"/>
  <c r="AN34" i="11"/>
  <c r="AQ35" i="11"/>
  <c r="AN35" i="11"/>
  <c r="AO42" i="11"/>
  <c r="AP47" i="11"/>
  <c r="AJ48" i="11"/>
  <c r="AQ49" i="11"/>
  <c r="AQ55" i="11"/>
  <c r="AN63" i="11"/>
  <c r="AR67" i="11"/>
  <c r="AC13" i="10"/>
  <c r="AB14" i="10"/>
  <c r="AC19" i="10"/>
  <c r="AB20" i="10"/>
  <c r="AC23" i="10"/>
  <c r="AB24" i="10"/>
  <c r="AU83" i="11"/>
  <c r="AU72" i="11"/>
  <c r="AU64" i="11"/>
  <c r="AU79" i="11"/>
  <c r="AU75" i="11"/>
  <c r="AU71" i="11"/>
  <c r="AU67" i="11"/>
  <c r="AU63" i="11"/>
  <c r="AU59" i="11"/>
  <c r="AU85" i="11"/>
  <c r="AU81" i="11"/>
  <c r="AU77" i="11"/>
  <c r="AU69" i="11"/>
  <c r="AU61" i="11"/>
  <c r="AU57" i="11"/>
  <c r="AU53" i="11"/>
  <c r="AU84" i="11"/>
  <c r="AU58" i="11"/>
  <c r="AU56" i="11"/>
  <c r="AU46" i="11"/>
  <c r="AU42" i="11"/>
  <c r="AU38" i="11"/>
  <c r="AU34" i="11"/>
  <c r="AU22" i="11"/>
  <c r="AU18" i="11"/>
  <c r="AU10" i="11"/>
  <c r="AU51" i="11"/>
  <c r="AU45" i="11"/>
  <c r="AU41" i="11"/>
  <c r="AU37" i="11"/>
  <c r="AU9" i="11"/>
  <c r="AU78" i="11"/>
  <c r="AU70" i="11"/>
  <c r="AU50" i="11"/>
  <c r="AU44" i="11"/>
  <c r="AU40" i="11"/>
  <c r="AU74" i="11"/>
  <c r="AU66" i="11"/>
  <c r="AU48" i="11"/>
  <c r="AU32" i="11"/>
  <c r="AU28" i="11"/>
  <c r="AU24" i="11"/>
  <c r="AU20" i="11"/>
  <c r="AU16" i="11"/>
  <c r="AU62" i="11"/>
  <c r="AU55" i="11"/>
  <c r="AP3" i="11"/>
  <c r="AC6" i="11"/>
  <c r="AB7" i="11"/>
  <c r="AP9" i="11"/>
  <c r="AV9" i="11" s="1"/>
  <c r="AQ12" i="11"/>
  <c r="AU12" i="11"/>
  <c r="AU13" i="11"/>
  <c r="AU15" i="11"/>
  <c r="AC19" i="11"/>
  <c r="AO19" i="11"/>
  <c r="AV19" i="11" s="1"/>
  <c r="AQ25" i="11"/>
  <c r="AU25" i="11"/>
  <c r="AQ27" i="11"/>
  <c r="AN27" i="11"/>
  <c r="AQ28" i="11"/>
  <c r="AR31" i="11"/>
  <c r="AR32" i="11"/>
  <c r="AB32" i="11"/>
  <c r="AQ34" i="11"/>
  <c r="AO37" i="11"/>
  <c r="AC37" i="11"/>
  <c r="AN37" i="11"/>
  <c r="AT37" i="11"/>
  <c r="AJ37" i="11"/>
  <c r="AO40" i="11"/>
  <c r="AV40" i="11" s="1"/>
  <c r="AO41" i="11"/>
  <c r="AV41" i="11" s="1"/>
  <c r="AC41" i="11"/>
  <c r="AN41" i="11"/>
  <c r="AT41" i="11"/>
  <c r="AJ41" i="11"/>
  <c r="AU47" i="11"/>
  <c r="AJ50" i="11"/>
  <c r="AD59" i="11"/>
  <c r="AQ59" i="11"/>
  <c r="AJ59" i="11"/>
  <c r="AN10" i="11"/>
  <c r="AT10" i="11"/>
  <c r="AJ10" i="11"/>
  <c r="AR11" i="11"/>
  <c r="AV11" i="11" s="1"/>
  <c r="AB11" i="11"/>
  <c r="AJ12" i="11"/>
  <c r="AR18" i="11"/>
  <c r="AB18" i="11"/>
  <c r="AQ19" i="11"/>
  <c r="AQ20" i="11"/>
  <c r="AU23" i="11"/>
  <c r="AT25" i="11"/>
  <c r="AJ25" i="11"/>
  <c r="AJ28" i="11"/>
  <c r="AC31" i="11"/>
  <c r="AO31" i="11"/>
  <c r="AU35" i="11"/>
  <c r="AP37" i="11"/>
  <c r="AP41" i="11"/>
  <c r="AJ44" i="11"/>
  <c r="AR47" i="11"/>
  <c r="AR48" i="11"/>
  <c r="AB48" i="11"/>
  <c r="AN57" i="11"/>
  <c r="AJ57" i="11"/>
  <c r="AQ62" i="11"/>
  <c r="AT62" i="11"/>
  <c r="AJ62" i="11"/>
  <c r="AN62" i="11"/>
  <c r="AP72" i="11"/>
  <c r="AQ77" i="11"/>
  <c r="AN18" i="12"/>
  <c r="AT18" i="12"/>
  <c r="AJ18" i="12"/>
  <c r="AJ15" i="10"/>
  <c r="AO67" i="11"/>
  <c r="AO63" i="11"/>
  <c r="AO81" i="11"/>
  <c r="AO55" i="11"/>
  <c r="AO49" i="11"/>
  <c r="AO69" i="11"/>
  <c r="AN59" i="11"/>
  <c r="AN85" i="11"/>
  <c r="AN81" i="11"/>
  <c r="AN84" i="11"/>
  <c r="AN66" i="11"/>
  <c r="AN50" i="11"/>
  <c r="AN44" i="11"/>
  <c r="AN40" i="11"/>
  <c r="AN32" i="11"/>
  <c r="AN28" i="11"/>
  <c r="AN24" i="11"/>
  <c r="AN20" i="11"/>
  <c r="AN16" i="11"/>
  <c r="AU7" i="11"/>
  <c r="AO10" i="11"/>
  <c r="AU11" i="11"/>
  <c r="AN12" i="11"/>
  <c r="AO15" i="11"/>
  <c r="AV15" i="11" s="1"/>
  <c r="AR16" i="11"/>
  <c r="AB16" i="11"/>
  <c r="AO18" i="11"/>
  <c r="AP19" i="11"/>
  <c r="AJ20" i="11"/>
  <c r="AR23" i="11"/>
  <c r="AR24" i="11"/>
  <c r="AB24" i="11"/>
  <c r="AN25" i="11"/>
  <c r="AQ29" i="11"/>
  <c r="AU29" i="11"/>
  <c r="AQ31" i="11"/>
  <c r="AN31" i="11"/>
  <c r="AQ32" i="11"/>
  <c r="AR35" i="11"/>
  <c r="AJ40" i="11"/>
  <c r="AQ44" i="11"/>
  <c r="AR46" i="11"/>
  <c r="AB46" i="11"/>
  <c r="AN46" i="11"/>
  <c r="AC47" i="11"/>
  <c r="AO47" i="11"/>
  <c r="AV47" i="11" s="1"/>
  <c r="AU49" i="11"/>
  <c r="AD57" i="11"/>
  <c r="AQ57" i="11"/>
  <c r="AQ58" i="11"/>
  <c r="AQ64" i="11"/>
  <c r="AN64" i="11"/>
  <c r="AT64" i="11"/>
  <c r="AJ64" i="11"/>
  <c r="AT58" i="11"/>
  <c r="AJ58" i="11"/>
  <c r="AR59" i="11"/>
  <c r="AB59" i="11"/>
  <c r="AN61" i="11"/>
  <c r="AQ69" i="11"/>
  <c r="AQ70" i="11"/>
  <c r="AT70" i="11"/>
  <c r="AJ70" i="11"/>
  <c r="AO72" i="11"/>
  <c r="AC72" i="11"/>
  <c r="AR77" i="11"/>
  <c r="AB77" i="11"/>
  <c r="AO78" i="11"/>
  <c r="AU8" i="13"/>
  <c r="AU3" i="13"/>
  <c r="AU7" i="13"/>
  <c r="AU6" i="13"/>
  <c r="AQ37" i="11"/>
  <c r="AQ41" i="11"/>
  <c r="AQ45" i="11"/>
  <c r="AQ51" i="11"/>
  <c r="AN56" i="11"/>
  <c r="AR57" i="11"/>
  <c r="AN58" i="11"/>
  <c r="AO62" i="11"/>
  <c r="AV62" i="11" s="1"/>
  <c r="AC62" i="11"/>
  <c r="AR63" i="11"/>
  <c r="AO64" i="11"/>
  <c r="AV64" i="11" s="1"/>
  <c r="AC64" i="11"/>
  <c r="AN70" i="11"/>
  <c r="AQ72" i="11"/>
  <c r="AN72" i="11"/>
  <c r="AT72" i="11"/>
  <c r="AJ72" i="11"/>
  <c r="AN77" i="11"/>
  <c r="AQ78" i="11"/>
  <c r="AR81" i="11"/>
  <c r="AB81" i="11"/>
  <c r="AQ83" i="11"/>
  <c r="AR85" i="11"/>
  <c r="AB85" i="11"/>
  <c r="AR7" i="12"/>
  <c r="AB7" i="12"/>
  <c r="AR15" i="12"/>
  <c r="AB15" i="12"/>
  <c r="AC51" i="11"/>
  <c r="AO56" i="11"/>
  <c r="AV56" i="11" s="1"/>
  <c r="AO66" i="11"/>
  <c r="AN67" i="11"/>
  <c r="AQ71" i="11"/>
  <c r="AQ74" i="11"/>
  <c r="AT74" i="11"/>
  <c r="AJ74" i="11"/>
  <c r="AN75" i="11"/>
  <c r="AQ81" i="11"/>
  <c r="AR83" i="11"/>
  <c r="AQ85" i="11"/>
  <c r="AC6" i="12"/>
  <c r="AO6" i="12"/>
  <c r="AV6" i="12" s="1"/>
  <c r="AR11" i="12"/>
  <c r="AB11" i="12"/>
  <c r="AC14" i="12"/>
  <c r="AO14" i="12"/>
  <c r="AV16" i="12"/>
  <c r="AQ8" i="13"/>
  <c r="AN6" i="14"/>
  <c r="AT6" i="14"/>
  <c r="AJ6" i="14"/>
  <c r="AJ18" i="11"/>
  <c r="AT18" i="11"/>
  <c r="AB19" i="11"/>
  <c r="AJ22" i="11"/>
  <c r="AT22" i="11"/>
  <c r="AB23" i="11"/>
  <c r="AB27" i="11"/>
  <c r="AB31" i="11"/>
  <c r="AJ34" i="11"/>
  <c r="AT34" i="11"/>
  <c r="AB35" i="11"/>
  <c r="AJ38" i="11"/>
  <c r="AT38" i="11"/>
  <c r="AJ42" i="11"/>
  <c r="AT42" i="11"/>
  <c r="AJ46" i="11"/>
  <c r="AT46" i="11"/>
  <c r="AB47" i="11"/>
  <c r="AR55" i="11"/>
  <c r="AB55" i="11"/>
  <c r="AQ56" i="11"/>
  <c r="AQ63" i="11"/>
  <c r="AQ66" i="11"/>
  <c r="AT66" i="11"/>
  <c r="AJ66" i="11"/>
  <c r="AR69" i="11"/>
  <c r="AB69" i="11"/>
  <c r="AR71" i="11"/>
  <c r="AN74" i="11"/>
  <c r="AR79" i="11"/>
  <c r="AN83" i="11"/>
  <c r="AC84" i="11"/>
  <c r="AO84" i="11"/>
  <c r="AV84" i="11" s="1"/>
  <c r="AN7" i="13"/>
  <c r="AT7" i="13"/>
  <c r="AV7" i="13" s="1"/>
  <c r="AJ7" i="13"/>
  <c r="AN53" i="11"/>
  <c r="AT53" i="11"/>
  <c r="AO58" i="11"/>
  <c r="AV58" i="11" s="1"/>
  <c r="AC58" i="11"/>
  <c r="AR61" i="11"/>
  <c r="AB61" i="11"/>
  <c r="AN69" i="11"/>
  <c r="AO70" i="11"/>
  <c r="AN71" i="11"/>
  <c r="AN79" i="11"/>
  <c r="AQ84" i="11"/>
  <c r="AP17" i="12"/>
  <c r="AV17" i="12" s="1"/>
  <c r="AP3" i="12"/>
  <c r="AP16" i="12"/>
  <c r="AP12" i="12"/>
  <c r="AP8" i="12"/>
  <c r="AV8" i="12" s="1"/>
  <c r="AP15" i="12"/>
  <c r="AP11" i="12"/>
  <c r="AV11" i="12" s="1"/>
  <c r="AP7" i="12"/>
  <c r="AP6" i="12"/>
  <c r="AC10" i="12"/>
  <c r="AO10" i="12"/>
  <c r="AV10" i="12" s="1"/>
  <c r="AV12" i="12"/>
  <c r="AP14" i="12"/>
  <c r="AV6" i="13"/>
  <c r="AR6" i="14"/>
  <c r="AQ79" i="11"/>
  <c r="AR16" i="12"/>
  <c r="AQ17" i="12"/>
  <c r="AQ6" i="13"/>
  <c r="AB63" i="11"/>
  <c r="AC66" i="11"/>
  <c r="AB67" i="11"/>
  <c r="AD69" i="11"/>
  <c r="AC70" i="11"/>
  <c r="AB71" i="11"/>
  <c r="AC74" i="11"/>
  <c r="AB75" i="11"/>
  <c r="AD77" i="11"/>
  <c r="AC78" i="11"/>
  <c r="AJ78" i="11"/>
  <c r="AB79" i="11"/>
  <c r="AD81" i="11"/>
  <c r="AD85" i="11"/>
  <c r="AR3" i="12"/>
  <c r="AD7" i="12"/>
  <c r="AN7" i="12"/>
  <c r="AU7" i="12"/>
  <c r="AC8" i="12"/>
  <c r="AJ8" i="12"/>
  <c r="AN11" i="12"/>
  <c r="AU11" i="12"/>
  <c r="AJ12" i="12"/>
  <c r="AU15" i="12"/>
  <c r="AV15" i="12" s="1"/>
  <c r="AJ16" i="12"/>
  <c r="AQ18" i="12"/>
  <c r="AR6" i="13"/>
  <c r="AQ7" i="13"/>
  <c r="AP8" i="13"/>
  <c r="AQ6" i="14"/>
  <c r="AB83" i="11"/>
  <c r="AU17" i="12"/>
  <c r="AC18" i="12"/>
  <c r="AC7" i="13"/>
  <c r="AB8" i="13"/>
  <c r="AH1" i="14"/>
  <c r="AH2" i="14" s="1"/>
  <c r="AC6" i="14"/>
  <c r="AB6" i="12"/>
  <c r="AB10" i="12"/>
  <c r="AB14" i="12"/>
  <c r="AJ8" i="13"/>
  <c r="AT8" i="13"/>
  <c r="AV8" i="13" s="1"/>
  <c r="AJ84" i="11"/>
  <c r="AJ6" i="12"/>
  <c r="AJ10" i="12"/>
  <c r="AJ14" i="12"/>
  <c r="AV61" i="1" l="1"/>
  <c r="AV105" i="1"/>
  <c r="AV150" i="1"/>
  <c r="AV201" i="1"/>
  <c r="AV195" i="1"/>
  <c r="AV197" i="1"/>
  <c r="AV34" i="9"/>
  <c r="AV14" i="12"/>
  <c r="AV72" i="11"/>
  <c r="AV55" i="11"/>
  <c r="AV31" i="11"/>
  <c r="AV65" i="9"/>
  <c r="AV78" i="9"/>
  <c r="AV19" i="9"/>
  <c r="AV70" i="9"/>
  <c r="AV32" i="8"/>
  <c r="AV10" i="9"/>
  <c r="AV26" i="7"/>
  <c r="AV19" i="8"/>
  <c r="AV14" i="9"/>
  <c r="AV20" i="9"/>
  <c r="AV52" i="9"/>
  <c r="AV35" i="9"/>
  <c r="AV12" i="6"/>
  <c r="AV18" i="11"/>
  <c r="AV10" i="11"/>
  <c r="AV81" i="11"/>
  <c r="AV37" i="11"/>
  <c r="AV42" i="11"/>
  <c r="AV32" i="11"/>
  <c r="AV20" i="11"/>
  <c r="AV55" i="9"/>
  <c r="AV54" i="9"/>
  <c r="AV22" i="9"/>
  <c r="AV35" i="8"/>
  <c r="AV20" i="7"/>
  <c r="AV57" i="9"/>
  <c r="AV24" i="9"/>
  <c r="AV58" i="9"/>
  <c r="AV39" i="8"/>
  <c r="AV49" i="11"/>
  <c r="AV38" i="9"/>
  <c r="AV63" i="11"/>
  <c r="AV61" i="11"/>
  <c r="AV35" i="11"/>
  <c r="AV27" i="9"/>
  <c r="AV33" i="9"/>
  <c r="AV34" i="8"/>
  <c r="AV18" i="8"/>
  <c r="AV7" i="7"/>
  <c r="AV22" i="7"/>
  <c r="AV37" i="9"/>
  <c r="AV32" i="9"/>
  <c r="AV80" i="9"/>
  <c r="AV19" i="6"/>
  <c r="AV78" i="11"/>
  <c r="AV70" i="11"/>
  <c r="AV66" i="11"/>
  <c r="AV67" i="11"/>
  <c r="AV22" i="10"/>
  <c r="AV69" i="9"/>
  <c r="AV61" i="9"/>
  <c r="AV41" i="9"/>
  <c r="AV64" i="9"/>
  <c r="AV13" i="9"/>
  <c r="AV36" i="8"/>
  <c r="AV17" i="9"/>
  <c r="AV25" i="9"/>
  <c r="AV26" i="8"/>
  <c r="AV24" i="8"/>
  <c r="AV18" i="9"/>
  <c r="AV39" i="9"/>
  <c r="AV67" i="9"/>
  <c r="AV81" i="9"/>
  <c r="AV7" i="12"/>
  <c r="AV69" i="11"/>
  <c r="AV86" i="9"/>
  <c r="AV31" i="8"/>
  <c r="AV21" i="9"/>
  <c r="AV10" i="8"/>
  <c r="AV15" i="7"/>
  <c r="AV45" i="8"/>
  <c r="AV11" i="6"/>
  <c r="AV79" i="9"/>
  <c r="AV83" i="9"/>
  <c r="AV53" i="9"/>
  <c r="AV27" i="8"/>
  <c r="AV13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<sst xmlns="http://schemas.openxmlformats.org/spreadsheetml/2006/main" count="9961" uniqueCount="1387">
  <si>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</si>
  <si>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</si>
  <si>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</si>
  <si>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</si>
  <si>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</si>
  <si>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</si>
  <si>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</si>
  <si>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</si>
  <si>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</si>
  <si>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</si>
  <si>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</si>
  <si>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</si>
  <si>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</si>
  <si>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</si>
  <si>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</si>
  <si>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</si>
  <si>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</si>
  <si>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</si>
  <si>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</si>
  <si>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</si>
  <si>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</si>
  <si>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</si>
  <si>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</si>
  <si>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</si>
  <si>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</si>
  <si>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</si>
  <si>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</si>
  <si>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</si>
  <si>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</si>
  <si>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</si>
  <si>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</si>
  <si>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</si>
  <si>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</si>
  <si>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</si>
  <si>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</si>
  <si>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</si>
  <si>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</si>
  <si>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</si>
  <si>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</si>
  <si>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</si>
  <si>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</si>
  <si>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</si>
  <si>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</si>
  <si>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</si>
  <si>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</si>
  <si>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</si>
  <si>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</si>
  <si>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</si>
  <si>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</si>
  <si>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</si>
  <si>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</si>
  <si>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</si>
  <si>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</si>
  <si>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</si>
  <si>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</si>
  <si>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</si>
  <si>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</si>
  <si>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</si>
  <si>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</si>
  <si>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5</t>
  </si>
  <si>
    <t>9</t>
  </si>
  <si>
    <t>계</t>
  </si>
  <si>
    <t>A+</t>
  </si>
  <si>
    <t>B+</t>
  </si>
  <si>
    <t>11</t>
  </si>
  <si>
    <t>10</t>
  </si>
  <si>
    <t>8</t>
  </si>
  <si>
    <t>12</t>
  </si>
  <si>
    <t>중</t>
  </si>
  <si>
    <t>7</t>
  </si>
  <si>
    <t>고</t>
  </si>
  <si>
    <t>115A</t>
  </si>
  <si>
    <t>83A</t>
  </si>
  <si>
    <t>6</t>
  </si>
  <si>
    <t>86A</t>
  </si>
  <si>
    <t>86B</t>
  </si>
  <si>
    <t>113A</t>
  </si>
  <si>
    <t>15</t>
  </si>
  <si>
    <t>114B</t>
  </si>
  <si>
    <t>13</t>
  </si>
  <si>
    <t>14</t>
  </si>
  <si>
    <t>106A</t>
  </si>
  <si>
    <t>116A</t>
  </si>
  <si>
    <t>84A</t>
  </si>
  <si>
    <t>94A</t>
  </si>
  <si>
    <t>복</t>
  </si>
  <si>
    <t>18</t>
  </si>
  <si>
    <t>112A</t>
  </si>
  <si>
    <t>112C</t>
  </si>
  <si>
    <t>21</t>
  </si>
  <si>
    <t>109A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</si>
  <si>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</si>
  <si>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</si>
  <si>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</si>
  <si>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</si>
  <si>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</si>
  <si>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</si>
  <si>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</si>
  <si>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</si>
  <si>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</si>
  <si>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</si>
  <si>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17</t>
  </si>
  <si>
    <t>31</t>
  </si>
  <si>
    <t>120A</t>
  </si>
  <si>
    <t>24</t>
  </si>
  <si>
    <t>108A</t>
  </si>
  <si>
    <t>16</t>
  </si>
  <si>
    <t>110A</t>
  </si>
  <si>
    <t>100B</t>
  </si>
  <si>
    <t>111A</t>
  </si>
  <si>
    <t>85A</t>
  </si>
  <si>
    <t>94B</t>
  </si>
  <si>
    <t>78A</t>
  </si>
  <si>
    <t>67A</t>
  </si>
  <si>
    <t>112B</t>
  </si>
  <si>
    <t>99B</t>
  </si>
  <si>
    <t>51A</t>
  </si>
  <si>
    <t>189B</t>
  </si>
  <si>
    <t>88B</t>
  </si>
  <si>
    <t>115B</t>
  </si>
  <si>
    <t>152A</t>
  </si>
  <si>
    <t>27A</t>
  </si>
  <si>
    <t>79A</t>
  </si>
  <si>
    <t>99A</t>
  </si>
  <si>
    <t>105B</t>
  </si>
  <si>
    <t>59B</t>
  </si>
  <si>
    <t>동1</t>
  </si>
  <si>
    <t>주성동</t>
  </si>
  <si>
    <t>오창읍</t>
  </si>
  <si>
    <t>율량동</t>
  </si>
  <si>
    <t>내덕동</t>
  </si>
  <si>
    <t>동2</t>
  </si>
  <si>
    <t>동3</t>
  </si>
  <si>
    <t>전체</t>
  </si>
  <si>
    <t>~</t>
  </si>
  <si>
    <t>대원칸타빌3차(33평/5.2)</t>
  </si>
  <si>
    <t>율량서희스타힐스(30평/3.9)</t>
  </si>
  <si>
    <t>신화(34평/1.7)</t>
  </si>
  <si>
    <t>신화(29평/1.4)</t>
  </si>
  <si>
    <t>대원칸타빌3차('15/5.2)</t>
  </si>
  <si>
    <t>율량서희스타힐스('16/3.9)</t>
  </si>
  <si>
    <t>오창이안('06/2.7)</t>
  </si>
  <si>
    <t>신화('90/1.7)</t>
  </si>
  <si>
    <t>20평대(방3)</t>
  </si>
  <si>
    <t>오창롯데캐슬더하이스트('18/3.7)</t>
  </si>
  <si>
    <t>오창모아미래도와이드파크(3블럭)('16/2.9)</t>
  </si>
  <si>
    <t>신화('90/1.4)</t>
  </si>
  <si>
    <t>20평대(방2)</t>
  </si>
  <si>
    <t>동 이름 :</t>
  </si>
  <si>
    <t>KB 평면도입력</t>
  </si>
  <si>
    <t>[내덕동]</t>
  </si>
  <si>
    <t>삼덕</t>
  </si>
  <si>
    <t>1991.05.</t>
  </si>
  <si>
    <t>계단식</t>
  </si>
  <si>
    <t>https://new.land.naver.com/complexes/139028?tab=detail&amp;rf=Y</t>
  </si>
  <si>
    <t>충청북도 청주시 청원구 내덕동 60-17</t>
  </si>
  <si>
    <t>충청북도</t>
  </si>
  <si>
    <t>청주시</t>
  </si>
  <si>
    <t>청원구</t>
  </si>
  <si>
    <t>충청북도 청주시 청원구 덕벌로23번길 12-1</t>
  </si>
  <si>
    <t>대진</t>
  </si>
  <si>
    <t>1985.05.</t>
  </si>
  <si>
    <t>https://new.land.naver.com/complexes/124127?tab=detail&amp;rf=Y</t>
  </si>
  <si>
    <t>충청북도 청주시 청원구 내덕동 519</t>
  </si>
  <si>
    <t>충청북도 청주시 청원구 1순환로211번길 10</t>
  </si>
  <si>
    <t>이랜드해가든</t>
  </si>
  <si>
    <t>2009.05.</t>
  </si>
  <si>
    <t>https://new.land.naver.com/complexes/27823?tab=detail&amp;rf=Y</t>
  </si>
  <si>
    <t>충청북도 청주시 청원구 내덕동 516-2</t>
  </si>
  <si>
    <t>충청북도 청주시 청원구 공항로84번길 30</t>
  </si>
  <si>
    <t>진흥</t>
  </si>
  <si>
    <t>1987.12.</t>
  </si>
  <si>
    <t>46A</t>
  </si>
  <si>
    <t>https://new.land.naver.com/complexes/122176?tab=detail&amp;rf=Y</t>
  </si>
  <si>
    <t>충청북도 청주시 청원구 내덕동 138-14</t>
  </si>
  <si>
    <t>충청북도 청주시 청원구 안덕벌로19번길 85-1</t>
  </si>
  <si>
    <t>47B</t>
  </si>
  <si>
    <t>53B</t>
  </si>
  <si>
    <t>54A</t>
  </si>
  <si>
    <t>신라</t>
  </si>
  <si>
    <t>1988.12.</t>
  </si>
  <si>
    <t>https://new.land.naver.com/complexes/15393?tab=detail&amp;rf=Y</t>
  </si>
  <si>
    <t>충청북도 청주시 청원구 내덕동 422</t>
  </si>
  <si>
    <t>충청북도 청주시 청원구 1순환로197번길 31</t>
  </si>
  <si>
    <t>복도식</t>
  </si>
  <si>
    <t>형제</t>
  </si>
  <si>
    <t>1991.12.</t>
  </si>
  <si>
    <t>https://new.land.naver.com/complexes/113545?tab=detail&amp;rf=Y</t>
  </si>
  <si>
    <t>충청북도 청주시 청원구 내덕동 495</t>
  </si>
  <si>
    <t>충청북도 청주시 청원구 충청대로71번길 10</t>
  </si>
  <si>
    <t>90B</t>
  </si>
  <si>
    <t>삼일</t>
  </si>
  <si>
    <t>1989.11.</t>
  </si>
  <si>
    <t>https://new.land.naver.com/complexes/7015?tab=detail&amp;rf=Y</t>
  </si>
  <si>
    <t>충청북도 청주시 청원구 내덕동 697-1</t>
  </si>
  <si>
    <t>충청북도 청주시 청원구 1순환로341번길 50</t>
  </si>
  <si>
    <t>보성3차</t>
  </si>
  <si>
    <t>1987.11.</t>
  </si>
  <si>
    <t>https://new.land.naver.com/complexes/14100?tab=detail&amp;rf=Y</t>
  </si>
  <si>
    <t>충청북도 청주시 청원구 내덕동 748-8</t>
  </si>
  <si>
    <t>충청북도 청주시 청원구 무심동로660번길 23</t>
  </si>
  <si>
    <t>율량서희스타힐스</t>
  </si>
  <si>
    <t>2016.06.</t>
  </si>
  <si>
    <t>https://new.land.naver.com/complexes/108375?tab=detail&amp;rf=Y</t>
  </si>
  <si>
    <t>충청북도 청주시 청원구 내덕동 853</t>
  </si>
  <si>
    <t>충청북도 청주시 청원구 충청대로84번길 30</t>
  </si>
  <si>
    <t>우성</t>
  </si>
  <si>
    <t>1984.12.</t>
  </si>
  <si>
    <t>https://new.land.naver.com/complexes/105755?tab=detail&amp;rf=Y</t>
  </si>
  <si>
    <t>충청북도 청주시 청원구 내덕동 683-10</t>
  </si>
  <si>
    <t>충청북도 청주시 청원구 향군로141번길 21</t>
  </si>
  <si>
    <t>신화</t>
  </si>
  <si>
    <t>1990.10.</t>
  </si>
  <si>
    <t>https://new.land.naver.com/complexes/7018?tab=detail&amp;rf=Y</t>
  </si>
  <si>
    <t>충청북도 청주시 청원구 내덕동 520</t>
  </si>
  <si>
    <t>충청북도 청주시 청원구 1순환로211번길 11</t>
  </si>
  <si>
    <t>보성1차</t>
  </si>
  <si>
    <t>1985.10.</t>
  </si>
  <si>
    <t>https://new.land.naver.com/complexes/15389?tab=detail&amp;rf=Y</t>
  </si>
  <si>
    <t>충청북도 청주시 청원구 내덕동 771</t>
  </si>
  <si>
    <t>청주힐즈파크푸르지오</t>
  </si>
  <si>
    <t>2020.11.</t>
  </si>
  <si>
    <t>98A</t>
  </si>
  <si>
    <t>https://new.land.naver.com/complexes/121709?tab=detail&amp;rf=Y</t>
  </si>
  <si>
    <t>충청북도 청주시 청원구 내덕동 857</t>
  </si>
  <si>
    <t>충청북도 청주시 청원구 1순환로 123</t>
  </si>
  <si>
    <t>110B</t>
  </si>
  <si>
    <t>110D</t>
  </si>
  <si>
    <t>111C</t>
  </si>
  <si>
    <t>금성계전</t>
  </si>
  <si>
    <t>1979.12.</t>
  </si>
  <si>
    <t>60A</t>
  </si>
  <si>
    <t>https://new.land.naver.com/complexes/123412?tab=detail&amp;rf=Y</t>
  </si>
  <si>
    <t>충청북도 청주시 청원구 내덕동 412-1</t>
  </si>
  <si>
    <t>충청북도 청주시 청원구 충청대로 60</t>
  </si>
  <si>
    <t>60B</t>
  </si>
  <si>
    <t>내덕상가</t>
  </si>
  <si>
    <t>1986.07.</t>
  </si>
  <si>
    <t>https://new.land.naver.com/complexes/17230?tab=detail&amp;rf=Y</t>
  </si>
  <si>
    <t>충청북도 청주시 청원구 내덕동 175-1</t>
  </si>
  <si>
    <t>충청북도 청주시 청원구 공항로 9</t>
  </si>
  <si>
    <t>늘봄</t>
  </si>
  <si>
    <t>1985.02.</t>
  </si>
  <si>
    <t>https://new.land.naver.com/complexes/131583?tab=detail&amp;rf=Y</t>
  </si>
  <si>
    <t>충청북도 청주시 청원구 내덕동 649-6</t>
  </si>
  <si>
    <t>충청북도 청주시 청원구 향군로136번길 18</t>
  </si>
  <si>
    <t>한마음</t>
  </si>
  <si>
    <t>1992.08.</t>
  </si>
  <si>
    <t>https://new.land.naver.com/complexes/135924?tab=detail&amp;rf=Y</t>
  </si>
  <si>
    <t>충청북도 청주시 청원구 내덕동 660-6</t>
  </si>
  <si>
    <t>충청북도 청주시 청원구 내덕로7번길 58</t>
  </si>
  <si>
    <t>영우예인촌</t>
  </si>
  <si>
    <t>1997.04.</t>
  </si>
  <si>
    <t>https://new.land.naver.com/complexes/100544?tab=detail&amp;rf=Y</t>
  </si>
  <si>
    <t>충청북도 청주시 청원구 내덕동 141</t>
  </si>
  <si>
    <t>충청북도 청주시 청원구 안덕벌로69번길 37</t>
  </si>
  <si>
    <t>롯데삼성</t>
  </si>
  <si>
    <t>1986.11.</t>
  </si>
  <si>
    <t>https://new.land.naver.com/complexes/13087?tab=detail&amp;rf=Y</t>
  </si>
  <si>
    <t>충청북도 청주시 청원구 내덕동 106-10</t>
  </si>
  <si>
    <t>충청북도 청주시 청원구 덕벌로15번길 14</t>
  </si>
  <si>
    <t>시영</t>
  </si>
  <si>
    <t>1982.06.</t>
  </si>
  <si>
    <t>https://new.land.naver.com/complexes/15392?tab=detail&amp;rf=Y</t>
  </si>
  <si>
    <t>충청북도 청주시 청원구 내덕동 722</t>
  </si>
  <si>
    <t>충청북도 청주시 청원구 1순환로330번길 17</t>
  </si>
  <si>
    <t>52B</t>
  </si>
  <si>
    <t>보성2차</t>
  </si>
  <si>
    <t>https://new.land.naver.com/complexes/15390?tab=detail&amp;rf=Y</t>
  </si>
  <si>
    <t>충청북도 청주시 청원구 내덕동 748-2</t>
  </si>
  <si>
    <t>[내수읍]</t>
  </si>
  <si>
    <t>우창진주1차(197-159)</t>
  </si>
  <si>
    <t>1993.11.</t>
  </si>
  <si>
    <t>67B</t>
  </si>
  <si>
    <t>https://new.land.naver.com/complexes/132729?tab=detail&amp;rf=Y</t>
  </si>
  <si>
    <t>충청북도 청주시 청원구 내수읍 마산리 197-159</t>
  </si>
  <si>
    <t>내수읍</t>
  </si>
  <si>
    <t>충청북도 청주시 청원구 마산3길 21</t>
  </si>
  <si>
    <t>67C</t>
  </si>
  <si>
    <t>은곡무지개</t>
  </si>
  <si>
    <t>2000.05.</t>
  </si>
  <si>
    <t>https://new.land.naver.com/complexes/101279?tab=detail&amp;rf=Y</t>
  </si>
  <si>
    <t>충청북도 청주시 청원구 내수읍 은곡리 246-3</t>
  </si>
  <si>
    <t>충청북도 청주시 청원구 은곡4길 6</t>
  </si>
  <si>
    <t>내수현석원앙</t>
  </si>
  <si>
    <t>2017.01.</t>
  </si>
  <si>
    <t>https://new.land.naver.com/complexes/115812?tab=detail&amp;rf=Y</t>
  </si>
  <si>
    <t>충청북도 청주시 청원구 내수읍 내수리 39-5</t>
  </si>
  <si>
    <t>충청북도 청주시 청원구 내수학평길 19</t>
  </si>
  <si>
    <t>108B</t>
  </si>
  <si>
    <t>수정로얄</t>
  </si>
  <si>
    <t>1995.10.</t>
  </si>
  <si>
    <t>https://new.land.naver.com/complexes/106602?tab=detail&amp;rf=Y</t>
  </si>
  <si>
    <t>충청북도 청주시 청원구 내수읍 내수리 37</t>
  </si>
  <si>
    <t>충청북도 청주시 청원구 내수본길 16</t>
  </si>
  <si>
    <t>우창진주2차(51-3)</t>
  </si>
  <si>
    <t>1997.03.</t>
  </si>
  <si>
    <t>https://new.land.naver.com/complexes/17225?tab=detail&amp;rf=Y</t>
  </si>
  <si>
    <t>충청북도 청주시 청원구 내수읍 도원리 51-3</t>
  </si>
  <si>
    <t>충청북도 청주시 청원구 도원세교로 63</t>
  </si>
  <si>
    <t>천일은곡빌리지</t>
  </si>
  <si>
    <t>2000.06.</t>
  </si>
  <si>
    <t>https://new.land.naver.com/complexes/140237?tab=detail&amp;rf=Y</t>
  </si>
  <si>
    <t>충청북도 청주시 청원구 내수읍 은곡리 293-7</t>
  </si>
  <si>
    <t>충청북도 청주시 청원구 은곡묵방길 50</t>
  </si>
  <si>
    <t>천일은곡</t>
  </si>
  <si>
    <t>https://new.land.naver.com/complexes/101346?tab=detail&amp;rf=Y</t>
  </si>
  <si>
    <t>충청북도 청주시 청원구 내수읍 은곡리 302</t>
  </si>
  <si>
    <t>충청북도 청주시 청원구 은곡묵방길 52-10</t>
  </si>
  <si>
    <t>1996.10.</t>
  </si>
  <si>
    <t>https://new.land.naver.com/complexes/15375?tab=detail&amp;rf=Y</t>
  </si>
  <si>
    <t>충청북도 청주시 청원구 내수읍 내수리 200-3</t>
  </si>
  <si>
    <t>충청북도 청주시 청원구 내수로 639</t>
  </si>
  <si>
    <t>77B</t>
  </si>
  <si>
    <t>우창진주1차(56)</t>
  </si>
  <si>
    <t>1995.12.</t>
  </si>
  <si>
    <t>https://new.land.naver.com/complexes/15376?tab=detail&amp;rf=Y</t>
  </si>
  <si>
    <t>충청북도 청주시 청원구 내수읍 도원리 56</t>
  </si>
  <si>
    <t>충청북도 청주시 청원구 도원세교로 67</t>
  </si>
  <si>
    <t>덕일한마음</t>
  </si>
  <si>
    <t>1997.10.</t>
  </si>
  <si>
    <t>https://new.land.naver.com/complexes/103374?tab=detail&amp;rf=Y</t>
  </si>
  <si>
    <t>충청북도 청주시 청원구 내수읍 은곡리 301</t>
  </si>
  <si>
    <t>충청북도 청주시 청원구 은곡묵방길 28</t>
  </si>
  <si>
    <t>진흥1차</t>
  </si>
  <si>
    <t>1990.12.</t>
  </si>
  <si>
    <t>https://new.land.naver.com/complexes/15377?tab=detail&amp;rf=Y</t>
  </si>
  <si>
    <t>충청북도 청주시 청원구 내수읍 마산리 123</t>
  </si>
  <si>
    <t>충청북도 청주시 청원구 마산길 72</t>
  </si>
  <si>
    <t>우창진주3차</t>
  </si>
  <si>
    <t>1998.01.</t>
  </si>
  <si>
    <t>https://new.land.naver.com/complexes/15379?tab=detail&amp;rf=Y</t>
  </si>
  <si>
    <t>충청북도 청주시 청원구 내수읍 도원리 23</t>
  </si>
  <si>
    <t>충청북도 청주시 청원구 도원세교로 85</t>
  </si>
  <si>
    <t>84B</t>
  </si>
  <si>
    <t>진흥2차</t>
  </si>
  <si>
    <t>1992.11.</t>
  </si>
  <si>
    <t>https://new.land.naver.com/complexes/15378?tab=detail&amp;rf=Y</t>
  </si>
  <si>
    <t>충청북도 청주시 청원구 내수읍 마산리 5-5</t>
  </si>
  <si>
    <t>충청북도 청주시 청원구 마산3길 3</t>
  </si>
  <si>
    <t>강우스파빌</t>
  </si>
  <si>
    <t>2002.03.</t>
  </si>
  <si>
    <t>76A</t>
  </si>
  <si>
    <t>https://new.land.naver.com/complexes/17224?tab=detail&amp;rf=Y</t>
  </si>
  <si>
    <t>충청북도 청주시 청원구 내수읍 우산리 504-8</t>
  </si>
  <si>
    <t>충청북도 청주시 청원구 우산길 37</t>
  </si>
  <si>
    <t>76B</t>
  </si>
  <si>
    <t>우창진주2차(12-1)</t>
  </si>
  <si>
    <t>1994.11.</t>
  </si>
  <si>
    <t>66A</t>
  </si>
  <si>
    <t>https://new.land.naver.com/complexes/133003?tab=detail&amp;rf=Y</t>
  </si>
  <si>
    <t>충청북도 청주시 청원구 내수읍 마산리 12-1</t>
  </si>
  <si>
    <t>충청북도 청주시 청원구 마산3길 12</t>
  </si>
  <si>
    <t>66B</t>
  </si>
  <si>
    <t>[사천동]</t>
  </si>
  <si>
    <t>남광하우스토리A단지</t>
  </si>
  <si>
    <t>2011.01.</t>
  </si>
  <si>
    <t>https://new.land.naver.com/complexes/26509?tab=detail&amp;rf=Y</t>
  </si>
  <si>
    <t>충청북도 청주시 청원구 사천동 683</t>
  </si>
  <si>
    <t>사천동</t>
  </si>
  <si>
    <t>충청북도 청주시 청원구 율봉로 7</t>
  </si>
  <si>
    <t>사천동아1차</t>
  </si>
  <si>
    <t>1994.05.</t>
  </si>
  <si>
    <t>https://new.land.naver.com/complexes/7027?tab=detail&amp;rf=Y</t>
  </si>
  <si>
    <t>충청북도 청주시 청원구 사천동 437</t>
  </si>
  <si>
    <t>충청북도 청주시 청원구 율봉로 31</t>
  </si>
  <si>
    <t>188A</t>
  </si>
  <si>
    <t>일신힐사이드</t>
  </si>
  <si>
    <t>2003.12.</t>
  </si>
  <si>
    <t>42A</t>
  </si>
  <si>
    <t>https://new.land.naver.com/complexes/107105?tab=detail&amp;rf=Y</t>
  </si>
  <si>
    <t>충청북도 청주시 청원구 사천동 25-123</t>
  </si>
  <si>
    <t>충청북도 청주시 청원구 공항로 159-19</t>
  </si>
  <si>
    <t>44B</t>
  </si>
  <si>
    <t>49A</t>
  </si>
  <si>
    <t>50B</t>
  </si>
  <si>
    <t>56A</t>
  </si>
  <si>
    <t>56B</t>
  </si>
  <si>
    <t>56C</t>
  </si>
  <si>
    <t>58A</t>
  </si>
  <si>
    <t>1989.08.</t>
  </si>
  <si>
    <t>https://new.land.naver.com/complexes/105963?tab=detail&amp;rf=Y</t>
  </si>
  <si>
    <t>충청북도 청주시 청원구 사천동 231-4</t>
  </si>
  <si>
    <t>충청북도 청주시 청원구 율봉로56번길 5</t>
  </si>
  <si>
    <t>덕성그린</t>
  </si>
  <si>
    <t>1997.11.</t>
  </si>
  <si>
    <t>https://new.land.naver.com/complexes/26197?tab=detail&amp;rf=Y</t>
  </si>
  <si>
    <t>충청북도 청주시 청원구 사천동 449-3</t>
  </si>
  <si>
    <t>충청북도 청주시 청원구 새터로 187</t>
  </si>
  <si>
    <t>사천동아2차</t>
  </si>
  <si>
    <t>1996.02.</t>
  </si>
  <si>
    <t>https://new.land.naver.com/complexes/7028?tab=detail&amp;rf=Y</t>
  </si>
  <si>
    <t>충청북도 청주시 청원구 사천동 228</t>
  </si>
  <si>
    <t>충청북도 청주시 청원구 새터로176번길 62</t>
  </si>
  <si>
    <t>청주사천푸르지오</t>
  </si>
  <si>
    <t>2018.08.</t>
  </si>
  <si>
    <t>https://new.land.naver.com/complexes/112607?tab=detail&amp;rf=Y</t>
  </si>
  <si>
    <t>충청북도 청주시 청원구 사천동 697</t>
  </si>
  <si>
    <t>충청북도 청주시 청원구 사뜸로 106</t>
  </si>
  <si>
    <t>대창1차</t>
  </si>
  <si>
    <t>1998.04.</t>
  </si>
  <si>
    <t>https://new.land.naver.com/complexes/25717?tab=detail&amp;rf=Y</t>
  </si>
  <si>
    <t>충청북도 청주시 청원구 사천동 229-2</t>
  </si>
  <si>
    <t>충청북도 청주시 청원구 사뜸로61번길 106</t>
  </si>
  <si>
    <t>신동아</t>
  </si>
  <si>
    <t>1993.05.</t>
  </si>
  <si>
    <t>87A</t>
  </si>
  <si>
    <t>https://new.land.naver.com/complexes/7030?tab=detail&amp;rf=Y</t>
  </si>
  <si>
    <t>충청북도 청주시 청원구 사천동 229-1</t>
  </si>
  <si>
    <t>충청북도 청주시 청원구 율봉로 77</t>
  </si>
  <si>
    <t>정도드림-빌</t>
  </si>
  <si>
    <t>1999.11.</t>
  </si>
  <si>
    <t>https://new.land.naver.com/complexes/106337?tab=detail&amp;rf=Y</t>
  </si>
  <si>
    <t>충청북도 청주시 청원구 사천동 25-2</t>
  </si>
  <si>
    <t>충청북도 청주시 청원구 공항로 159-12</t>
  </si>
  <si>
    <t>사천대창2차</t>
  </si>
  <si>
    <t>2000.01.</t>
  </si>
  <si>
    <t>https://new.land.naver.com/complexes/101064?tab=detail&amp;rf=Y</t>
  </si>
  <si>
    <t>충청북도 청주시 청원구 사천동 444-1</t>
  </si>
  <si>
    <t>충청북도 청주시 청원구 새터로 186</t>
  </si>
  <si>
    <t>80B</t>
  </si>
  <si>
    <t>1988.10.</t>
  </si>
  <si>
    <t>https://new.land.naver.com/complexes/15394?tab=detail&amp;rf=Y</t>
  </si>
  <si>
    <t>카운티스</t>
  </si>
  <si>
    <t>2003.10.</t>
  </si>
  <si>
    <t>https://new.land.naver.com/complexes/26341?tab=detail&amp;rf=Y</t>
  </si>
  <si>
    <t>충청북도 청주시 청원구 사천동 25</t>
  </si>
  <si>
    <t>충청북도 청주시 청원구 주성로132번길 9</t>
  </si>
  <si>
    <t>남광하우스토리B단지</t>
  </si>
  <si>
    <t>https://new.land.naver.com/complexes/26510?tab=detail&amp;rf=Y</t>
  </si>
  <si>
    <t>충청북도 청주시 청원구 사천동 684</t>
  </si>
  <si>
    <t>충청북도 청주시 청원구 율봉로 8</t>
  </si>
  <si>
    <t>[오창읍]</t>
  </si>
  <si>
    <t>프라임시티</t>
  </si>
  <si>
    <t>2013.09.</t>
  </si>
  <si>
    <t>https://new.land.naver.com/complexes/124956?tab=detail&amp;rf=Y</t>
  </si>
  <si>
    <t>충청북도 청주시 청원구 오창읍 창리 39-1</t>
  </si>
  <si>
    <t>충청북도 청주시 청원구 공항로 1006</t>
  </si>
  <si>
    <t>대원칸타빌(2블럭)</t>
  </si>
  <si>
    <t>2017.02.</t>
  </si>
  <si>
    <t>https://new.land.naver.com/complexes/109399?tab=detail&amp;rf=Y</t>
  </si>
  <si>
    <t>충청북도 청주시 청원구 오창읍 창리 160</t>
  </si>
  <si>
    <t>충청북도 청주시 청원구 2산단4로 55</t>
  </si>
  <si>
    <t>113B</t>
  </si>
  <si>
    <t>오창모아미래도와이드시티</t>
  </si>
  <si>
    <t>2016.01.</t>
  </si>
  <si>
    <t>https://new.land.naver.com/complexes/107657?tab=detail&amp;rf=Y</t>
  </si>
  <si>
    <t>충청북도 청주시 청원구 오창읍 주성리 562</t>
  </si>
  <si>
    <t>충청북도 청주시 청원구 2산단로 167</t>
  </si>
  <si>
    <t>오창금정2차</t>
  </si>
  <si>
    <t>1997.09.</t>
  </si>
  <si>
    <t>71A</t>
  </si>
  <si>
    <t>https://new.land.naver.com/complexes/108414?tab=detail&amp;rf=Y</t>
  </si>
  <si>
    <t>충청북도 청주시 청원구 오창읍 창리 117</t>
  </si>
  <si>
    <t>충청북도 청주시 청원구 창리1길 7-5</t>
  </si>
  <si>
    <t>71B</t>
  </si>
  <si>
    <t>98B</t>
  </si>
  <si>
    <t>98C</t>
  </si>
  <si>
    <t>오창쌍용스윗닷홈예가</t>
  </si>
  <si>
    <t>2006.05.</t>
  </si>
  <si>
    <t>https://new.land.naver.com/complexes/19047?tab=detail&amp;rf=Y</t>
  </si>
  <si>
    <t>충청북도 청주시 청원구 오창읍 각리 647-1</t>
  </si>
  <si>
    <t>충청북도 청주시 청원구 오창중앙로 105</t>
  </si>
  <si>
    <t>오창수정</t>
  </si>
  <si>
    <t>1991.02.</t>
  </si>
  <si>
    <t>https://new.land.naver.com/complexes/108604?tab=detail&amp;rf=Y</t>
  </si>
  <si>
    <t>충청북도 청주시 청원구 오창읍 복현리 98-2</t>
  </si>
  <si>
    <t>충청북도 청주시 청원구 복현3길 27</t>
  </si>
  <si>
    <t>중앙하이츠빌</t>
  </si>
  <si>
    <t>https://new.land.naver.com/complexes/19052?tab=detail&amp;rf=Y</t>
  </si>
  <si>
    <t>충청북도 청주시 청원구 오창읍 각리 637-6</t>
  </si>
  <si>
    <t>충청북도 청주시 청원구 오창중앙로 32</t>
  </si>
  <si>
    <t>오창모아미래도와이드파크(3블럭)</t>
  </si>
  <si>
    <t>https://new.land.naver.com/complexes/107656?tab=detail&amp;rf=Y</t>
  </si>
  <si>
    <t>충청북도 청주시 청원구 오창읍 창리 161</t>
  </si>
  <si>
    <t>충청북도 청주시 청원구 2산단4로 45</t>
  </si>
  <si>
    <t>대성진달래</t>
  </si>
  <si>
    <t>1995.06.</t>
  </si>
  <si>
    <t>https://new.land.naver.com/complexes/117409?tab=detail&amp;rf=Y</t>
  </si>
  <si>
    <t>충청북도 청주시 청원구 오창읍 복현리 91-4</t>
  </si>
  <si>
    <t>충청북도 청주시 청원구 복현2길 6</t>
  </si>
  <si>
    <t>87B</t>
  </si>
  <si>
    <t>오창대성베르힐</t>
  </si>
  <si>
    <t>2015.07.</t>
  </si>
  <si>
    <t>https://new.land.naver.com/complexes/107695?tab=detail&amp;rf=Y</t>
  </si>
  <si>
    <t>충청북도 청주시 청원구 오창읍 주성리 556</t>
  </si>
  <si>
    <t>충청북도 청주시 청원구 2산단로 160</t>
  </si>
  <si>
    <t>우림필유2차</t>
  </si>
  <si>
    <t>2006.11.</t>
  </si>
  <si>
    <t>https://new.land.naver.com/complexes/19396?tab=detail&amp;rf=Y</t>
  </si>
  <si>
    <t>충청북도 청주시 청원구 오창읍 각리 646-1</t>
  </si>
  <si>
    <t>충청북도 청주시 청원구 오창중앙로 65</t>
  </si>
  <si>
    <t>한라비발디</t>
  </si>
  <si>
    <t>https://new.land.naver.com/complexes/23633?tab=detail&amp;rf=Y</t>
  </si>
  <si>
    <t>충청북도 청주시 청원구 오창읍 각리 637-1</t>
  </si>
  <si>
    <t>충청북도 청주시 청원구 오창중앙로 94</t>
  </si>
  <si>
    <t>한신더휴센트럴파크</t>
  </si>
  <si>
    <t>2018.02.</t>
  </si>
  <si>
    <t>114A</t>
  </si>
  <si>
    <t>https://new.land.naver.com/complexes/109511?tab=detail&amp;rf=Y</t>
  </si>
  <si>
    <t>충청북도 청주시 청원구 오창읍 각리 636-2</t>
  </si>
  <si>
    <t>충청북도 청주시 청원구 오창공원로 96</t>
  </si>
  <si>
    <t>115C</t>
  </si>
  <si>
    <t>115D</t>
  </si>
  <si>
    <t>오창롯데캐슬더하이스트</t>
  </si>
  <si>
    <t>https://new.land.naver.com/complexes/108592?tab=detail&amp;rf=Y</t>
  </si>
  <si>
    <t>충청북도 청주시 청원구 오창읍 양청리 810-2</t>
  </si>
  <si>
    <t>충청북도 청주시 청원구 중부로 760</t>
  </si>
  <si>
    <t>85B</t>
  </si>
  <si>
    <t>101A</t>
  </si>
  <si>
    <t>119C</t>
  </si>
  <si>
    <t>120E</t>
  </si>
  <si>
    <t>120B</t>
  </si>
  <si>
    <t>120B1</t>
  </si>
  <si>
    <t>120D</t>
  </si>
  <si>
    <t>오창이안</t>
  </si>
  <si>
    <t>2006.02.</t>
  </si>
  <si>
    <t>https://new.land.naver.com/complexes/17765?tab=detail&amp;rf=Y</t>
  </si>
  <si>
    <t>충청북도 청주시 청원구 오창읍 각리 646-6</t>
  </si>
  <si>
    <t>충청북도 청주시 청원구 오창중앙로 83</t>
  </si>
  <si>
    <t>107B</t>
  </si>
  <si>
    <t>경희</t>
  </si>
  <si>
    <t>1992.05.</t>
  </si>
  <si>
    <t>https://new.land.naver.com/complexes/100219?tab=detail&amp;rf=Y</t>
  </si>
  <si>
    <t>충청북도 청주시 청원구 오창읍 창리 9-3</t>
  </si>
  <si>
    <t>충청북도 청주시 청원구 공항로 988</t>
  </si>
  <si>
    <t>오창재원</t>
  </si>
  <si>
    <t>https://new.land.naver.com/complexes/15382?tab=detail&amp;rf=Y</t>
  </si>
  <si>
    <t>충청북도 청주시 청원구 오창읍 장대리 330</t>
  </si>
  <si>
    <t>충청북도 청주시 청원구 복현3길 16</t>
  </si>
  <si>
    <t>대원칸타빌</t>
  </si>
  <si>
    <t>2006.07.</t>
  </si>
  <si>
    <t>https://new.land.naver.com/complexes/19045?tab=detail&amp;rf=Y</t>
  </si>
  <si>
    <t>충청북도 청주시 청원구 오창읍 각리 637-9</t>
  </si>
  <si>
    <t>충청북도 청주시 청원구 오창중앙로 64</t>
  </si>
  <si>
    <t>오창반도유보라퍼스티지</t>
  </si>
  <si>
    <t>2024.05.</t>
  </si>
  <si>
    <t>https://new.land.naver.com/complexes/142816?tab=detail&amp;rf=Y</t>
  </si>
  <si>
    <t>충청북도 청주시 청원구 오창읍 각리 639-4번지</t>
  </si>
  <si>
    <t>충청북도 청주시 청원구 중부로 699</t>
  </si>
  <si>
    <t>코아루</t>
  </si>
  <si>
    <t>2006.06.</t>
  </si>
  <si>
    <t>https://new.land.naver.com/complexes/19050?tab=detail&amp;rf=Y</t>
  </si>
  <si>
    <t>충청북도 청주시 청원구 오창읍 각리 645-1</t>
  </si>
  <si>
    <t>충청북도 청주시 청원구 오창중앙로 27</t>
  </si>
  <si>
    <t>116B</t>
  </si>
  <si>
    <t>오창금정</t>
  </si>
  <si>
    <t>1995.08.</t>
  </si>
  <si>
    <t>70B</t>
  </si>
  <si>
    <t>https://new.land.naver.com/complexes/108607?tab=detail&amp;rf=Y</t>
  </si>
  <si>
    <t>충청북도 청주시 청원구 오창읍 창리 115</t>
  </si>
  <si>
    <t>충청북도 청주시 청원구 창리1길 13</t>
  </si>
  <si>
    <t>70A</t>
  </si>
  <si>
    <t>진양</t>
  </si>
  <si>
    <t>1990.01.</t>
  </si>
  <si>
    <t>61A</t>
  </si>
  <si>
    <t>https://new.land.naver.com/complexes/102273?tab=detail&amp;rf=Y</t>
  </si>
  <si>
    <t>충청북도 청주시 청원구 오창읍 4-11</t>
  </si>
  <si>
    <t>충청북도 청주시 청원구 팔결로 691</t>
  </si>
  <si>
    <t>62B</t>
  </si>
  <si>
    <t>63C</t>
  </si>
  <si>
    <t>우림필유1차</t>
  </si>
  <si>
    <t>https://new.land.naver.com/complexes/19053?tab=detail&amp;rf=Y</t>
  </si>
  <si>
    <t>충청북도 청주시 청원구 오창읍 각리 638-1</t>
  </si>
  <si>
    <t>충청북도 청주시 청원구 오창중앙로 13</t>
  </si>
  <si>
    <t>1998.08.</t>
  </si>
  <si>
    <t>https://new.land.naver.com/complexes/24271?tab=detail&amp;rf=Y</t>
  </si>
  <si>
    <t>충청북도 청주시 청원구 오창읍 괴정리 507-1</t>
  </si>
  <si>
    <t>충청북도 청주시 청원구 괴정길 18-9</t>
  </si>
  <si>
    <t>[우암동]</t>
  </si>
  <si>
    <t>청주우암동삼일브리제하임</t>
  </si>
  <si>
    <t>2016.10.</t>
  </si>
  <si>
    <t>https://new.land.naver.com/complexes/111020?tab=detail&amp;rf=Y</t>
  </si>
  <si>
    <t>충청북도 청주시 청원구 우암동 1210</t>
  </si>
  <si>
    <t>우암동</t>
  </si>
  <si>
    <t>충청북도 청주시 청원구 향군로 123</t>
  </si>
  <si>
    <t>라임미소가(도시형)</t>
  </si>
  <si>
    <t>2017.11.</t>
  </si>
  <si>
    <t>66D</t>
  </si>
  <si>
    <t>https://new.land.naver.com/complexes/118122?tab=detail&amp;rf=Y</t>
  </si>
  <si>
    <t>충청북도 청주시 청원구 우암동 372-6</t>
  </si>
  <si>
    <t>충청북도 청주시 청원구 향군로 110</t>
  </si>
  <si>
    <t>목화</t>
  </si>
  <si>
    <t>1983.10.</t>
  </si>
  <si>
    <t>https://new.land.naver.com/complexes/126838?tab=detail&amp;rf=Y</t>
  </si>
  <si>
    <t>충청북도 청주시 청원구 우암동 411-3</t>
  </si>
  <si>
    <t>충청북도 청주시 청원구 교서로 214</t>
  </si>
  <si>
    <t>해피지움</t>
  </si>
  <si>
    <t>https://new.land.naver.com/complexes/129322?tab=detail&amp;rf=Y</t>
  </si>
  <si>
    <t>충청북도 청주시 청원구 우암동 372-5</t>
  </si>
  <si>
    <t>충청북도 청주시 청원구 내덕로8번길 20</t>
  </si>
  <si>
    <t>평화(375)</t>
  </si>
  <si>
    <t>1995.05.</t>
  </si>
  <si>
    <t>https://new.land.naver.com/complexes/17233?tab=detail&amp;rf=Y</t>
  </si>
  <si>
    <t>충청북도 청주시 청원구 우암동 375</t>
  </si>
  <si>
    <t>충청북도 청주시 청원구 향군로108번길 20</t>
  </si>
  <si>
    <t>평화(111-13)</t>
  </si>
  <si>
    <t>https://new.land.naver.com/complexes/15405?tab=detail&amp;rf=Y</t>
  </si>
  <si>
    <t>충청북도 청주시 청원구 우암동 111-13</t>
  </si>
  <si>
    <t>충청북도 청주시 청원구 상당로244번길 6</t>
  </si>
  <si>
    <t>1982.09.</t>
  </si>
  <si>
    <t>https://new.land.naver.com/complexes/7166?tab=detail&amp;rf=Y</t>
  </si>
  <si>
    <t>충청북도 청주시 청원구 우암동 50-4</t>
  </si>
  <si>
    <t>충청북도 청주시 청원구 수암로78번길 12</t>
  </si>
  <si>
    <t>우암세원</t>
  </si>
  <si>
    <t>https://new.land.naver.com/complexes/103997?tab=detail&amp;rf=Y</t>
  </si>
  <si>
    <t>충청북도 청주시 청원구 우암동 328-12</t>
  </si>
  <si>
    <t>충청북도 청주시 청원구 사북로149번길 7</t>
  </si>
  <si>
    <t>문화</t>
  </si>
  <si>
    <t>1984.03.</t>
  </si>
  <si>
    <t>https://new.land.naver.com/complexes/110176?tab=detail&amp;rf=Y</t>
  </si>
  <si>
    <t>충청북도 청주시 청원구 우암동 261-34</t>
  </si>
  <si>
    <t>충청북도 청주시 청원구 우암로9번길 42-32</t>
  </si>
  <si>
    <t>일진캠퍼스타워</t>
  </si>
  <si>
    <t>2015.09.</t>
  </si>
  <si>
    <t>26G</t>
  </si>
  <si>
    <t>https://new.land.naver.com/complexes/107892?tab=detail&amp;rf=Y</t>
  </si>
  <si>
    <t>충청북도 청주시 청원구 우암동 237-13</t>
  </si>
  <si>
    <t>충청북도 청주시 청원구 상당로 249</t>
  </si>
  <si>
    <t>29F</t>
  </si>
  <si>
    <t>30B</t>
  </si>
  <si>
    <t>35K</t>
  </si>
  <si>
    <t>36D</t>
  </si>
  <si>
    <t>38E</t>
  </si>
  <si>
    <t>40I</t>
  </si>
  <si>
    <t>43C</t>
  </si>
  <si>
    <t>46J</t>
  </si>
  <si>
    <t>48H</t>
  </si>
  <si>
    <t>1996.11.</t>
  </si>
  <si>
    <t>https://new.land.naver.com/complexes/7164?tab=detail&amp;rf=Y</t>
  </si>
  <si>
    <t>충청북도 청주시 청원구 우암동 353-2</t>
  </si>
  <si>
    <t>충청북도 청주시 청원구 향군로74번길 26</t>
  </si>
  <si>
    <t>우정</t>
  </si>
  <si>
    <t>https://new.land.naver.com/complexes/15404?tab=detail&amp;rf=Y</t>
  </si>
  <si>
    <t>충청북도 청주시 청원구 우암동 402-1</t>
  </si>
  <si>
    <t>충청북도 청주시 청원구 우암로23번길 11</t>
  </si>
  <si>
    <t>[율량동]</t>
  </si>
  <si>
    <t>신세대</t>
  </si>
  <si>
    <t>1996.01.</t>
  </si>
  <si>
    <t>https://new.land.naver.com/complexes/15415?tab=detail&amp;rf=Y</t>
  </si>
  <si>
    <t>충청북도 청주시 청원구 율량동 1393</t>
  </si>
  <si>
    <t>충청북도 청주시 청원구 사뜸로 44</t>
  </si>
  <si>
    <t>105A</t>
  </si>
  <si>
    <t>신라맨션(1868)</t>
  </si>
  <si>
    <t>1989.12.</t>
  </si>
  <si>
    <t>96B</t>
  </si>
  <si>
    <t>https://new.land.naver.com/complexes/15412?tab=detail&amp;rf=Y</t>
  </si>
  <si>
    <t>충청북도 청주시 청원구 율량동 1868</t>
  </si>
  <si>
    <t>충청북도 청주시 청원구 공항로97번길 24</t>
  </si>
  <si>
    <t>97A</t>
  </si>
  <si>
    <t>100A</t>
  </si>
  <si>
    <t>101C</t>
  </si>
  <si>
    <t>101B</t>
  </si>
  <si>
    <t>삼정2차</t>
  </si>
  <si>
    <t>1992.06.</t>
  </si>
  <si>
    <t>https://new.land.naver.com/complexes/7190?tab=detail&amp;rf=Y</t>
  </si>
  <si>
    <t>충청북도 청주시 청원구 율량동 742</t>
  </si>
  <si>
    <t>충청북도 청주시 청원구 율봉로175번길 54</t>
  </si>
  <si>
    <t>대원칸타빌4차</t>
  </si>
  <si>
    <t>2015.12.</t>
  </si>
  <si>
    <t>https://new.land.naver.com/complexes/107120?tab=detail&amp;rf=Y</t>
  </si>
  <si>
    <t>충청북도 청주시 청원구 율량동 2246</t>
  </si>
  <si>
    <t>충청북도 청주시 청원구 율중로 10</t>
  </si>
  <si>
    <t>110C</t>
  </si>
  <si>
    <t>111B</t>
  </si>
  <si>
    <t>삼정1차</t>
  </si>
  <si>
    <t>1991.07.</t>
  </si>
  <si>
    <t>https://new.land.naver.com/complexes/7188?tab=detail&amp;rf=Y</t>
  </si>
  <si>
    <t>충청북도 청주시 청원구 율량동 862</t>
  </si>
  <si>
    <t>충청북도 청주시 청원구 율봉로201번길 50</t>
  </si>
  <si>
    <t>현대</t>
  </si>
  <si>
    <t>1992.10.</t>
  </si>
  <si>
    <t>https://new.land.naver.com/complexes/7197?tab=detail&amp;rf=Y</t>
  </si>
  <si>
    <t>충청북도 청주시 청원구 율량동 1206</t>
  </si>
  <si>
    <t>충청북도 청주시 청원구 주성로132번길 27</t>
  </si>
  <si>
    <t>두진</t>
  </si>
  <si>
    <t>https://new.land.naver.com/complexes/7171?tab=detail&amp;rf=Y</t>
  </si>
  <si>
    <t>충청북도 청주시 청원구 율량동 747</t>
  </si>
  <si>
    <t>충청북도 청주시 청원구 공항로150번길 31-8</t>
  </si>
  <si>
    <t>신라(1292)</t>
  </si>
  <si>
    <t>https://new.land.naver.com/complexes/114958?tab=detail&amp;rf=Y</t>
  </si>
  <si>
    <t>충청북도 청주시 청원구 율량동 1292</t>
  </si>
  <si>
    <t>충청북도 청주시 청원구 율봉로94번길 9</t>
  </si>
  <si>
    <t>율량부강마을</t>
  </si>
  <si>
    <t>https://new.land.naver.com/complexes/7180?tab=detail&amp;rf=Y</t>
  </si>
  <si>
    <t>충청북도 청주시 청원구 율량동 744</t>
  </si>
  <si>
    <t>충청북도 청주시 청원구 공항로150번길 59</t>
  </si>
  <si>
    <t>율량대창1차</t>
  </si>
  <si>
    <t>https://new.land.naver.com/complexes/108609?tab=detail&amp;rf=Y</t>
  </si>
  <si>
    <t>충청북도 청주시 청원구 율량동 710</t>
  </si>
  <si>
    <t>충청북도 청주시 청원구 율봉로159번길 73-2</t>
  </si>
  <si>
    <t>율량한울2차</t>
  </si>
  <si>
    <t>1996.04.</t>
  </si>
  <si>
    <t>68A</t>
  </si>
  <si>
    <t>https://new.land.naver.com/complexes/15418?tab=detail&amp;rf=Y</t>
  </si>
  <si>
    <t>충청북도 청주시 청원구 율량동 724-1</t>
  </si>
  <si>
    <t>충청북도 청주시 청원구 율봉로167번길 66-9</t>
  </si>
  <si>
    <t>율량럭키</t>
  </si>
  <si>
    <t>1991.03.</t>
  </si>
  <si>
    <t>https://new.land.naver.com/complexes/7174?tab=detail&amp;rf=Y</t>
  </si>
  <si>
    <t>충청북도 청주시 청원구 율량동 863</t>
  </si>
  <si>
    <t>충청북도 청주시 청원구 율봉로209번길 40</t>
  </si>
  <si>
    <t>성원</t>
  </si>
  <si>
    <t>1995.07.</t>
  </si>
  <si>
    <t>https://new.land.naver.com/complexes/7191?tab=detail&amp;rf=Y</t>
  </si>
  <si>
    <t>충청북도 청주시 청원구 율량동 1204</t>
  </si>
  <si>
    <t>충청북도 청주시 청원구 주성로132번길 10</t>
  </si>
  <si>
    <t>원진</t>
  </si>
  <si>
    <t>2005.11.</t>
  </si>
  <si>
    <t>https://new.land.naver.com/complexes/122496?tab=detail&amp;rf=Y</t>
  </si>
  <si>
    <t>충청북도 청주시 청원구 율량동 1022</t>
  </si>
  <si>
    <t>충청북도 청주시 청원구 충청대로107번길 37-2</t>
  </si>
  <si>
    <t>율량럭키3차</t>
  </si>
  <si>
    <t>https://new.land.naver.com/complexes/11673?tab=detail&amp;rf=Y</t>
  </si>
  <si>
    <t>충청북도 청주시 청원구 율량동 869</t>
  </si>
  <si>
    <t>충청북도 청주시 청원구 충청대로139번길 17-10</t>
  </si>
  <si>
    <t>한울3차</t>
  </si>
  <si>
    <t>1998.12.</t>
  </si>
  <si>
    <t>https://new.land.naver.com/complexes/107435?tab=detail&amp;rf=Y</t>
  </si>
  <si>
    <t>충청북도 청주시 청원구 율량동 1144</t>
  </si>
  <si>
    <t>충청북도 청주시 청원구 주성로96번길 12</t>
  </si>
  <si>
    <t>실루엣(201동)</t>
  </si>
  <si>
    <t>2008.03.</t>
  </si>
  <si>
    <t>https://new.land.naver.com/complexes/100632?tab=detail&amp;rf=Y</t>
  </si>
  <si>
    <t>충청북도 청주시 청원구 율량동 996-2</t>
  </si>
  <si>
    <t>충청북도 청주시 청원구 충청대로107번길 65</t>
  </si>
  <si>
    <t>힐타운(도시형)</t>
  </si>
  <si>
    <t>2014.12.</t>
  </si>
  <si>
    <t>https://new.land.naver.com/complexes/139163?tab=detail&amp;rf=Y</t>
  </si>
  <si>
    <t>충청북도 청주시 청원구 율량동 18-17</t>
  </si>
  <si>
    <t>충청북도 청주시 청원구 1순환로1896번길 19-20</t>
  </si>
  <si>
    <t>신라개발</t>
  </si>
  <si>
    <t>https://new.land.naver.com/complexes/140898?tab=detail&amp;rf=Y</t>
  </si>
  <si>
    <t>충청북도 청주시 청원구 율량동 1483</t>
  </si>
  <si>
    <t>충청북도 청주시 청원구 율봉로94번길 20</t>
  </si>
  <si>
    <t>율량목화(803)</t>
  </si>
  <si>
    <t>https://new.land.naver.com/complexes/7175?tab=detail&amp;rf=Y</t>
  </si>
  <si>
    <t>충청북도 청주시 청원구 율량동 803</t>
  </si>
  <si>
    <t>충청북도 청주시 청원구 율봉로167번길 37</t>
  </si>
  <si>
    <t>동아</t>
  </si>
  <si>
    <t>1990.11.</t>
  </si>
  <si>
    <t>https://new.land.naver.com/complexes/7169?tab=detail&amp;rf=Y</t>
  </si>
  <si>
    <t>충청북도 청주시 청원구 율량동 1569</t>
  </si>
  <si>
    <t>충청북도 청주시 청원구 율천북로99번길 14</t>
  </si>
  <si>
    <t>율량금호어울림센트로</t>
  </si>
  <si>
    <t>2022.01.</t>
  </si>
  <si>
    <t>https://new.land.naver.com/complexes/127503?tab=detail&amp;rf=Y</t>
  </si>
  <si>
    <t>충청북도 청주시 청원구 율량동 1502(율봉로94번길 61)</t>
  </si>
  <si>
    <t>충청북도 청주시 청원구</t>
  </si>
  <si>
    <t>113D</t>
  </si>
  <si>
    <t>113C</t>
  </si>
  <si>
    <t>새하늘빌리지</t>
  </si>
  <si>
    <t>2001.10.</t>
  </si>
  <si>
    <t>124A</t>
  </si>
  <si>
    <t>https://new.land.naver.com/complexes/107454?tab=detail&amp;rf=Y</t>
  </si>
  <si>
    <t>충청북도 청주시 청원구 율량동 1089</t>
  </si>
  <si>
    <t>충청북도 청주시 청원구 율봉로212번길 65</t>
  </si>
  <si>
    <t>124B</t>
  </si>
  <si>
    <t>서우</t>
  </si>
  <si>
    <t>1988.07.</t>
  </si>
  <si>
    <t>https://new.land.naver.com/complexes/128196?tab=detail&amp;rf=Y</t>
  </si>
  <si>
    <t>충청북도 청주시 청원구 율량동 1236</t>
  </si>
  <si>
    <t>충청북도 청주시 청원구 공항로 133</t>
  </si>
  <si>
    <t>79B</t>
  </si>
  <si>
    <t>율량대창3차</t>
  </si>
  <si>
    <t>1995.09.</t>
  </si>
  <si>
    <t>https://new.land.naver.com/complexes/15407?tab=detail&amp;rf=Y</t>
  </si>
  <si>
    <t>충청북도 청주시 청원구 율량동 1302</t>
  </si>
  <si>
    <t>충청북도 청주시 청원구 사뜸로52번길 15</t>
  </si>
  <si>
    <t>두진백로그린타운</t>
  </si>
  <si>
    <t>1996.06.</t>
  </si>
  <si>
    <t>https://new.land.naver.com/complexes/7172?tab=detail&amp;rf=Y</t>
  </si>
  <si>
    <t>충청북도 청주시 청원구 율량동 861</t>
  </si>
  <si>
    <t>충청북도 청주시 청원구 율봉로209번길 35</t>
  </si>
  <si>
    <t>진화하이츠</t>
  </si>
  <si>
    <t>1994.10.</t>
  </si>
  <si>
    <t>https://new.land.naver.com/complexes/15413?tab=detail&amp;rf=Y</t>
  </si>
  <si>
    <t>충청북도 청주시 청원구 율량동 867</t>
  </si>
  <si>
    <t>충청북도 청주시 청원구 충청대로139번길 9</t>
  </si>
  <si>
    <t>율량현대</t>
  </si>
  <si>
    <t>https://new.land.naver.com/complexes/7193?tab=detail&amp;rf=Y</t>
  </si>
  <si>
    <t>충청북도 청주시 청원구 율량동 890</t>
  </si>
  <si>
    <t>충청북도 청주시 청원구 율봉로159번길 10</t>
  </si>
  <si>
    <t>한울</t>
  </si>
  <si>
    <t>1991.11.</t>
  </si>
  <si>
    <t>https://new.land.naver.com/complexes/15417?tab=detail&amp;rf=Y</t>
  </si>
  <si>
    <t>충청북도 청주시 청원구 율량동 745</t>
  </si>
  <si>
    <t>충청북도 청주시 청원구 공항로150번길 51-12</t>
  </si>
  <si>
    <t>삼성</t>
  </si>
  <si>
    <t>1996.05.</t>
  </si>
  <si>
    <t>https://new.land.naver.com/complexes/7187?tab=detail&amp;rf=Y</t>
  </si>
  <si>
    <t>충청북도 청주시 청원구 율량동 1182</t>
  </si>
  <si>
    <t>충청북도 청주시 청원구 주성로96번길 9</t>
  </si>
  <si>
    <t>율량대창5차</t>
  </si>
  <si>
    <t>https://new.land.naver.com/complexes/25719?tab=detail&amp;rf=Y</t>
  </si>
  <si>
    <t>충청북도 청주시 청원구 율량동 1362</t>
  </si>
  <si>
    <t>충청북도 청주시 청원구 율봉로116번길 19</t>
  </si>
  <si>
    <t>목화(746)</t>
  </si>
  <si>
    <t>https://new.land.naver.com/complexes/7177?tab=detail&amp;rf=Y</t>
  </si>
  <si>
    <t>충청북도 청주시 청원구 율량동 746</t>
  </si>
  <si>
    <t>충청북도 청주시 청원구 율봉로167번길 65-21</t>
  </si>
  <si>
    <t>제일풍경채</t>
  </si>
  <si>
    <t>2016.07.</t>
  </si>
  <si>
    <t>https://new.land.naver.com/complexes/108436?tab=detail&amp;rf=Y</t>
  </si>
  <si>
    <t>충청북도 청주시 청원구 율량동 2456</t>
  </si>
  <si>
    <t>충청북도 청주시 청원구 율중로7번길 100</t>
  </si>
  <si>
    <t>율량대창2차</t>
  </si>
  <si>
    <t>1994.06.</t>
  </si>
  <si>
    <t>https://new.land.naver.com/complexes/7168?tab=detail&amp;rf=Y</t>
  </si>
  <si>
    <t>충청북도 청주시 청원구 율량동 715</t>
  </si>
  <si>
    <t>충청북도 청주시 청원구 율봉로159번길 74-19</t>
  </si>
  <si>
    <t>율량대창4차</t>
  </si>
  <si>
    <t>1996.07.</t>
  </si>
  <si>
    <t>https://new.land.naver.com/complexes/15408?tab=detail&amp;rf=Y</t>
  </si>
  <si>
    <t>충청북도 청주시 청원구 율량동 1379</t>
  </si>
  <si>
    <t>충청북도 청주시 청원구 사뜸로52번길 16</t>
  </si>
  <si>
    <t>율량효성2차</t>
  </si>
  <si>
    <t>1997.01.</t>
  </si>
  <si>
    <t>https://new.land.naver.com/complexes/13006?tab=detail&amp;rf=Y</t>
  </si>
  <si>
    <t>충청북도 청주시 청원구 율량동 1263</t>
  </si>
  <si>
    <t>충청북도 청주시 청원구 사뜸로 62</t>
  </si>
  <si>
    <t>율량7단지선광로즈웰1차</t>
  </si>
  <si>
    <t>2014.05.</t>
  </si>
  <si>
    <t>https://new.land.naver.com/complexes/104290?tab=detail&amp;rf=Y</t>
  </si>
  <si>
    <t>충청북도 청주시 청원구 율량동 2080</t>
  </si>
  <si>
    <t>충청북도 청주시 청원구 율량로 157</t>
  </si>
  <si>
    <t>덕성맨션</t>
  </si>
  <si>
    <t>https://new.land.naver.com/complexes/15410?tab=detail&amp;rf=Y</t>
  </si>
  <si>
    <t>충청북도 청주시 청원구 율량동 1871</t>
  </si>
  <si>
    <t>충청북도 청주시 청원구 공항로 105</t>
  </si>
  <si>
    <t>신라타운</t>
  </si>
  <si>
    <t>https://new.land.naver.com/complexes/114959?tab=detail&amp;rf=Y</t>
  </si>
  <si>
    <t>충청북도 청주시 청원구 율량동 1502</t>
  </si>
  <si>
    <t>충청북도 청주시 청원구 율봉로94번길 68</t>
  </si>
  <si>
    <t>실루엣</t>
  </si>
  <si>
    <t>2007.09.</t>
  </si>
  <si>
    <t>https://new.land.naver.com/complexes/26342?tab=detail&amp;rf=Y</t>
  </si>
  <si>
    <t>충청북도 청주시 청원구 율량동 996</t>
  </si>
  <si>
    <t>164A</t>
  </si>
  <si>
    <t>164B</t>
  </si>
  <si>
    <t>율량재원</t>
  </si>
  <si>
    <t>https://new.land.naver.com/complexes/100718?tab=detail&amp;rf=Y</t>
  </si>
  <si>
    <t>충청북도 청주시 청원구 율량동 725-4</t>
  </si>
  <si>
    <t>충청북도 청주시 청원구 주성로 216</t>
  </si>
  <si>
    <t>효성</t>
  </si>
  <si>
    <t>1993.01.</t>
  </si>
  <si>
    <t>https://new.land.naver.com/complexes/13005?tab=detail&amp;rf=Y</t>
  </si>
  <si>
    <t>충청북도 청주시 청원구 율량동 1052</t>
  </si>
  <si>
    <t>충청북도 청주시 청원구 율봉로212번길 17</t>
  </si>
  <si>
    <t>[주성동]</t>
  </si>
  <si>
    <t>율량5단지선광로즈웰2차</t>
  </si>
  <si>
    <t>2014.11.</t>
  </si>
  <si>
    <t>https://new.land.naver.com/complexes/105322?tab=detail&amp;rf=Y</t>
  </si>
  <si>
    <t>충청북도 청주시 청원구 주성동 336</t>
  </si>
  <si>
    <t>충청북도 청주시 청원구 율량로 119</t>
  </si>
  <si>
    <t>대원칸타빌1차</t>
  </si>
  <si>
    <t>2013.03.</t>
  </si>
  <si>
    <t>https://new.land.naver.com/complexes/102720?tab=detail&amp;rf=Y</t>
  </si>
  <si>
    <t>충청북도 청주시 청원구 주성동 335</t>
  </si>
  <si>
    <t>충청북도 청주시 청원구 율량로 103</t>
  </si>
  <si>
    <t>108C</t>
  </si>
  <si>
    <t>109B</t>
  </si>
  <si>
    <t>대원칸타빌3차</t>
  </si>
  <si>
    <t>2015.03.</t>
  </si>
  <si>
    <t>https://new.land.naver.com/complexes/105039?tab=detail&amp;rf=Y</t>
  </si>
  <si>
    <t>충청북도 청주시 청원구 주성동 337</t>
  </si>
  <si>
    <t>충청북도 청주시 청원구 율량로 135</t>
  </si>
  <si>
    <t>109C</t>
  </si>
  <si>
    <t>[주중동]</t>
  </si>
  <si>
    <t>금원휴빌리지(도시형)</t>
  </si>
  <si>
    <t>https://new.land.naver.com/complexes/123851?tab=detail&amp;rf=Y</t>
  </si>
  <si>
    <t>충청북도 청주시 청원구 주중동 186-8</t>
  </si>
  <si>
    <t>주중동</t>
  </si>
  <si>
    <t>충청북도 청주시 청원구 공항로220번길 111</t>
  </si>
  <si>
    <t>어웰휴빌리지(도시형)</t>
  </si>
  <si>
    <t>https://new.land.naver.com/complexes/121642?tab=detail&amp;rf=Y</t>
  </si>
  <si>
    <t>충청북도 청주시 청원구 주중동 186-46</t>
  </si>
  <si>
    <t>충청북도 청주시 청원구 공항로220번길 100</t>
  </si>
  <si>
    <t>97B</t>
  </si>
  <si>
    <t>대원칸타빌2차</t>
  </si>
  <si>
    <t>2014.04.</t>
  </si>
  <si>
    <t>https://new.land.naver.com/complexes/103963?tab=detail&amp;rf=Y</t>
  </si>
  <si>
    <t>충청북도 청주시 청원구 주중동 1023</t>
  </si>
  <si>
    <t>충청북도 청주시 청원구 율량로 77</t>
  </si>
  <si>
    <t>추출대상</t>
  </si>
  <si>
    <t>매전갭</t>
  </si>
  <si>
    <t>'09.05.</t>
  </si>
  <si>
    <t>'89.11.</t>
  </si>
  <si>
    <t>'16.06.</t>
  </si>
  <si>
    <t>23</t>
  </si>
  <si>
    <t>'90.10.</t>
  </si>
  <si>
    <t>'20.11.</t>
  </si>
  <si>
    <t>'97.04.</t>
  </si>
  <si>
    <t>'86.11.</t>
  </si>
  <si>
    <t>'82.06.</t>
  </si>
  <si>
    <t>'00.05.</t>
  </si>
  <si>
    <t>'97.03.</t>
  </si>
  <si>
    <t>'00.06.</t>
  </si>
  <si>
    <t>'96.10.</t>
  </si>
  <si>
    <t>'95.12.</t>
  </si>
  <si>
    <t>'97.10.</t>
  </si>
  <si>
    <t>'90.12.</t>
  </si>
  <si>
    <t>'98.01.</t>
  </si>
  <si>
    <t>'92.11.</t>
  </si>
  <si>
    <t>'11.01.</t>
  </si>
  <si>
    <t>'94.05.</t>
  </si>
  <si>
    <t>'97.11.</t>
  </si>
  <si>
    <t>'96.02.</t>
  </si>
  <si>
    <t>'18.08.</t>
  </si>
  <si>
    <t>25</t>
  </si>
  <si>
    <t>'98.04.</t>
  </si>
  <si>
    <t>'93.05.</t>
  </si>
  <si>
    <t>'99.11.</t>
  </si>
  <si>
    <t>'17.02.</t>
  </si>
  <si>
    <t>'16.01.</t>
  </si>
  <si>
    <t>'06.05.</t>
  </si>
  <si>
    <t>'15.07.</t>
  </si>
  <si>
    <t>'06.11.</t>
  </si>
  <si>
    <t>'18.02.</t>
  </si>
  <si>
    <t>20</t>
  </si>
  <si>
    <t>30</t>
  </si>
  <si>
    <t>28</t>
  </si>
  <si>
    <t>'06.02.</t>
  </si>
  <si>
    <t>'06.07.</t>
  </si>
  <si>
    <t>'24.05.</t>
  </si>
  <si>
    <t>'06.06.</t>
  </si>
  <si>
    <t>'98.08.</t>
  </si>
  <si>
    <t>'15.09.</t>
  </si>
  <si>
    <t>'96.11.</t>
  </si>
  <si>
    <t>'92.06.</t>
  </si>
  <si>
    <t>'15.12.</t>
  </si>
  <si>
    <t>'91.07.</t>
  </si>
  <si>
    <t>'92.10.</t>
  </si>
  <si>
    <t>'95.10.</t>
  </si>
  <si>
    <t>'93.11.</t>
  </si>
  <si>
    <t>'91.03.</t>
  </si>
  <si>
    <t>'95.07.</t>
  </si>
  <si>
    <t>'98.12.</t>
  </si>
  <si>
    <t>'90.11.</t>
  </si>
  <si>
    <t>'22.01.</t>
  </si>
  <si>
    <t>'95.09.</t>
  </si>
  <si>
    <t>'96.06.</t>
  </si>
  <si>
    <t>'91.12.</t>
  </si>
  <si>
    <t>'96.05.</t>
  </si>
  <si>
    <t>'16.07.</t>
  </si>
  <si>
    <t>'96.07.</t>
  </si>
  <si>
    <t>'97.01.</t>
  </si>
  <si>
    <t>'14.05.</t>
  </si>
  <si>
    <t>'94.10.</t>
  </si>
  <si>
    <t>'14.11.</t>
  </si>
  <si>
    <t>'13.03.</t>
  </si>
  <si>
    <t>'15.03.</t>
  </si>
  <si>
    <t>22</t>
  </si>
  <si>
    <t>'14.04.</t>
  </si>
  <si>
    <t>동명</t>
  </si>
  <si>
    <t>'19.04</t>
  </si>
  <si>
    <t>09.05.</t>
    <phoneticPr fontId="2" type="noConversion"/>
  </si>
  <si>
    <t>내덕동 율량서희스타힐스</t>
    <phoneticPr fontId="2" type="noConversion"/>
  </si>
  <si>
    <t>16.06.</t>
    <phoneticPr fontId="2" type="noConversion"/>
  </si>
  <si>
    <t>내덕동 신화</t>
    <phoneticPr fontId="2" type="noConversion"/>
  </si>
  <si>
    <t>90.10.</t>
    <phoneticPr fontId="2" type="noConversion"/>
  </si>
  <si>
    <t>90.10.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</si>
  <si>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</si>
  <si>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</si>
  <si>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</si>
  <si>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</si>
  <si>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영우예인촌</t>
    <phoneticPr fontId="2" type="noConversion"/>
  </si>
  <si>
    <t>97.04.</t>
    <phoneticPr fontId="2" type="noConversion"/>
  </si>
  <si>
    <t>내덕동 롯데삼성</t>
    <phoneticPr fontId="2" type="noConversion"/>
  </si>
  <si>
    <t>86.11.</t>
    <phoneticPr fontId="2" type="noConversion"/>
  </si>
  <si>
    <t>86.11.</t>
    <phoneticPr fontId="2" type="noConversion"/>
  </si>
  <si>
    <t>내덕동 시영</t>
    <phoneticPr fontId="2" type="noConversion"/>
  </si>
  <si>
    <t>82.06.</t>
    <phoneticPr fontId="2" type="noConversion"/>
  </si>
  <si>
    <t>82.06.</t>
    <phoneticPr fontId="2" type="noConversion"/>
  </si>
  <si>
    <t>내수읍 은곡무지개</t>
    <phoneticPr fontId="2" type="noConversion"/>
  </si>
  <si>
    <t>00.05.</t>
    <phoneticPr fontId="2" type="noConversion"/>
  </si>
  <si>
    <t>97.03.</t>
    <phoneticPr fontId="2" type="noConversion"/>
  </si>
  <si>
    <t>내수읍 천일은곡</t>
    <phoneticPr fontId="2" type="noConversion"/>
  </si>
  <si>
    <t>내수읍 삼일</t>
    <phoneticPr fontId="2" type="noConversion"/>
  </si>
  <si>
    <t>96.10.</t>
    <phoneticPr fontId="2" type="noConversion"/>
  </si>
  <si>
    <t>96.10.</t>
    <phoneticPr fontId="2" type="noConversion"/>
  </si>
  <si>
    <t>내수읍 우창진주1차(56)</t>
    <phoneticPr fontId="2" type="noConversion"/>
  </si>
  <si>
    <t>95.12.</t>
    <phoneticPr fontId="2" type="noConversion"/>
  </si>
  <si>
    <t>내수읍 덕일한마음</t>
    <phoneticPr fontId="2" type="noConversion"/>
  </si>
  <si>
    <t>97.10.</t>
    <phoneticPr fontId="2" type="noConversion"/>
  </si>
  <si>
    <t>내수읍 덕일한마음</t>
    <phoneticPr fontId="2" type="noConversion"/>
  </si>
  <si>
    <t>97.10.</t>
    <phoneticPr fontId="2" type="noConversion"/>
  </si>
  <si>
    <t>내수읍 진흥1차</t>
    <phoneticPr fontId="2" type="noConversion"/>
  </si>
  <si>
    <t>90.12.</t>
    <phoneticPr fontId="2" type="noConversion"/>
  </si>
  <si>
    <t>90.12.</t>
    <phoneticPr fontId="2" type="noConversion"/>
  </si>
  <si>
    <t>내수읍 우창진주3차</t>
    <phoneticPr fontId="2" type="noConversion"/>
  </si>
  <si>
    <t>98.01.</t>
    <phoneticPr fontId="2" type="noConversion"/>
  </si>
  <si>
    <t>내수읍 진흥2차</t>
    <phoneticPr fontId="2" type="noConversion"/>
  </si>
  <si>
    <t>92.11.</t>
    <phoneticPr fontId="2" type="noConversion"/>
  </si>
  <si>
    <t>사천동 남광하우스토리A단지</t>
    <phoneticPr fontId="2" type="noConversion"/>
  </si>
  <si>
    <t>11.01.</t>
    <phoneticPr fontId="2" type="noConversion"/>
  </si>
  <si>
    <t>11.01.</t>
    <phoneticPr fontId="2" type="noConversion"/>
  </si>
  <si>
    <t>사천동 사천동아1차</t>
    <phoneticPr fontId="2" type="noConversion"/>
  </si>
  <si>
    <t>94.05.</t>
    <phoneticPr fontId="2" type="noConversion"/>
  </si>
  <si>
    <t>94.05.</t>
    <phoneticPr fontId="2" type="noConversion"/>
  </si>
  <si>
    <t>사천동 덕성그린</t>
    <phoneticPr fontId="2" type="noConversion"/>
  </si>
  <si>
    <t>97.11.</t>
    <phoneticPr fontId="2" type="noConversion"/>
  </si>
  <si>
    <t>97.11.</t>
    <phoneticPr fontId="2" type="noConversion"/>
  </si>
  <si>
    <t>사천동 사천동아2차</t>
    <phoneticPr fontId="2" type="noConversion"/>
  </si>
  <si>
    <t>96.02.</t>
    <phoneticPr fontId="2" type="noConversion"/>
  </si>
  <si>
    <t>사천동 사천동아2차</t>
    <phoneticPr fontId="2" type="noConversion"/>
  </si>
  <si>
    <t>사천동 청주사천푸르지오</t>
    <phoneticPr fontId="2" type="noConversion"/>
  </si>
  <si>
    <t>18.08.</t>
    <phoneticPr fontId="2" type="noConversion"/>
  </si>
  <si>
    <t>사천동 청주사천푸르지오</t>
    <phoneticPr fontId="2" type="noConversion"/>
  </si>
  <si>
    <t>18.08.</t>
    <phoneticPr fontId="2" type="noConversion"/>
  </si>
  <si>
    <t>사천동 대창1차</t>
    <phoneticPr fontId="2" type="noConversion"/>
  </si>
  <si>
    <t>98.04.</t>
    <phoneticPr fontId="2" type="noConversion"/>
  </si>
  <si>
    <t>사천동 대창1차</t>
    <phoneticPr fontId="2" type="noConversion"/>
  </si>
  <si>
    <t>사천동 신동아</t>
    <phoneticPr fontId="2" type="noConversion"/>
  </si>
  <si>
    <t>93.05.</t>
    <phoneticPr fontId="2" type="noConversion"/>
  </si>
  <si>
    <t>93.05.</t>
    <phoneticPr fontId="2" type="noConversion"/>
  </si>
  <si>
    <t>사천동 정도드림-빌</t>
    <phoneticPr fontId="2" type="noConversion"/>
  </si>
  <si>
    <t>99.11.</t>
    <phoneticPr fontId="2" type="noConversion"/>
  </si>
  <si>
    <t>사천동 남광하우스토리B단지</t>
    <phoneticPr fontId="2" type="noConversion"/>
  </si>
  <si>
    <t>사천동 남광하우스토리B단지</t>
    <phoneticPr fontId="2" type="noConversion"/>
  </si>
  <si>
    <t>오창읍 대원칸타빌(2블럭)</t>
    <phoneticPr fontId="2" type="noConversion"/>
  </si>
  <si>
    <t>17.02.</t>
    <phoneticPr fontId="2" type="noConversion"/>
  </si>
  <si>
    <t>17.02.</t>
    <phoneticPr fontId="2" type="noConversion"/>
  </si>
  <si>
    <t>오창읍 오창모아미래도와이드시티</t>
    <phoneticPr fontId="2" type="noConversion"/>
  </si>
  <si>
    <t>16.01.</t>
    <phoneticPr fontId="2" type="noConversion"/>
  </si>
  <si>
    <t>16.01.</t>
    <phoneticPr fontId="2" type="noConversion"/>
  </si>
  <si>
    <t>오창읍 오창쌍용스윗닷홈예가</t>
    <phoneticPr fontId="2" type="noConversion"/>
  </si>
  <si>
    <t>06.05.</t>
    <phoneticPr fontId="2" type="noConversion"/>
  </si>
  <si>
    <t>오창읍 중앙하이츠빌</t>
    <phoneticPr fontId="2" type="noConversion"/>
  </si>
  <si>
    <t>오창읍 오창모아미래도와이드파크(3블럭)</t>
    <phoneticPr fontId="2" type="noConversion"/>
  </si>
  <si>
    <t>15.07.</t>
    <phoneticPr fontId="2" type="noConversion"/>
  </si>
  <si>
    <t>오창읍 우림필유2차</t>
    <phoneticPr fontId="2" type="noConversion"/>
  </si>
  <si>
    <t>06.11.</t>
    <phoneticPr fontId="2" type="noConversion"/>
  </si>
  <si>
    <t>오창읍 한라비발디</t>
    <phoneticPr fontId="2" type="noConversion"/>
  </si>
  <si>
    <t>오창읍 한신더휴센트럴파크</t>
    <phoneticPr fontId="2" type="noConversion"/>
  </si>
  <si>
    <t>18.02.</t>
    <phoneticPr fontId="2" type="noConversion"/>
  </si>
  <si>
    <t>오창읍 오창롯데캐슬더하이스트</t>
    <phoneticPr fontId="2" type="noConversion"/>
  </si>
  <si>
    <t>06.02.</t>
    <phoneticPr fontId="2" type="noConversion"/>
  </si>
  <si>
    <t>오창읍 오창반도유보라퍼스티지</t>
    <phoneticPr fontId="2" type="noConversion"/>
  </si>
  <si>
    <t>24.05.</t>
    <phoneticPr fontId="2" type="noConversion"/>
  </si>
  <si>
    <t>06.06.</t>
    <phoneticPr fontId="2" type="noConversion"/>
  </si>
  <si>
    <t>15.09.</t>
    <phoneticPr fontId="2" type="noConversion"/>
  </si>
  <si>
    <t>96.11.</t>
    <phoneticPr fontId="2" type="noConversion"/>
  </si>
  <si>
    <t>92.06.</t>
    <phoneticPr fontId="2" type="noConversion"/>
  </si>
  <si>
    <t>율량동 대원칸타빌4차</t>
    <phoneticPr fontId="2" type="noConversion"/>
  </si>
  <si>
    <t>15.12.</t>
    <phoneticPr fontId="2" type="noConversion"/>
  </si>
  <si>
    <t>율량동 삼정1차</t>
    <phoneticPr fontId="2" type="noConversion"/>
  </si>
  <si>
    <t>91.07.</t>
    <phoneticPr fontId="2" type="noConversion"/>
  </si>
  <si>
    <t>율량동 현대</t>
    <phoneticPr fontId="2" type="noConversion"/>
  </si>
  <si>
    <t>92.10.</t>
    <phoneticPr fontId="2" type="noConversion"/>
  </si>
  <si>
    <t>율량동 신라(1292)</t>
    <phoneticPr fontId="2" type="noConversion"/>
  </si>
  <si>
    <t>95.10.</t>
    <phoneticPr fontId="2" type="noConversion"/>
  </si>
  <si>
    <t>율량동 율량부강마을</t>
    <phoneticPr fontId="2" type="noConversion"/>
  </si>
  <si>
    <t>93.11.</t>
    <phoneticPr fontId="2" type="noConversion"/>
  </si>
  <si>
    <t>율량동 율량럭키</t>
    <phoneticPr fontId="2" type="noConversion"/>
  </si>
  <si>
    <t>91.03.</t>
    <phoneticPr fontId="2" type="noConversion"/>
  </si>
  <si>
    <t>율량동 성원</t>
    <phoneticPr fontId="2" type="noConversion"/>
  </si>
  <si>
    <t>95.07.</t>
    <phoneticPr fontId="2" type="noConversion"/>
  </si>
  <si>
    <t>율량동 한울3차</t>
    <phoneticPr fontId="2" type="noConversion"/>
  </si>
  <si>
    <t>율량동 동아</t>
    <phoneticPr fontId="2" type="noConversion"/>
  </si>
  <si>
    <t>90.11.</t>
    <phoneticPr fontId="2" type="noConversion"/>
  </si>
  <si>
    <t>율량동 율량금호어울림센트로</t>
    <phoneticPr fontId="2" type="noConversion"/>
  </si>
  <si>
    <t>22.01.</t>
    <phoneticPr fontId="2" type="noConversion"/>
  </si>
  <si>
    <t>95.09.</t>
    <phoneticPr fontId="2" type="noConversion"/>
  </si>
  <si>
    <t>율량동 두진백로그린타운</t>
    <phoneticPr fontId="2" type="noConversion"/>
  </si>
  <si>
    <t>96.06.</t>
    <phoneticPr fontId="2" type="noConversion"/>
  </si>
  <si>
    <t>율량동 율량현대</t>
    <phoneticPr fontId="2" type="noConversion"/>
  </si>
  <si>
    <t>91.12.</t>
    <phoneticPr fontId="2" type="noConversion"/>
  </si>
  <si>
    <t>율량동 삼성</t>
    <phoneticPr fontId="2" type="noConversion"/>
  </si>
  <si>
    <t>96.05.</t>
    <phoneticPr fontId="2" type="noConversion"/>
  </si>
  <si>
    <t>율량동 제일풍경채</t>
    <phoneticPr fontId="2" type="noConversion"/>
  </si>
  <si>
    <t>16.07.</t>
    <phoneticPr fontId="2" type="noConversion"/>
  </si>
  <si>
    <t>96.07.</t>
    <phoneticPr fontId="2" type="noConversion"/>
  </si>
  <si>
    <t>율량동 율량효성2차</t>
    <phoneticPr fontId="2" type="noConversion"/>
  </si>
  <si>
    <t>97.01.</t>
    <phoneticPr fontId="2" type="noConversion"/>
  </si>
  <si>
    <t>94.10.</t>
    <phoneticPr fontId="2" type="noConversion"/>
  </si>
  <si>
    <t>14.11.</t>
    <phoneticPr fontId="2" type="noConversion"/>
  </si>
  <si>
    <t>주성동 대원칸타빌3차</t>
    <phoneticPr fontId="2" type="noConversion"/>
  </si>
  <si>
    <t>15.03.</t>
    <phoneticPr fontId="2" type="noConversion"/>
  </si>
  <si>
    <t>주중동 대원칸타빌2차</t>
    <phoneticPr fontId="2" type="noConversion"/>
  </si>
  <si>
    <t>14.04.</t>
    <phoneticPr fontId="2" type="noConversion"/>
  </si>
  <si>
    <t>16.06.</t>
    <phoneticPr fontId="2" type="noConversion"/>
  </si>
  <si>
    <t>98.04.</t>
    <phoneticPr fontId="2" type="noConversion"/>
  </si>
  <si>
    <t>내덕동 이랜드해가든</t>
    <phoneticPr fontId="2" type="noConversion"/>
  </si>
  <si>
    <t>09.05.</t>
    <phoneticPr fontId="2" type="noConversion"/>
  </si>
  <si>
    <t>내덕동 이랜드해가든</t>
    <phoneticPr fontId="2" type="noConversion"/>
  </si>
  <si>
    <t>내덕동 삼일</t>
    <phoneticPr fontId="2" type="noConversion"/>
  </si>
  <si>
    <t>89.11.</t>
    <phoneticPr fontId="2" type="noConversion"/>
  </si>
  <si>
    <t>내덕동 율량서희스타힐스</t>
    <phoneticPr fontId="2" type="noConversion"/>
  </si>
  <si>
    <t>16.06.</t>
    <phoneticPr fontId="2" type="noConversion"/>
  </si>
  <si>
    <t>내덕동 율량서희스타힐스</t>
    <phoneticPr fontId="2" type="noConversion"/>
  </si>
  <si>
    <t>내덕동 신화</t>
    <phoneticPr fontId="2" type="noConversion"/>
  </si>
  <si>
    <t>내덕동 신화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</si>
  <si>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</si>
  <si>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</si>
  <si>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</si>
  <si>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</si>
  <si>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</si>
  <si>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</si>
  <si>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</si>
  <si>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</si>
  <si>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</si>
  <si>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</si>
  <si>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</si>
  <si>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영우예인촌</t>
    <phoneticPr fontId="2" type="noConversion"/>
  </si>
  <si>
    <t>97.04.</t>
    <phoneticPr fontId="2" type="noConversion"/>
  </si>
  <si>
    <t>내덕동 롯데삼성</t>
    <phoneticPr fontId="2" type="noConversion"/>
  </si>
  <si>
    <t>내덕동 시영</t>
    <phoneticPr fontId="2" type="noConversion"/>
  </si>
  <si>
    <t>내수읍 은곡무지개</t>
    <phoneticPr fontId="2" type="noConversion"/>
  </si>
  <si>
    <t>00.05.</t>
    <phoneticPr fontId="2" type="noConversion"/>
  </si>
  <si>
    <t>내수읍 우창진주2차(51-3)</t>
    <phoneticPr fontId="2" type="noConversion"/>
  </si>
  <si>
    <t>내수읍 천일은곡</t>
    <phoneticPr fontId="2" type="noConversion"/>
  </si>
  <si>
    <t>00.06.</t>
    <phoneticPr fontId="2" type="noConversion"/>
  </si>
  <si>
    <t>내수읍 삼일</t>
    <phoneticPr fontId="2" type="noConversion"/>
  </si>
  <si>
    <t>96.10.</t>
    <phoneticPr fontId="2" type="noConversion"/>
  </si>
  <si>
    <t>내수읍 삼일</t>
    <phoneticPr fontId="2" type="noConversion"/>
  </si>
  <si>
    <t>96.10.</t>
    <phoneticPr fontId="2" type="noConversion"/>
  </si>
  <si>
    <t>내수읍 삼일</t>
    <phoneticPr fontId="2" type="noConversion"/>
  </si>
  <si>
    <t>내수읍 우창진주1차(56)</t>
    <phoneticPr fontId="2" type="noConversion"/>
  </si>
  <si>
    <t>95.12.</t>
    <phoneticPr fontId="2" type="noConversion"/>
  </si>
  <si>
    <t>내수읍 덕일한마음</t>
    <phoneticPr fontId="2" type="noConversion"/>
  </si>
  <si>
    <t>내수읍 덕일한마음</t>
    <phoneticPr fontId="2" type="noConversion"/>
  </si>
  <si>
    <t>97.10.</t>
    <phoneticPr fontId="2" type="noConversion"/>
  </si>
  <si>
    <t>내수읍 진흥1차</t>
    <phoneticPr fontId="2" type="noConversion"/>
  </si>
  <si>
    <t>내수읍 우창진주3차</t>
    <phoneticPr fontId="2" type="noConversion"/>
  </si>
  <si>
    <t>98.01.</t>
    <phoneticPr fontId="2" type="noConversion"/>
  </si>
  <si>
    <t>92.11.</t>
    <phoneticPr fontId="2" type="noConversion"/>
  </si>
  <si>
    <t>사천동 남광하우스토리A단지</t>
    <phoneticPr fontId="2" type="noConversion"/>
  </si>
  <si>
    <t>11.01.</t>
    <phoneticPr fontId="2" type="noConversion"/>
  </si>
  <si>
    <t>사천동 사천동아1차</t>
    <phoneticPr fontId="2" type="noConversion"/>
  </si>
  <si>
    <t>사천동 사천동아1차</t>
    <phoneticPr fontId="2" type="noConversion"/>
  </si>
  <si>
    <t>사천동 사천동아1차</t>
    <phoneticPr fontId="2" type="noConversion"/>
  </si>
  <si>
    <t>94.05.</t>
    <phoneticPr fontId="2" type="noConversion"/>
  </si>
  <si>
    <t>사천동 덕성그린</t>
    <phoneticPr fontId="2" type="noConversion"/>
  </si>
  <si>
    <t>사천동 덕성그린</t>
    <phoneticPr fontId="2" type="noConversion"/>
  </si>
  <si>
    <t>96.02.</t>
    <phoneticPr fontId="2" type="noConversion"/>
  </si>
  <si>
    <t>사천동 대창1차</t>
    <phoneticPr fontId="2" type="noConversion"/>
  </si>
  <si>
    <t>98.04.</t>
    <phoneticPr fontId="2" type="noConversion"/>
  </si>
  <si>
    <t>사천동 대창1차</t>
    <phoneticPr fontId="2" type="noConversion"/>
  </si>
  <si>
    <t>사천동 신동아</t>
    <phoneticPr fontId="2" type="noConversion"/>
  </si>
  <si>
    <t>사천동 신동아</t>
    <phoneticPr fontId="2" type="noConversion"/>
  </si>
  <si>
    <t>사천동 신동아</t>
    <phoneticPr fontId="2" type="noConversion"/>
  </si>
  <si>
    <t>사천동 신동아</t>
    <phoneticPr fontId="2" type="noConversion"/>
  </si>
  <si>
    <t>사천동 정도드림-빌</t>
    <phoneticPr fontId="2" type="noConversion"/>
  </si>
  <si>
    <t>사천동 남광하우스토리B단지</t>
    <phoneticPr fontId="2" type="noConversion"/>
  </si>
  <si>
    <t>11.01.</t>
    <phoneticPr fontId="2" type="noConversion"/>
  </si>
  <si>
    <t>오창읍 대원칸타빌(2블럭)</t>
    <phoneticPr fontId="2" type="noConversion"/>
  </si>
  <si>
    <t>오창읍 대원칸타빌(2블럭)</t>
    <phoneticPr fontId="2" type="noConversion"/>
  </si>
  <si>
    <t>오창읍 대원칸타빌(2블럭)</t>
    <phoneticPr fontId="2" type="noConversion"/>
  </si>
  <si>
    <t>오창읍 오창모아미래도와이드시티</t>
    <phoneticPr fontId="2" type="noConversion"/>
  </si>
  <si>
    <t>오창읍 오창모아미래도와이드시티</t>
    <phoneticPr fontId="2" type="noConversion"/>
  </si>
  <si>
    <t>오창읍 중앙하이츠빌</t>
    <phoneticPr fontId="2" type="noConversion"/>
  </si>
  <si>
    <t>16.01.</t>
    <phoneticPr fontId="2" type="noConversion"/>
  </si>
  <si>
    <t>오창읍 오창대성베르힐</t>
    <phoneticPr fontId="2" type="noConversion"/>
  </si>
  <si>
    <t>18.02.</t>
    <phoneticPr fontId="2" type="noConversion"/>
  </si>
  <si>
    <t>18.02.</t>
    <phoneticPr fontId="2" type="noConversion"/>
  </si>
  <si>
    <t>오창읍 한신더휴센트럴파크</t>
    <phoneticPr fontId="2" type="noConversion"/>
  </si>
  <si>
    <t>오창읍 오창롯데캐슬더하이스트</t>
    <phoneticPr fontId="2" type="noConversion"/>
  </si>
  <si>
    <t>오창읍 오창롯데캐슬더하이스트</t>
    <phoneticPr fontId="2" type="noConversion"/>
  </si>
  <si>
    <t>18.08.</t>
    <phoneticPr fontId="2" type="noConversion"/>
  </si>
  <si>
    <t>오창읍 오창롯데캐슬더하이스트</t>
    <phoneticPr fontId="2" type="noConversion"/>
  </si>
  <si>
    <t>18.08.</t>
    <phoneticPr fontId="2" type="noConversion"/>
  </si>
  <si>
    <t>오창읍 오창롯데캐슬더하이스트</t>
    <phoneticPr fontId="2" type="noConversion"/>
  </si>
  <si>
    <t>18.08.</t>
    <phoneticPr fontId="2" type="noConversion"/>
  </si>
  <si>
    <t>오창읍 오창이안</t>
    <phoneticPr fontId="2" type="noConversion"/>
  </si>
  <si>
    <t>06.02.</t>
    <phoneticPr fontId="2" type="noConversion"/>
  </si>
  <si>
    <t>오창읍 오창이안</t>
    <phoneticPr fontId="2" type="noConversion"/>
  </si>
  <si>
    <t>오창읍 오창이안</t>
    <phoneticPr fontId="2" type="noConversion"/>
  </si>
  <si>
    <t>오창읍 대원칸타빌</t>
    <phoneticPr fontId="2" type="noConversion"/>
  </si>
  <si>
    <t>06.07.</t>
    <phoneticPr fontId="2" type="noConversion"/>
  </si>
  <si>
    <t>오창읍 대원칸타빌</t>
    <phoneticPr fontId="2" type="noConversion"/>
  </si>
  <si>
    <t>06.07.</t>
    <phoneticPr fontId="2" type="noConversion"/>
  </si>
  <si>
    <t>오창읍 오창반도유보라퍼스티지</t>
    <phoneticPr fontId="2" type="noConversion"/>
  </si>
  <si>
    <t>24.05.</t>
    <phoneticPr fontId="2" type="noConversion"/>
  </si>
  <si>
    <t>오창읍 오창반도유보라퍼스티지</t>
    <phoneticPr fontId="2" type="noConversion"/>
  </si>
  <si>
    <t>24.05.</t>
    <phoneticPr fontId="2" type="noConversion"/>
  </si>
  <si>
    <t>오창읍 코아루</t>
    <phoneticPr fontId="2" type="noConversion"/>
  </si>
  <si>
    <t>06.06.</t>
    <phoneticPr fontId="2" type="noConversion"/>
  </si>
  <si>
    <t>오창읍 우림필유1차</t>
    <phoneticPr fontId="2" type="noConversion"/>
  </si>
  <si>
    <t>06.05.</t>
    <phoneticPr fontId="2" type="noConversion"/>
  </si>
  <si>
    <t>오창읍 우림필유1차</t>
    <phoneticPr fontId="2" type="noConversion"/>
  </si>
  <si>
    <t>오창읍 우림필유1차</t>
    <phoneticPr fontId="2" type="noConversion"/>
  </si>
  <si>
    <t>06.05.</t>
    <phoneticPr fontId="2" type="noConversion"/>
  </si>
  <si>
    <t>오창읍 덕성그린</t>
    <phoneticPr fontId="2" type="noConversion"/>
  </si>
  <si>
    <t>98.08.</t>
    <phoneticPr fontId="2" type="noConversion"/>
  </si>
  <si>
    <t>우암동 우암세원</t>
    <phoneticPr fontId="2" type="noConversion"/>
  </si>
  <si>
    <t>99.11.</t>
    <phoneticPr fontId="2" type="noConversion"/>
  </si>
  <si>
    <t>우암동 우암세원</t>
    <phoneticPr fontId="2" type="noConversion"/>
  </si>
  <si>
    <t>우암동 일진캠퍼스타워</t>
    <phoneticPr fontId="2" type="noConversion"/>
  </si>
  <si>
    <t>15.09.</t>
    <phoneticPr fontId="2" type="noConversion"/>
  </si>
  <si>
    <t>우암동 일진캠퍼스타워</t>
    <phoneticPr fontId="2" type="noConversion"/>
  </si>
  <si>
    <t>15.09.</t>
    <phoneticPr fontId="2" type="noConversion"/>
  </si>
  <si>
    <t>우암동 일진캠퍼스타워</t>
    <phoneticPr fontId="2" type="noConversion"/>
  </si>
  <si>
    <t>15.09.</t>
    <phoneticPr fontId="2" type="noConversion"/>
  </si>
  <si>
    <t>우암동 일진캠퍼스타워</t>
    <phoneticPr fontId="2" type="noConversion"/>
  </si>
  <si>
    <t>15.09.</t>
    <phoneticPr fontId="2" type="noConversion"/>
  </si>
  <si>
    <t>우암동 일진캠퍼스타워</t>
    <phoneticPr fontId="2" type="noConversion"/>
  </si>
  <si>
    <t>15.09.</t>
    <phoneticPr fontId="2" type="noConversion"/>
  </si>
  <si>
    <t>우암동 일진캠퍼스타워</t>
    <phoneticPr fontId="2" type="noConversion"/>
  </si>
  <si>
    <t>15.09.</t>
    <phoneticPr fontId="2" type="noConversion"/>
  </si>
  <si>
    <t>우암동 일진캠퍼스타워</t>
    <phoneticPr fontId="2" type="noConversion"/>
  </si>
  <si>
    <t>15.09.</t>
    <phoneticPr fontId="2" type="noConversion"/>
  </si>
  <si>
    <t>우암동 덕일한마음</t>
    <phoneticPr fontId="2" type="noConversion"/>
  </si>
  <si>
    <t>우암동 덕일한마음</t>
    <phoneticPr fontId="2" type="noConversion"/>
  </si>
  <si>
    <t>96.11.</t>
    <phoneticPr fontId="2" type="noConversion"/>
  </si>
  <si>
    <t>우암동 덕일한마음</t>
    <phoneticPr fontId="2" type="noConversion"/>
  </si>
  <si>
    <t>96.11.</t>
    <phoneticPr fontId="2" type="noConversion"/>
  </si>
  <si>
    <t>율량동 삼정2차</t>
    <phoneticPr fontId="2" type="noConversion"/>
  </si>
  <si>
    <t>92.06.</t>
    <phoneticPr fontId="2" type="noConversion"/>
  </si>
  <si>
    <t>율량동 삼정2차</t>
    <phoneticPr fontId="2" type="noConversion"/>
  </si>
  <si>
    <t>율량동 대원칸타빌4차</t>
    <phoneticPr fontId="2" type="noConversion"/>
  </si>
  <si>
    <t>15.12.</t>
    <phoneticPr fontId="2" type="noConversion"/>
  </si>
  <si>
    <t>율량동 대원칸타빌4차</t>
    <phoneticPr fontId="2" type="noConversion"/>
  </si>
  <si>
    <t>15.12.</t>
    <phoneticPr fontId="2" type="noConversion"/>
  </si>
  <si>
    <t>율량동 대원칸타빌4차</t>
    <phoneticPr fontId="2" type="noConversion"/>
  </si>
  <si>
    <t>15.12.</t>
    <phoneticPr fontId="2" type="noConversion"/>
  </si>
  <si>
    <t>율량동 대원칸타빌4차</t>
    <phoneticPr fontId="2" type="noConversion"/>
  </si>
  <si>
    <t>15.12.</t>
    <phoneticPr fontId="2" type="noConversion"/>
  </si>
  <si>
    <t>율량동 삼정1차</t>
    <phoneticPr fontId="2" type="noConversion"/>
  </si>
  <si>
    <t>91.07.</t>
    <phoneticPr fontId="2" type="noConversion"/>
  </si>
  <si>
    <t>율량동 삼정1차</t>
    <phoneticPr fontId="2" type="noConversion"/>
  </si>
  <si>
    <t>율량동 현대</t>
    <phoneticPr fontId="2" type="noConversion"/>
  </si>
  <si>
    <t>율량동 현대</t>
    <phoneticPr fontId="2" type="noConversion"/>
  </si>
  <si>
    <t>92.10.</t>
    <phoneticPr fontId="2" type="noConversion"/>
  </si>
  <si>
    <t>율량동 현대</t>
    <phoneticPr fontId="2" type="noConversion"/>
  </si>
  <si>
    <t>92.10.</t>
    <phoneticPr fontId="2" type="noConversion"/>
  </si>
  <si>
    <t>율량동 신라(1292)</t>
    <phoneticPr fontId="2" type="noConversion"/>
  </si>
  <si>
    <t>95.10.</t>
    <phoneticPr fontId="2" type="noConversion"/>
  </si>
  <si>
    <t>율량동 신라(1292)</t>
    <phoneticPr fontId="2" type="noConversion"/>
  </si>
  <si>
    <t>95.10.</t>
    <phoneticPr fontId="2" type="noConversion"/>
  </si>
  <si>
    <t>율량동 율량부강마을</t>
    <phoneticPr fontId="2" type="noConversion"/>
  </si>
  <si>
    <t>93.11.</t>
    <phoneticPr fontId="2" type="noConversion"/>
  </si>
  <si>
    <t>율량동 율량부강마을</t>
    <phoneticPr fontId="2" type="noConversion"/>
  </si>
  <si>
    <t>93.11.</t>
    <phoneticPr fontId="2" type="noConversion"/>
  </si>
  <si>
    <t>율량동 율량럭키</t>
    <phoneticPr fontId="2" type="noConversion"/>
  </si>
  <si>
    <t>91.03.</t>
    <phoneticPr fontId="2" type="noConversion"/>
  </si>
  <si>
    <t>율량동 성원</t>
    <phoneticPr fontId="2" type="noConversion"/>
  </si>
  <si>
    <t>율량동 성원</t>
    <phoneticPr fontId="2" type="noConversion"/>
  </si>
  <si>
    <t>95.07.</t>
    <phoneticPr fontId="2" type="noConversion"/>
  </si>
  <si>
    <t>율량동 한울3차</t>
    <phoneticPr fontId="2" type="noConversion"/>
  </si>
  <si>
    <t>98.12.</t>
    <phoneticPr fontId="2" type="noConversion"/>
  </si>
  <si>
    <t>율량동 한울3차</t>
    <phoneticPr fontId="2" type="noConversion"/>
  </si>
  <si>
    <t>98.12.</t>
    <phoneticPr fontId="2" type="noConversion"/>
  </si>
  <si>
    <t>율량동 동아</t>
    <phoneticPr fontId="2" type="noConversion"/>
  </si>
  <si>
    <t>90.11.</t>
    <phoneticPr fontId="2" type="noConversion"/>
  </si>
  <si>
    <t>율량동 동아</t>
    <phoneticPr fontId="2" type="noConversion"/>
  </si>
  <si>
    <t>90.11.</t>
    <phoneticPr fontId="2" type="noConversion"/>
  </si>
  <si>
    <t>율량동 율량금호어울림센트로</t>
    <phoneticPr fontId="2" type="noConversion"/>
  </si>
  <si>
    <t>22.01.</t>
    <phoneticPr fontId="2" type="noConversion"/>
  </si>
  <si>
    <t>율량동 율량금호어울림센트로</t>
    <phoneticPr fontId="2" type="noConversion"/>
  </si>
  <si>
    <t>22.01.</t>
    <phoneticPr fontId="2" type="noConversion"/>
  </si>
  <si>
    <t>22.01.</t>
    <phoneticPr fontId="2" type="noConversion"/>
  </si>
  <si>
    <t>율량동 율량금호어울림센트로</t>
    <phoneticPr fontId="2" type="noConversion"/>
  </si>
  <si>
    <t>22.01.</t>
    <phoneticPr fontId="2" type="noConversion"/>
  </si>
  <si>
    <t>율량동 율량금호어울림센트로</t>
    <phoneticPr fontId="2" type="noConversion"/>
  </si>
  <si>
    <t>율량동 율량대창3차</t>
    <phoneticPr fontId="2" type="noConversion"/>
  </si>
  <si>
    <t>율량동 두진백로그린타운</t>
    <phoneticPr fontId="2" type="noConversion"/>
  </si>
  <si>
    <t>96.06.</t>
    <phoneticPr fontId="2" type="noConversion"/>
  </si>
  <si>
    <t>율량동 두진백로그린타운</t>
    <phoneticPr fontId="2" type="noConversion"/>
  </si>
  <si>
    <t>율량동 율량현대</t>
    <phoneticPr fontId="2" type="noConversion"/>
  </si>
  <si>
    <t>91.12.</t>
    <phoneticPr fontId="2" type="noConversion"/>
  </si>
  <si>
    <t>율량동 율량현대</t>
    <phoneticPr fontId="2" type="noConversion"/>
  </si>
  <si>
    <t>율량동 율량현대</t>
    <phoneticPr fontId="2" type="noConversion"/>
  </si>
  <si>
    <t>91.12.</t>
    <phoneticPr fontId="2" type="noConversion"/>
  </si>
  <si>
    <t>율량동 삼성</t>
    <phoneticPr fontId="2" type="noConversion"/>
  </si>
  <si>
    <t>96.05.</t>
    <phoneticPr fontId="2" type="noConversion"/>
  </si>
  <si>
    <t>96.05.</t>
    <phoneticPr fontId="2" type="noConversion"/>
  </si>
  <si>
    <t>율량동 제일풍경채</t>
    <phoneticPr fontId="2" type="noConversion"/>
  </si>
  <si>
    <t>16.07.</t>
    <phoneticPr fontId="2" type="noConversion"/>
  </si>
  <si>
    <t>율량동 제일풍경채</t>
    <phoneticPr fontId="2" type="noConversion"/>
  </si>
  <si>
    <t>16.07.</t>
    <phoneticPr fontId="2" type="noConversion"/>
  </si>
  <si>
    <t>율량동 율량대창4차</t>
    <phoneticPr fontId="2" type="noConversion"/>
  </si>
  <si>
    <t>96.07.</t>
    <phoneticPr fontId="2" type="noConversion"/>
  </si>
  <si>
    <t>율량동 율량대창4차</t>
    <phoneticPr fontId="2" type="noConversion"/>
  </si>
  <si>
    <t>율량동 율량효성2차</t>
    <phoneticPr fontId="2" type="noConversion"/>
  </si>
  <si>
    <t>97.01.</t>
    <phoneticPr fontId="2" type="noConversion"/>
  </si>
  <si>
    <t>율량동 율량효성2차</t>
    <phoneticPr fontId="2" type="noConversion"/>
  </si>
  <si>
    <t>97.01.</t>
    <phoneticPr fontId="2" type="noConversion"/>
  </si>
  <si>
    <t>율량동 율량7단지선광로즈웰1차</t>
    <phoneticPr fontId="2" type="noConversion"/>
  </si>
  <si>
    <t>14.05.</t>
    <phoneticPr fontId="2" type="noConversion"/>
  </si>
  <si>
    <t>율량동 신라타운</t>
    <phoneticPr fontId="2" type="noConversion"/>
  </si>
  <si>
    <t>94.10.</t>
    <phoneticPr fontId="2" type="noConversion"/>
  </si>
  <si>
    <t>율량동 신라타운</t>
    <phoneticPr fontId="2" type="noConversion"/>
  </si>
  <si>
    <t>율량동 신라타운</t>
    <phoneticPr fontId="2" type="noConversion"/>
  </si>
  <si>
    <t>94.10.</t>
    <phoneticPr fontId="2" type="noConversion"/>
  </si>
  <si>
    <t>주성동 율량5단지선광로즈웰2차</t>
    <phoneticPr fontId="2" type="noConversion"/>
  </si>
  <si>
    <t>14.11.</t>
    <phoneticPr fontId="2" type="noConversion"/>
  </si>
  <si>
    <t>주성동 율량5단지선광로즈웰2차</t>
    <phoneticPr fontId="2" type="noConversion"/>
  </si>
  <si>
    <t>14.11.</t>
    <phoneticPr fontId="2" type="noConversion"/>
  </si>
  <si>
    <t>주성동 율량5단지선광로즈웰2차</t>
    <phoneticPr fontId="2" type="noConversion"/>
  </si>
  <si>
    <t>14.11.</t>
    <phoneticPr fontId="2" type="noConversion"/>
  </si>
  <si>
    <t>주성동 대원칸타빌1차</t>
    <phoneticPr fontId="2" type="noConversion"/>
  </si>
  <si>
    <t>13.03.</t>
    <phoneticPr fontId="2" type="noConversion"/>
  </si>
  <si>
    <t>주성동 대원칸타빌1차</t>
    <phoneticPr fontId="2" type="noConversion"/>
  </si>
  <si>
    <t>13.03.</t>
    <phoneticPr fontId="2" type="noConversion"/>
  </si>
  <si>
    <t>주성동 대원칸타빌1차</t>
    <phoneticPr fontId="2" type="noConversion"/>
  </si>
  <si>
    <t>주성동 대원칸타빌3차</t>
    <phoneticPr fontId="2" type="noConversion"/>
  </si>
  <si>
    <t>15.03.</t>
    <phoneticPr fontId="2" type="noConversion"/>
  </si>
  <si>
    <t>주성동 대원칸타빌3차</t>
    <phoneticPr fontId="2" type="noConversion"/>
  </si>
  <si>
    <t>15.03.</t>
    <phoneticPr fontId="2" type="noConversion"/>
  </si>
  <si>
    <t>주성동 대원칸타빌3차</t>
    <phoneticPr fontId="2" type="noConversion"/>
  </si>
  <si>
    <t>15.03.</t>
    <phoneticPr fontId="2" type="noConversion"/>
  </si>
  <si>
    <t>주중동 대원칸타빌2차</t>
    <phoneticPr fontId="2" type="noConversion"/>
  </si>
  <si>
    <t>14.04.</t>
    <phoneticPr fontId="2" type="noConversion"/>
  </si>
  <si>
    <t>내덕동 삼일</t>
    <phoneticPr fontId="2" type="noConversion"/>
  </si>
  <si>
    <t>89.11.</t>
    <phoneticPr fontId="2" type="noConversion"/>
  </si>
  <si>
    <t>내덕동 영우예인촌</t>
    <phoneticPr fontId="2" type="noConversion"/>
  </si>
  <si>
    <t>97.03.</t>
    <phoneticPr fontId="2" type="noConversion"/>
  </si>
  <si>
    <t>00.06.</t>
    <phoneticPr fontId="2" type="noConversion"/>
  </si>
  <si>
    <t>오창읍 오창쌍용스윗닷홈예가</t>
    <phoneticPr fontId="2" type="noConversion"/>
  </si>
  <si>
    <t>06.05.</t>
    <phoneticPr fontId="2" type="noConversion"/>
  </si>
  <si>
    <t>오창읍 중앙하이츠빌</t>
    <phoneticPr fontId="2" type="noConversion"/>
  </si>
  <si>
    <t>오창읍 오창모아미래도와이드파크(3블럭)</t>
    <phoneticPr fontId="2" type="noConversion"/>
  </si>
  <si>
    <t>오창읍 오창대성베르힐</t>
    <phoneticPr fontId="2" type="noConversion"/>
  </si>
  <si>
    <t>15.07.</t>
    <phoneticPr fontId="2" type="noConversion"/>
  </si>
  <si>
    <t>오창읍 우림필유2차</t>
    <phoneticPr fontId="2" type="noConversion"/>
  </si>
  <si>
    <t>06.11.</t>
    <phoneticPr fontId="2" type="noConversion"/>
  </si>
  <si>
    <t>오창읍 한라비발디</t>
    <phoneticPr fontId="2" type="noConversion"/>
  </si>
  <si>
    <t>오창읍 한라비발디</t>
    <phoneticPr fontId="2" type="noConversion"/>
  </si>
  <si>
    <t>06.05.</t>
    <phoneticPr fontId="2" type="noConversion"/>
  </si>
  <si>
    <t>오창읍 한신더휴센트럴파크</t>
    <phoneticPr fontId="2" type="noConversion"/>
  </si>
  <si>
    <t>18.02.</t>
    <phoneticPr fontId="2" type="noConversion"/>
  </si>
  <si>
    <t>오창읍 오창롯데캐슬더하이스트</t>
    <phoneticPr fontId="2" type="noConversion"/>
  </si>
  <si>
    <t>오창읍 오창롯데캐슬더하이스트</t>
    <phoneticPr fontId="2" type="noConversion"/>
  </si>
  <si>
    <t>18.08.</t>
    <phoneticPr fontId="2" type="noConversion"/>
  </si>
  <si>
    <t>오창읍 오창이안</t>
    <phoneticPr fontId="2" type="noConversion"/>
  </si>
  <si>
    <t>06.02.</t>
    <phoneticPr fontId="2" type="noConversion"/>
  </si>
  <si>
    <t>오창읍 대원칸타빌</t>
    <phoneticPr fontId="2" type="noConversion"/>
  </si>
  <si>
    <t>06.07.</t>
    <phoneticPr fontId="2" type="noConversion"/>
  </si>
  <si>
    <t>오창읍 오창반도유보라퍼스티지</t>
    <phoneticPr fontId="2" type="noConversion"/>
  </si>
  <si>
    <t>24.05.</t>
    <phoneticPr fontId="2" type="noConversion"/>
  </si>
  <si>
    <t>오창읍 코아루</t>
    <phoneticPr fontId="2" type="noConversion"/>
  </si>
  <si>
    <t>06.06.</t>
    <phoneticPr fontId="2" type="noConversion"/>
  </si>
  <si>
    <t>오창읍 우림필유1차</t>
    <phoneticPr fontId="2" type="noConversion"/>
  </si>
  <si>
    <t>오창읍 덕성그린</t>
    <phoneticPr fontId="2" type="noConversion"/>
  </si>
  <si>
    <t>98.08.</t>
    <phoneticPr fontId="2" type="noConversion"/>
  </si>
  <si>
    <t>우암동 우암세원</t>
    <phoneticPr fontId="2" type="noConversion"/>
  </si>
  <si>
    <t>99.11.</t>
    <phoneticPr fontId="2" type="noConversion"/>
  </si>
  <si>
    <t>우암동 일진캠퍼스타워</t>
    <phoneticPr fontId="2" type="noConversion"/>
  </si>
  <si>
    <t>우암동 덕일한마음</t>
    <phoneticPr fontId="2" type="noConversion"/>
  </si>
  <si>
    <t>율량동 삼정2차</t>
    <phoneticPr fontId="2" type="noConversion"/>
  </si>
  <si>
    <t>92.06.</t>
    <phoneticPr fontId="2" type="noConversion"/>
  </si>
  <si>
    <t>91.07.</t>
    <phoneticPr fontId="2" type="noConversion"/>
  </si>
  <si>
    <t>92.10.</t>
    <phoneticPr fontId="2" type="noConversion"/>
  </si>
  <si>
    <t>93.11.</t>
    <phoneticPr fontId="2" type="noConversion"/>
  </si>
  <si>
    <t>율량동 율량럭키</t>
    <phoneticPr fontId="2" type="noConversion"/>
  </si>
  <si>
    <t>91.03.</t>
    <phoneticPr fontId="2" type="noConversion"/>
  </si>
  <si>
    <t>95.07.</t>
    <phoneticPr fontId="2" type="noConversion"/>
  </si>
  <si>
    <t>율량동 성원</t>
    <phoneticPr fontId="2" type="noConversion"/>
  </si>
  <si>
    <t>95.07.</t>
    <phoneticPr fontId="2" type="noConversion"/>
  </si>
  <si>
    <t>98.12.</t>
    <phoneticPr fontId="2" type="noConversion"/>
  </si>
  <si>
    <t>율량동 한울3차</t>
    <phoneticPr fontId="2" type="noConversion"/>
  </si>
  <si>
    <t>98.12.</t>
    <phoneticPr fontId="2" type="noConversion"/>
  </si>
  <si>
    <t>율량동 동아</t>
    <phoneticPr fontId="2" type="noConversion"/>
  </si>
  <si>
    <t>율량동 율량대창3차</t>
    <phoneticPr fontId="2" type="noConversion"/>
  </si>
  <si>
    <t>율량동 두진백로그린타운</t>
    <phoneticPr fontId="2" type="noConversion"/>
  </si>
  <si>
    <t>96.06.</t>
    <phoneticPr fontId="2" type="noConversion"/>
  </si>
  <si>
    <t>96.05.</t>
    <phoneticPr fontId="2" type="noConversion"/>
  </si>
  <si>
    <t>율량동 제일풍경채</t>
    <phoneticPr fontId="2" type="noConversion"/>
  </si>
  <si>
    <t>16.07.</t>
    <phoneticPr fontId="2" type="noConversion"/>
  </si>
  <si>
    <t>율량동 율량대창4차</t>
    <phoneticPr fontId="2" type="noConversion"/>
  </si>
  <si>
    <t>율량동 율량7단지선광로즈웰1차</t>
    <phoneticPr fontId="2" type="noConversion"/>
  </si>
  <si>
    <t>14.05.</t>
    <phoneticPr fontId="2" type="noConversion"/>
  </si>
  <si>
    <t>율량동 신라타운</t>
    <phoneticPr fontId="2" type="noConversion"/>
  </si>
  <si>
    <t>주성동 율량5단지선광로즈웰2차</t>
    <phoneticPr fontId="2" type="noConversion"/>
  </si>
  <si>
    <t>율량서희스타힐스(33평/4.8)</t>
  </si>
  <si>
    <t>율량서희스타힐스('16/4.8)</t>
  </si>
  <si>
    <t>대원칸타빌1차(33평/4.6)_x000D_
율량5단지선광로즈웰2차(34평/4.5)</t>
    <phoneticPr fontId="2" type="noConversion"/>
  </si>
  <si>
    <t>대원칸타빌1차('13/4.6)_x000D_
율량5단지선광로즈웰2차('14/4.5)</t>
    <phoneticPr fontId="2" type="noConversion"/>
  </si>
  <si>
    <t>대원칸타빌4차(33평/4.4)_x000D_
율량금호어울림센트로(34평/4.2)</t>
    <phoneticPr fontId="2" type="noConversion"/>
  </si>
  <si>
    <t>대원칸타빌4차('15/4.4)_x000D_
율량금호어울림센트로('22/4.2)</t>
    <phoneticPr fontId="2" type="noConversion"/>
  </si>
  <si>
    <t>오창롯데캐슬더하이스트(36평/4.9)_x000D_
오창롯데캐슬더하이스트(30평/4.3)_x000D_
오창모아미래도와이드시티(33평/4.0)</t>
    <phoneticPr fontId="2" type="noConversion"/>
  </si>
  <si>
    <t>오창롯데캐슬더하이스트('18/4.9)_x000D_
오창롯데캐슬더하이스트('18/4.3)_x000D_
오창모아미래도와이드시티('16/4.0)</t>
    <phoneticPr fontId="2" type="noConversion"/>
  </si>
  <si>
    <t>제일풍경채(29평/3.4)_x000D_
율량금호어울림센트로(24평/3.1)</t>
    <phoneticPr fontId="2" type="noConversion"/>
  </si>
  <si>
    <t>제일풍경채('16/3.4)_x000D_
율량금호어울림센트로('22/3.1)</t>
    <phoneticPr fontId="2" type="noConversion"/>
  </si>
  <si>
    <t>대원칸타빌(2블럭)(34평/3.9)_x000D_
오창대성베르힐(30평/3.8)_x000D_
오창롯데캐슬더하이스트(26평/3.7)_x000D_
코아루(35평/3.5)_x000D_
오창모아미래도와이드시티(30평/3.5)_x000D_
우림필유2차(34평/3.2)_x000D_
오창쌍용스윗닷홈예가(33평/3.1)_x000D_
중앙하이츠빌(35평/3.1)_x000D_
우림필유1차(34평/3.1)_x000D_
대원칸타빌(36평/3.1)_x000D_
한라비발디(34평/3.0)</t>
    <phoneticPr fontId="2" type="noConversion"/>
  </si>
  <si>
    <t>대원칸타빌(2블럭)('17/3.9)_x000D_
오창대성베르힐('15/3.8)_x000D_
코아루('06/3.5)_x000D_
오창모아미래도와이드시티('16/3.5)_x000D_
우림필유2차('06/3.2)_x000D_
오창쌍용스윗닷홈예가('06/3.1)_x000D_
중앙하이츠빌('06/3.1)_x000D_
우림필유1차('06/3.1)_x000D_
대원칸타빌('06/3.1)_x000D_
한라비발디('06/3.0)</t>
    <phoneticPr fontId="2" type="noConversion"/>
  </si>
  <si>
    <t>오창모아미래도와이드파크(3블럭)(25평/2.9)_x000D_
오창이안(32평/2.7)</t>
    <phoneticPr fontId="2" type="noConversion"/>
  </si>
  <si>
    <t>중앙하이츠빌(26평/2.4)_x000D_
코아루(26평/2.4)_x000D_
우림필유1차(26평/2.4)_x000D_
대원칸타빌(25평/2.3)_x000D_
우림필유2차(26평/2.3)_x000D_
한라비발디(26평/2.3)_x000D_
오창쌍용스윗닷홈예가(25평/2.2)_x000D_
오창이안(23평/2.2)</t>
    <phoneticPr fontId="2" type="noConversion"/>
  </si>
  <si>
    <t>중앙하이츠빌('06/2.4)_x000D_
코아루('06/2.4)_x000D_
우림필유1차('06/2.4)_x000D_
대원칸타빌('06/2.3)_x000D_
우림필유2차('06/2.3)_x000D_
한라비발디('06/2.3)_x000D_
오창쌍용스윗닷홈예가('06/2.2)_x000D_
오창이안('06/2.2)</t>
    <phoneticPr fontId="2" type="noConversion"/>
  </si>
  <si>
    <t>성원(31평/2.2)_x000D_
삼성(32평/2.1)_x000D_
현대(30평/2.1)</t>
    <phoneticPr fontId="2" type="noConversion"/>
  </si>
  <si>
    <t>성원('95/2.2)_x000D_
삼성('96/2.1)_x000D_
현대('92/2.1)</t>
    <phoneticPr fontId="2" type="noConversion"/>
  </si>
  <si>
    <t>율량현대('91/2.0)_x000D_
율량럭키('91/1.9)_x000D_
동아('90/1.7)</t>
    <phoneticPr fontId="2" type="noConversion"/>
  </si>
  <si>
    <t>율량현대(32평/2.0)_x000D_
율량럭키(31평/1.9)_x000D_
율량현대(29평/1.8)_x000D_
삼성(23평/1.8)_x000D_
율량럭키(28평/1.8)_x000D_
동아(32평/1.7)_x000D_
현대(21평/1.7)_x000D_
성원(23평/1.7)_x000D_
동아(28평/1.6)</t>
    <phoneticPr fontId="2" type="noConversion"/>
  </si>
  <si>
    <t>율량현대('91/1.8)_x000D_
삼성('96/1.8)_x000D_
율량럭키('91/1.8)_x000D_
현대('92/1.7)_x000D_
성원('95/1.7)_x000D_
동아('90/1.6)</t>
    <phoneticPr fontId="2" type="noConversion"/>
  </si>
  <si>
    <t>두진백로그린타운(22평/1.5)_x000D_
율량효성2차(25평/1.4)</t>
    <phoneticPr fontId="2" type="noConversion"/>
  </si>
  <si>
    <t>두진백로그린타운('96/1.5)_x000D_
율량효성2차('97/1.4)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</si>
</sst>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923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A243" sqref="A243:XFD243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2.25" style="74" customWidth="1"/>
    <col min="23" max="23" width="5.625" style="74" bestFit="1" customWidth="1"/>
    <col min="24" max="24" width="4.5" style="74" customWidth="1"/>
    <col min="25" max="25" width="6.25" style="74" bestFit="1" customWidth="1"/>
    <col min="26" max="26" width="7.75" style="74" bestFit="1" customWidth="1"/>
    <col min="27" max="27" width="7" style="74" bestFit="1" customWidth="1"/>
    <col min="28" max="28" width="6.875" style="74" bestFit="1" customWidth="1"/>
    <col min="29" max="29" width="4.625" style="74" bestFit="1" customWidth="1"/>
    <col min="30" max="30" width="7.625" style="74" bestFit="1" customWidth="1"/>
    <col min="31" max="31" width="3.25" style="74" bestFit="1" customWidth="1"/>
    <col min="32" max="32" width="4.625" style="74" bestFit="1" customWidth="1"/>
    <col min="33" max="33" width="2.125" style="74" customWidth="1"/>
    <col min="34" max="34" width="22.5" style="74" bestFit="1" customWidth="1"/>
    <col min="35" max="35" width="4.625" style="74" bestFit="1" customWidth="1"/>
    <col min="36" max="40" width="4.625" style="74" customWidth="1"/>
    <col min="41" max="41" width="9.125" style="74" bestFit="1" customWidth="1"/>
    <col min="42" max="43" width="7.625" style="74" bestFit="1" customWidth="1"/>
    <col min="44" max="44" width="9.125" style="74" bestFit="1" customWidth="1"/>
    <col min="45" max="45" width="6.125" style="74" bestFit="1" customWidth="1"/>
    <col min="46" max="46" width="8.625" style="74" bestFit="1" customWidth="1"/>
    <col min="47" max="47" width="9.125" style="74" bestFit="1" customWidth="1"/>
    <col min="48" max="48" width="7.625" style="74" bestFit="1" customWidth="1"/>
    <col min="49" max="51" width="9" style="25" customWidth="1"/>
    <col min="52" max="52" width="1.25" style="25" customWidth="1"/>
    <col min="53" max="55" width="9" style="25" customWidth="1"/>
    <col min="56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8" t="s">
        <v>6</v>
      </c>
      <c r="AK1" s="117"/>
      <c r="AL1" s="117"/>
      <c r="AM1" s="117"/>
      <c r="AN1" s="11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5"/>
      <c r="BH1" s="25" t="s">
        <v>9</v>
      </c>
    </row>
    <row r="2" spans="1:60" ht="12" customHeight="1" x14ac:dyDescent="0.3">
      <c r="A2" s="82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3" t="s">
        <v>15</v>
      </c>
      <c r="AP2" s="117"/>
      <c r="AQ2" s="114"/>
      <c r="AR2" s="113" t="s">
        <v>16</v>
      </c>
      <c r="AS2" s="114"/>
      <c r="AT2" s="113" t="s">
        <v>17</v>
      </c>
      <c r="AU2" s="114"/>
      <c r="AV2" s="77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  <c r="W3" s="77" t="s">
        <v>40</v>
      </c>
      <c r="X3" s="77" t="s">
        <v>24</v>
      </c>
      <c r="Y3" s="83" t="s">
        <v>27</v>
      </c>
      <c r="Z3" s="78" t="s">
        <v>41</v>
      </c>
      <c r="AA3" s="78" t="s">
        <v>42</v>
      </c>
      <c r="AB3" s="78" t="s">
        <v>31</v>
      </c>
      <c r="AC3" s="77" t="s">
        <v>32</v>
      </c>
      <c r="AD3" s="78" t="s">
        <v>43</v>
      </c>
      <c r="AE3" s="77" t="s">
        <v>37</v>
      </c>
      <c r="AF3" s="34" t="s">
        <v>44</v>
      </c>
      <c r="AG3" s="25"/>
      <c r="AH3" s="77" t="s">
        <v>20</v>
      </c>
      <c r="AI3" s="77" t="s">
        <v>24</v>
      </c>
      <c r="AJ3" s="77" t="s">
        <v>45</v>
      </c>
      <c r="AK3" s="77" t="s">
        <v>46</v>
      </c>
      <c r="AL3" s="77" t="s">
        <v>47</v>
      </c>
      <c r="AM3" s="77" t="s">
        <v>48</v>
      </c>
      <c r="AN3" s="77" t="s">
        <v>49</v>
      </c>
      <c r="AO3" s="77" t="s">
        <v>50</v>
      </c>
      <c r="AP3" s="77" t="s">
        <v>51</v>
      </c>
      <c r="AQ3" s="77" t="s">
        <v>52</v>
      </c>
      <c r="AR3" s="77" t="s">
        <v>53</v>
      </c>
      <c r="AS3" s="77" t="s">
        <v>54</v>
      </c>
      <c r="AT3" s="36" t="s">
        <v>55</v>
      </c>
      <c r="AU3" s="77" t="s">
        <v>56</v>
      </c>
      <c r="AV3" s="77" t="s">
        <v>18</v>
      </c>
      <c r="AX3" s="12" t="s">
        <v>57</v>
      </c>
      <c r="AY3" s="12" t="s">
        <v>58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5" t="s">
        <v>1083</v>
      </c>
      <c r="B4" s="76" t="s">
        <v>1084</v>
      </c>
      <c r="C4" s="86">
        <v>236</v>
      </c>
      <c r="D4" s="87">
        <v>112.9</v>
      </c>
      <c r="E4" s="88">
        <v>34</v>
      </c>
      <c r="F4" s="87">
        <v>84.9</v>
      </c>
      <c r="G4" s="17">
        <v>26</v>
      </c>
      <c r="H4" s="89">
        <v>120</v>
      </c>
      <c r="I4" s="90"/>
      <c r="J4" s="90"/>
      <c r="K4" s="90"/>
      <c r="L4" s="90"/>
      <c r="M4" s="91">
        <f>I4-K4</f>
        <v>0</v>
      </c>
      <c r="N4" s="4" t="str">
        <f>IF(ISERROR(K4/I4),"",K4/I4)</f>
        <v/>
      </c>
      <c r="O4" s="92">
        <f>I4/E4</f>
        <v>0</v>
      </c>
      <c r="P4" s="92">
        <f>K4/E4</f>
        <v>0</v>
      </c>
      <c r="Q4" s="80">
        <v>3</v>
      </c>
      <c r="R4" s="80">
        <v>2</v>
      </c>
      <c r="S4" s="80" t="s">
        <v>61</v>
      </c>
      <c r="T4" s="5" t="s">
        <v>114</v>
      </c>
      <c r="U4" s="9"/>
      <c r="W4" s="87">
        <f>D4</f>
        <v>112.9</v>
      </c>
      <c r="X4" s="88">
        <f>E4</f>
        <v>34</v>
      </c>
      <c r="Y4" s="93">
        <f>H4</f>
        <v>120</v>
      </c>
      <c r="Z4" s="91">
        <f>I4</f>
        <v>0</v>
      </c>
      <c r="AA4" s="91">
        <f>K4</f>
        <v>0</v>
      </c>
      <c r="AB4" s="91">
        <f t="shared" ref="AB4:AD5" si="0">M4</f>
        <v>0</v>
      </c>
      <c r="AC4" s="4" t="str">
        <f t="shared" si="0"/>
        <v/>
      </c>
      <c r="AD4" s="92">
        <f t="shared" si="0"/>
        <v>0</v>
      </c>
      <c r="AE4" s="80" t="str">
        <f>S4</f>
        <v>계</v>
      </c>
      <c r="AF4" s="80" t="str">
        <f>Q4&amp;"/"&amp;R4</f>
        <v>3/2</v>
      </c>
      <c r="AH4" s="20" t="str">
        <f t="shared" ref="AH4:AH67" si="1">IF(A4="","",A4)</f>
        <v>내덕동 이랜드해가든</v>
      </c>
      <c r="AI4" s="88">
        <f t="shared" ref="AI4:AI67" si="2">IF(E4="","",E4)</f>
        <v>34</v>
      </c>
      <c r="AJ4" s="80" t="str">
        <f>IF(AI4="","",$AJ$2)</f>
        <v>A-</v>
      </c>
      <c r="AK4" s="80" t="s">
        <v>13</v>
      </c>
      <c r="AL4" s="80" t="s">
        <v>62</v>
      </c>
      <c r="AM4" s="80" t="s">
        <v>63</v>
      </c>
      <c r="AN4" s="80" t="str">
        <f>IF(AI4="","",$AN$2)</f>
        <v>C</v>
      </c>
      <c r="AO4" s="80" t="str">
        <f>IF(N4="","",IF(N4&gt;=$AO$1/100,"O","X"))</f>
        <v/>
      </c>
      <c r="AP4" s="80" t="str">
        <f>IF(I4="","",IF(I4&lt;=$AP$1,"O","X"))</f>
        <v/>
      </c>
      <c r="AQ4" s="80" t="str">
        <f>IF(O4="","",IF(O4&lt;=$AQ$1,"O","X"))</f>
        <v>O</v>
      </c>
      <c r="AR4" s="80" t="str">
        <f>IF(M4="","",IF(M4&lt;=$AR$1,"O","X"))</f>
        <v>O</v>
      </c>
      <c r="AS4" s="80" t="s">
        <v>2</v>
      </c>
      <c r="AT4" s="80" t="str">
        <f>IF(OR(F4="",AI4=""),"",IF(AND((F4&lt;=85),(AI4&gt;=15)),"O","X"))</f>
        <v>O</v>
      </c>
      <c r="AU4" s="80" t="str">
        <f>IF(C4="","",IF(C4&gt;=$AU$1,"O","X"))</f>
        <v>X</v>
      </c>
      <c r="AV4" s="80" t="str">
        <f>IF(AO4="","",IF(AND(AO4="O",AP4="O",AR4="O",AT4="O",AU4="O"),"후보","X"))</f>
        <v/>
      </c>
    </row>
    <row r="5" spans="1:60" s="37" customFormat="1" ht="12" x14ac:dyDescent="0.3">
      <c r="A5" s="75" t="s">
        <v>1085</v>
      </c>
      <c r="B5" s="76" t="s">
        <v>1084</v>
      </c>
      <c r="C5" s="86">
        <v>236</v>
      </c>
      <c r="D5" s="87">
        <v>113.5</v>
      </c>
      <c r="E5" s="88">
        <v>34</v>
      </c>
      <c r="F5" s="87">
        <v>85</v>
      </c>
      <c r="G5" s="17">
        <v>26</v>
      </c>
      <c r="H5" s="89">
        <v>116</v>
      </c>
      <c r="I5" s="90"/>
      <c r="J5" s="90"/>
      <c r="K5" s="90"/>
      <c r="L5" s="90"/>
      <c r="M5" s="91">
        <f>I5-K5</f>
        <v>0</v>
      </c>
      <c r="N5" s="4" t="str">
        <f>IF(ISERROR(K5/I5),"",K5/I5)</f>
        <v/>
      </c>
      <c r="O5" s="92">
        <f>I5/E5</f>
        <v>0</v>
      </c>
      <c r="P5" s="92">
        <f>K5/E5</f>
        <v>0</v>
      </c>
      <c r="Q5" s="80">
        <v>3</v>
      </c>
      <c r="R5" s="80">
        <v>2</v>
      </c>
      <c r="S5" s="80" t="s">
        <v>61</v>
      </c>
      <c r="T5" s="5" t="s">
        <v>76</v>
      </c>
      <c r="U5" s="9"/>
      <c r="W5" s="87">
        <f>D5</f>
        <v>113.5</v>
      </c>
      <c r="X5" s="88">
        <f>E5</f>
        <v>34</v>
      </c>
      <c r="Y5" s="93">
        <f>H5</f>
        <v>116</v>
      </c>
      <c r="Z5" s="91">
        <f>I5</f>
        <v>0</v>
      </c>
      <c r="AA5" s="91">
        <f>K5</f>
        <v>0</v>
      </c>
      <c r="AB5" s="91">
        <f t="shared" si="0"/>
        <v>0</v>
      </c>
      <c r="AC5" s="4" t="str">
        <f t="shared" si="0"/>
        <v/>
      </c>
      <c r="AD5" s="92">
        <f t="shared" si="0"/>
        <v>0</v>
      </c>
      <c r="AE5" s="80" t="str">
        <f>S5</f>
        <v>계</v>
      </c>
      <c r="AF5" s="80" t="str">
        <f>Q5&amp;"/"&amp;R5</f>
        <v>3/2</v>
      </c>
      <c r="AH5" s="20" t="str">
        <f t="shared" si="1"/>
        <v>내덕동 이랜드해가든</v>
      </c>
      <c r="AI5" s="88">
        <f t="shared" si="2"/>
        <v>34</v>
      </c>
      <c r="AJ5" s="80" t="str">
        <f>IF(AI5="","",$AJ$2)</f>
        <v>A-</v>
      </c>
      <c r="AK5" s="80" t="s">
        <v>13</v>
      </c>
      <c r="AL5" s="80" t="s">
        <v>62</v>
      </c>
      <c r="AM5" s="80" t="s">
        <v>63</v>
      </c>
      <c r="AN5" s="80" t="str">
        <f>IF(AI5="","",$AN$2)</f>
        <v>C</v>
      </c>
      <c r="AO5" s="80" t="str">
        <f>IF(N5="","",IF(N5&gt;=$AO$1/100,"O","X"))</f>
        <v/>
      </c>
      <c r="AP5" s="80" t="str">
        <f>IF(I5="","",IF(I5&lt;=$AP$1,"O","X"))</f>
        <v/>
      </c>
      <c r="AQ5" s="80" t="str">
        <f>IF(O5="","",IF(O5&lt;=$AQ$1,"O","X"))</f>
        <v>O</v>
      </c>
      <c r="AR5" s="80" t="str">
        <f>IF(M5="","",IF(M5&lt;=$AR$1,"O","X"))</f>
        <v>O</v>
      </c>
      <c r="AS5" s="80" t="s">
        <v>2</v>
      </c>
      <c r="AT5" s="80" t="str">
        <f>IF(OR(F5="",AI5=""),"",IF(AND((F5&lt;=85),(AI5&gt;=15)),"O","X"))</f>
        <v>O</v>
      </c>
      <c r="AU5" s="80" t="str">
        <f>IF(C5="","",IF(C5&gt;=$AU$1,"O","X"))</f>
        <v>X</v>
      </c>
      <c r="AV5" s="80" t="str">
        <f>IF(AO5="","",IF(AND(AO5="O",AP5="O",AR5="O",AT5="O",AU5="O"),"후보","X"))</f>
        <v/>
      </c>
    </row>
    <row r="6" spans="1:60" s="37" customFormat="1" ht="12" x14ac:dyDescent="0.3">
      <c r="A6" s="75" t="s">
        <v>1086</v>
      </c>
      <c r="B6" s="76" t="s">
        <v>1087</v>
      </c>
      <c r="C6" s="86">
        <v>200</v>
      </c>
      <c r="D6" s="87">
        <v>109.1</v>
      </c>
      <c r="E6" s="88">
        <v>33</v>
      </c>
      <c r="F6" s="87">
        <v>85</v>
      </c>
      <c r="G6" s="17">
        <v>26</v>
      </c>
      <c r="H6" s="89">
        <v>200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109</v>
      </c>
      <c r="U6" s="9"/>
      <c r="W6" s="87">
        <f>D6</f>
        <v>109.1</v>
      </c>
      <c r="X6" s="88">
        <f>E6</f>
        <v>33</v>
      </c>
      <c r="Y6" s="93">
        <f>H6</f>
        <v>200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내덕동 삼일</v>
      </c>
      <c r="AI6" s="88">
        <f t="shared" si="2"/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60" s="37" customFormat="1" ht="12" x14ac:dyDescent="0.3">
      <c r="A7" s="75" t="s">
        <v>1088</v>
      </c>
      <c r="B7" s="76" t="s">
        <v>1089</v>
      </c>
      <c r="C7" s="86">
        <v>508</v>
      </c>
      <c r="D7" s="87">
        <v>97.5</v>
      </c>
      <c r="E7" s="88">
        <v>29</v>
      </c>
      <c r="F7" s="87">
        <v>74.7</v>
      </c>
      <c r="G7" s="17">
        <v>23</v>
      </c>
      <c r="H7" s="89">
        <v>154</v>
      </c>
      <c r="I7" s="90">
        <v>36000</v>
      </c>
      <c r="J7" s="90" t="s">
        <v>59</v>
      </c>
      <c r="K7" s="90">
        <v>32000</v>
      </c>
      <c r="L7" s="90" t="s">
        <v>60</v>
      </c>
      <c r="M7" s="91">
        <f>I7-K7</f>
        <v>4000</v>
      </c>
      <c r="N7" s="4">
        <f>IF(ISERROR(K7/I7),"",K7/I7)</f>
        <v>0.88888888888888884</v>
      </c>
      <c r="O7" s="92">
        <f>I7/E7</f>
        <v>1241.3793103448277</v>
      </c>
      <c r="P7" s="92">
        <f>K7/E7</f>
        <v>1103.4482758620691</v>
      </c>
      <c r="Q7" s="80">
        <v>3</v>
      </c>
      <c r="R7" s="80">
        <v>2</v>
      </c>
      <c r="S7" s="80" t="s">
        <v>61</v>
      </c>
      <c r="T7" s="5">
        <v>97</v>
      </c>
      <c r="U7" s="9"/>
      <c r="W7" s="87">
        <f t="shared" ref="W7:X22" si="3">D7</f>
        <v>97.5</v>
      </c>
      <c r="X7" s="88">
        <f t="shared" si="3"/>
        <v>29</v>
      </c>
      <c r="Y7" s="93">
        <f t="shared" ref="Y7:Z22" si="4">H7</f>
        <v>154</v>
      </c>
      <c r="Z7" s="91">
        <f t="shared" si="4"/>
        <v>36000</v>
      </c>
      <c r="AA7" s="91">
        <f>K7</f>
        <v>32000</v>
      </c>
      <c r="AB7" s="91">
        <f t="shared" ref="AB7:AD22" si="5">M7</f>
        <v>4000</v>
      </c>
      <c r="AC7" s="4">
        <f t="shared" si="5"/>
        <v>0.88888888888888884</v>
      </c>
      <c r="AD7" s="92">
        <f t="shared" si="5"/>
        <v>1241.3793103448277</v>
      </c>
      <c r="AE7" s="80" t="str">
        <f>S7</f>
        <v>계</v>
      </c>
      <c r="AF7" s="80" t="str">
        <f>Q7&amp;"/"&amp;R7</f>
        <v>3/2</v>
      </c>
      <c r="AH7" s="20" t="str">
        <f t="shared" si="1"/>
        <v>내덕동 율량서희스타힐스</v>
      </c>
      <c r="AI7" s="88">
        <f t="shared" si="2"/>
        <v>29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60" s="37" customFormat="1" ht="12" x14ac:dyDescent="0.3">
      <c r="A8" s="75" t="s">
        <v>1090</v>
      </c>
      <c r="B8" s="76" t="s">
        <v>1081</v>
      </c>
      <c r="C8" s="86">
        <v>508</v>
      </c>
      <c r="D8" s="87">
        <v>100.5</v>
      </c>
      <c r="E8" s="88">
        <v>30</v>
      </c>
      <c r="F8" s="87">
        <v>77.5</v>
      </c>
      <c r="G8" s="17">
        <v>23</v>
      </c>
      <c r="H8" s="89">
        <v>200</v>
      </c>
      <c r="I8" s="90">
        <v>39000</v>
      </c>
      <c r="J8" s="90" t="s">
        <v>68</v>
      </c>
      <c r="K8" s="90">
        <v>30000</v>
      </c>
      <c r="L8" s="90" t="s">
        <v>889</v>
      </c>
      <c r="M8" s="91">
        <f>I8-K8</f>
        <v>9000</v>
      </c>
      <c r="N8" s="4">
        <f>IF(ISERROR(K8/I8),"",K8/I8)</f>
        <v>0.76923076923076927</v>
      </c>
      <c r="O8" s="92">
        <f>I8/E8</f>
        <v>1300</v>
      </c>
      <c r="P8" s="92">
        <f>K8/E8</f>
        <v>1000</v>
      </c>
      <c r="Q8" s="80">
        <v>3</v>
      </c>
      <c r="R8" s="80">
        <v>2</v>
      </c>
      <c r="S8" s="80" t="s">
        <v>61</v>
      </c>
      <c r="T8" s="5">
        <v>100</v>
      </c>
      <c r="U8" s="9"/>
      <c r="W8" s="87">
        <f t="shared" si="3"/>
        <v>100.5</v>
      </c>
      <c r="X8" s="88">
        <f t="shared" si="3"/>
        <v>30</v>
      </c>
      <c r="Y8" s="93">
        <f t="shared" si="4"/>
        <v>200</v>
      </c>
      <c r="Z8" s="91">
        <f t="shared" si="4"/>
        <v>39000</v>
      </c>
      <c r="AA8" s="91">
        <f>K8</f>
        <v>30000</v>
      </c>
      <c r="AB8" s="91">
        <f t="shared" si="5"/>
        <v>9000</v>
      </c>
      <c r="AC8" s="4">
        <f t="shared" si="5"/>
        <v>0.76923076923076927</v>
      </c>
      <c r="AD8" s="92">
        <f t="shared" si="5"/>
        <v>1300</v>
      </c>
      <c r="AE8" s="80" t="str">
        <f>S8</f>
        <v>계</v>
      </c>
      <c r="AF8" s="80" t="str">
        <f>Q8&amp;"/"&amp;R8</f>
        <v>3/2</v>
      </c>
      <c r="AH8" s="20" t="str">
        <f t="shared" si="1"/>
        <v>내덕동 율량서희스타힐스</v>
      </c>
      <c r="AI8" s="88">
        <f t="shared" si="2"/>
        <v>30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60" s="37" customFormat="1" ht="12" x14ac:dyDescent="0.3">
      <c r="A9" s="75" t="s">
        <v>1090</v>
      </c>
      <c r="B9" s="76" t="s">
        <v>1081</v>
      </c>
      <c r="C9" s="86">
        <v>508</v>
      </c>
      <c r="D9" s="87">
        <v>110.1</v>
      </c>
      <c r="E9" s="88">
        <v>33</v>
      </c>
      <c r="F9" s="87">
        <v>84.9</v>
      </c>
      <c r="G9" s="17">
        <v>26</v>
      </c>
      <c r="H9" s="89">
        <v>154</v>
      </c>
      <c r="I9" s="90">
        <v>47500</v>
      </c>
      <c r="J9" s="90" t="s">
        <v>80</v>
      </c>
      <c r="K9" s="90">
        <v>36000</v>
      </c>
      <c r="L9" s="90" t="s">
        <v>70</v>
      </c>
      <c r="M9" s="91">
        <f>I9-K9</f>
        <v>11500</v>
      </c>
      <c r="N9" s="4">
        <f>IF(ISERROR(K9/I9),"",K9/I9)</f>
        <v>0.75789473684210529</v>
      </c>
      <c r="O9" s="92">
        <f>I9/E9</f>
        <v>1439.3939393939395</v>
      </c>
      <c r="P9" s="92">
        <f>K9/E9</f>
        <v>1090.909090909091</v>
      </c>
      <c r="Q9" s="80">
        <v>3</v>
      </c>
      <c r="R9" s="80">
        <v>2</v>
      </c>
      <c r="S9" s="80" t="s">
        <v>61</v>
      </c>
      <c r="T9" s="5">
        <v>110</v>
      </c>
      <c r="U9" s="9"/>
      <c r="W9" s="87">
        <f t="shared" si="3"/>
        <v>110.1</v>
      </c>
      <c r="X9" s="88">
        <f t="shared" si="3"/>
        <v>33</v>
      </c>
      <c r="Y9" s="93">
        <f t="shared" si="4"/>
        <v>154</v>
      </c>
      <c r="Z9" s="91">
        <f t="shared" si="4"/>
        <v>47500</v>
      </c>
      <c r="AA9" s="91">
        <f>K9</f>
        <v>36000</v>
      </c>
      <c r="AB9" s="91">
        <f t="shared" si="5"/>
        <v>11500</v>
      </c>
      <c r="AC9" s="4">
        <f t="shared" si="5"/>
        <v>0.75789473684210529</v>
      </c>
      <c r="AD9" s="92">
        <f t="shared" si="5"/>
        <v>1439.3939393939395</v>
      </c>
      <c r="AE9" s="80" t="str">
        <f>S9</f>
        <v>계</v>
      </c>
      <c r="AF9" s="80" t="str">
        <f>Q9&amp;"/"&amp;R9</f>
        <v>3/2</v>
      </c>
      <c r="AH9" s="20" t="str">
        <f t="shared" si="1"/>
        <v>내덕동 율량서희스타힐스</v>
      </c>
      <c r="AI9" s="88">
        <f t="shared" si="2"/>
        <v>33</v>
      </c>
      <c r="AJ9" s="80" t="str">
        <f>IF(AI9="","",$AJ$2)</f>
        <v>A-</v>
      </c>
      <c r="AK9" s="80" t="s">
        <v>13</v>
      </c>
      <c r="AL9" s="80" t="s">
        <v>62</v>
      </c>
      <c r="AM9" s="80" t="s">
        <v>63</v>
      </c>
      <c r="AN9" s="80" t="str">
        <f>IF(AI9="","",$AN$2)</f>
        <v>C</v>
      </c>
      <c r="AO9" s="80" t="str">
        <f>IF(N9="","",IF(N9&gt;=$AO$1/100,"O","X"))</f>
        <v>X</v>
      </c>
      <c r="AP9" s="80" t="str">
        <f>IF(I9="","",IF(I9&lt;=$AP$1,"O","X"))</f>
        <v>X</v>
      </c>
      <c r="AQ9" s="80" t="str">
        <f>IF(O9="","",IF(O9&lt;=$AQ$1,"O","X"))</f>
        <v>X</v>
      </c>
      <c r="AR9" s="80" t="str">
        <f>IF(M9="","",IF(M9&lt;=$AR$1,"O","X"))</f>
        <v>X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  <row r="10" spans="1:60" s="37" customFormat="1" ht="12" x14ac:dyDescent="0.3">
      <c r="A10" s="75" t="s">
        <v>1091</v>
      </c>
      <c r="B10" s="76" t="s">
        <v>961</v>
      </c>
      <c r="C10" s="86">
        <v>432</v>
      </c>
      <c r="D10" s="87">
        <v>95.5</v>
      </c>
      <c r="E10" s="88">
        <v>29</v>
      </c>
      <c r="F10" s="87">
        <v>73.599999999999994</v>
      </c>
      <c r="G10" s="17">
        <v>22</v>
      </c>
      <c r="H10" s="89">
        <v>69</v>
      </c>
      <c r="I10" s="90">
        <v>14000</v>
      </c>
      <c r="J10" s="90" t="s">
        <v>67</v>
      </c>
      <c r="K10" s="90"/>
      <c r="L10" s="90"/>
      <c r="M10" s="91">
        <f>I10-K10</f>
        <v>14000</v>
      </c>
      <c r="N10" s="4">
        <f>IF(ISERROR(K10/I10),"",K10/I10)</f>
        <v>0</v>
      </c>
      <c r="O10" s="92">
        <f>I10/E10</f>
        <v>482.75862068965517</v>
      </c>
      <c r="P10" s="92">
        <f>K10/E10</f>
        <v>0</v>
      </c>
      <c r="Q10" s="80">
        <v>3</v>
      </c>
      <c r="R10" s="80">
        <v>1</v>
      </c>
      <c r="S10" s="80" t="s">
        <v>61</v>
      </c>
      <c r="T10" s="5">
        <v>95</v>
      </c>
      <c r="U10" s="9"/>
      <c r="W10" s="87">
        <f t="shared" si="3"/>
        <v>95.5</v>
      </c>
      <c r="X10" s="88">
        <f t="shared" si="3"/>
        <v>29</v>
      </c>
      <c r="Y10" s="93">
        <f t="shared" si="4"/>
        <v>69</v>
      </c>
      <c r="Z10" s="91">
        <f t="shared" si="4"/>
        <v>14000</v>
      </c>
      <c r="AA10" s="91">
        <f>K10</f>
        <v>0</v>
      </c>
      <c r="AB10" s="91">
        <f t="shared" si="5"/>
        <v>14000</v>
      </c>
      <c r="AC10" s="4">
        <f t="shared" si="5"/>
        <v>0</v>
      </c>
      <c r="AD10" s="92">
        <f t="shared" si="5"/>
        <v>482.75862068965517</v>
      </c>
      <c r="AE10" s="80" t="str">
        <f>S10</f>
        <v>계</v>
      </c>
      <c r="AF10" s="80" t="str">
        <f>Q10&amp;"/"&amp;R10</f>
        <v>3/1</v>
      </c>
      <c r="AH10" s="20" t="str">
        <f t="shared" si="1"/>
        <v>내덕동 신화</v>
      </c>
      <c r="AI10" s="88">
        <f t="shared" si="2"/>
        <v>29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60" s="37" customFormat="1" ht="12" x14ac:dyDescent="0.3">
      <c r="A11" s="75" t="s">
        <v>1092</v>
      </c>
      <c r="B11" s="76" t="s">
        <v>961</v>
      </c>
      <c r="C11" s="86">
        <v>432</v>
      </c>
      <c r="D11" s="87">
        <v>112.4</v>
      </c>
      <c r="E11" s="88">
        <v>34</v>
      </c>
      <c r="F11" s="87">
        <v>85</v>
      </c>
      <c r="G11" s="17">
        <v>26</v>
      </c>
      <c r="H11" s="89">
        <v>283</v>
      </c>
      <c r="I11" s="90">
        <v>16500</v>
      </c>
      <c r="J11" s="90" t="s">
        <v>73</v>
      </c>
      <c r="K11" s="90"/>
      <c r="L11" s="90"/>
      <c r="M11" s="91">
        <f>I11-K11</f>
        <v>16500</v>
      </c>
      <c r="N11" s="4">
        <f>IF(ISERROR(K11/I11),"",K11/I11)</f>
        <v>0</v>
      </c>
      <c r="O11" s="92">
        <f>I11/E11</f>
        <v>485.29411764705884</v>
      </c>
      <c r="P11" s="92">
        <f>K11/E11</f>
        <v>0</v>
      </c>
      <c r="Q11" s="80">
        <v>3</v>
      </c>
      <c r="R11" s="80">
        <v>2</v>
      </c>
      <c r="S11" s="80" t="s">
        <v>61</v>
      </c>
      <c r="T11" s="5">
        <v>112</v>
      </c>
      <c r="U11" s="9"/>
      <c r="W11" s="87">
        <f t="shared" si="3"/>
        <v>112.4</v>
      </c>
      <c r="X11" s="88">
        <f t="shared" si="3"/>
        <v>34</v>
      </c>
      <c r="Y11" s="93">
        <f t="shared" si="4"/>
        <v>283</v>
      </c>
      <c r="Z11" s="91">
        <f t="shared" si="4"/>
        <v>16500</v>
      </c>
      <c r="AA11" s="91">
        <f>K11</f>
        <v>0</v>
      </c>
      <c r="AB11" s="91">
        <f t="shared" si="5"/>
        <v>16500</v>
      </c>
      <c r="AC11" s="4">
        <f t="shared" si="5"/>
        <v>0</v>
      </c>
      <c r="AD11" s="92">
        <f t="shared" si="5"/>
        <v>485.29411764705884</v>
      </c>
      <c r="AE11" s="80" t="str">
        <f>S11</f>
        <v>계</v>
      </c>
      <c r="AF11" s="80" t="str">
        <f>Q11&amp;"/"&amp;R11</f>
        <v>3/2</v>
      </c>
      <c r="AH11" s="20" t="str">
        <f t="shared" si="1"/>
        <v>내덕동 신화</v>
      </c>
      <c r="AI11" s="88">
        <f t="shared" si="2"/>
        <v>34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O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60" s="37" customFormat="1" ht="12" x14ac:dyDescent="0.3">
      <c r="A12" s="75" t="s">
        <v>1091</v>
      </c>
      <c r="B12" s="76" t="s">
        <v>961</v>
      </c>
      <c r="C12" s="86">
        <v>432</v>
      </c>
      <c r="D12" s="87">
        <v>162.1</v>
      </c>
      <c r="E12" s="88">
        <v>49</v>
      </c>
      <c r="F12" s="87">
        <v>133.69999999999999</v>
      </c>
      <c r="G12" s="17">
        <v>40</v>
      </c>
      <c r="H12" s="89">
        <v>80</v>
      </c>
      <c r="I12" s="90">
        <v>20000</v>
      </c>
      <c r="J12" s="90" t="s">
        <v>64</v>
      </c>
      <c r="K12" s="90"/>
      <c r="L12" s="90"/>
      <c r="M12" s="91">
        <f>I12-K12</f>
        <v>20000</v>
      </c>
      <c r="N12" s="4">
        <f>IF(ISERROR(K12/I12),"",K12/I12)</f>
        <v>0</v>
      </c>
      <c r="O12" s="92">
        <f>I12/E12</f>
        <v>408.16326530612247</v>
      </c>
      <c r="P12" s="92">
        <f>K12/E12</f>
        <v>0</v>
      </c>
      <c r="Q12" s="80">
        <v>4</v>
      </c>
      <c r="R12" s="80">
        <v>2</v>
      </c>
      <c r="S12" s="80" t="s">
        <v>61</v>
      </c>
      <c r="T12" s="5">
        <v>162</v>
      </c>
      <c r="U12" s="9"/>
      <c r="W12" s="87">
        <f t="shared" si="3"/>
        <v>162.1</v>
      </c>
      <c r="X12" s="88">
        <f t="shared" si="3"/>
        <v>49</v>
      </c>
      <c r="Y12" s="93">
        <f t="shared" si="4"/>
        <v>80</v>
      </c>
      <c r="Z12" s="91">
        <f t="shared" si="4"/>
        <v>20000</v>
      </c>
      <c r="AA12" s="91">
        <f>K12</f>
        <v>0</v>
      </c>
      <c r="AB12" s="91">
        <f t="shared" si="5"/>
        <v>20000</v>
      </c>
      <c r="AC12" s="4">
        <f t="shared" si="5"/>
        <v>0</v>
      </c>
      <c r="AD12" s="92">
        <f t="shared" si="5"/>
        <v>408.16326530612247</v>
      </c>
      <c r="AE12" s="80" t="str">
        <f>S12</f>
        <v>계</v>
      </c>
      <c r="AF12" s="80" t="str">
        <f>Q12&amp;"/"&amp;R12</f>
        <v>4/2</v>
      </c>
      <c r="AH12" s="20" t="str">
        <f t="shared" si="1"/>
        <v>내덕동 신화</v>
      </c>
      <c r="AI12" s="88">
        <f t="shared" si="2"/>
        <v>49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X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60" s="37" customFormat="1" ht="12" x14ac:dyDescent="0.3">
      <c r="A13" s="75" t="s">
        <v>962</v>
      </c>
      <c r="B13" s="76" t="s">
        <v>963</v>
      </c>
      <c r="C13" s="86">
        <v>777</v>
      </c>
      <c r="D13" s="87">
        <v>98.6</v>
      </c>
      <c r="E13" s="88">
        <v>30</v>
      </c>
      <c r="F13" s="87">
        <v>76</v>
      </c>
      <c r="G13" s="17">
        <v>23</v>
      </c>
      <c r="H13" s="89">
        <v>91</v>
      </c>
      <c r="I13" s="90">
        <v>52000</v>
      </c>
      <c r="J13" s="90" t="s">
        <v>70</v>
      </c>
      <c r="K13" s="90">
        <v>33000</v>
      </c>
      <c r="L13" s="90" t="s">
        <v>64</v>
      </c>
      <c r="M13" s="91">
        <f t="shared" ref="M13:M22" si="6">I13-K13</f>
        <v>19000</v>
      </c>
      <c r="N13" s="4">
        <f t="shared" ref="N13:N22" si="7">IF(ISERROR(K13/I13),"",K13/I13)</f>
        <v>0.63461538461538458</v>
      </c>
      <c r="O13" s="92">
        <f t="shared" ref="O13:O22" si="8">I13/E13</f>
        <v>1733.3333333333333</v>
      </c>
      <c r="P13" s="92">
        <f t="shared" ref="P13:P22" si="9">K13/E13</f>
        <v>1100</v>
      </c>
      <c r="Q13" s="80">
        <v>3</v>
      </c>
      <c r="R13" s="80">
        <v>2</v>
      </c>
      <c r="S13" s="80" t="s">
        <v>61</v>
      </c>
      <c r="T13" s="5" t="s">
        <v>222</v>
      </c>
      <c r="U13" s="9"/>
      <c r="W13" s="87">
        <f t="shared" si="3"/>
        <v>98.6</v>
      </c>
      <c r="X13" s="88">
        <f t="shared" si="3"/>
        <v>30</v>
      </c>
      <c r="Y13" s="93">
        <f t="shared" si="4"/>
        <v>91</v>
      </c>
      <c r="Z13" s="91">
        <f t="shared" si="4"/>
        <v>52000</v>
      </c>
      <c r="AA13" s="91">
        <f t="shared" ref="AA13:AA22" si="10">K13</f>
        <v>33000</v>
      </c>
      <c r="AB13" s="91">
        <f t="shared" si="5"/>
        <v>19000</v>
      </c>
      <c r="AC13" s="4">
        <f t="shared" si="5"/>
        <v>0.63461538461538458</v>
      </c>
      <c r="AD13" s="92">
        <f t="shared" si="5"/>
        <v>1733.3333333333333</v>
      </c>
      <c r="AE13" s="80" t="str">
        <f t="shared" ref="AE13:AE22" si="11">S13</f>
        <v>계</v>
      </c>
      <c r="AF13" s="80" t="str">
        <f t="shared" ref="AF13:AF22" si="12">Q13&amp;"/"&amp;R13</f>
        <v>3/2</v>
      </c>
      <c r="AH13" s="20" t="str">
        <f t="shared" si="1"/>
        <v>내덕동 청주힐즈파크푸르지오</v>
      </c>
      <c r="AI13" s="88">
        <f t="shared" si="2"/>
        <v>30</v>
      </c>
      <c r="AJ13" s="80" t="str">
        <f t="shared" ref="AJ13:AJ22" si="13">IF(AI13="","",$AJ$2)</f>
        <v>A-</v>
      </c>
      <c r="AK13" s="80" t="s">
        <v>13</v>
      </c>
      <c r="AL13" s="80" t="s">
        <v>62</v>
      </c>
      <c r="AM13" s="80" t="s">
        <v>63</v>
      </c>
      <c r="AN13" s="80" t="str">
        <f t="shared" ref="AN13:AN22" si="14">IF(AI13="","",$AN$2)</f>
        <v>C</v>
      </c>
      <c r="AO13" s="80" t="str">
        <f t="shared" ref="AO13:AO22" si="15">IF(N13="","",IF(N13&gt;=$AO$1/100,"O","X"))</f>
        <v>X</v>
      </c>
      <c r="AP13" s="80" t="str">
        <f t="shared" ref="AP13:AP22" si="16">IF(I13="","",IF(I13&lt;=$AP$1,"O","X"))</f>
        <v>X</v>
      </c>
      <c r="AQ13" s="80" t="str">
        <f t="shared" ref="AQ13:AQ22" si="17">IF(O13="","",IF(O13&lt;=$AQ$1,"O","X"))</f>
        <v>X</v>
      </c>
      <c r="AR13" s="80" t="str">
        <f t="shared" ref="AR13:AR22" si="18">IF(M13="","",IF(M13&lt;=$AR$1,"O","X"))</f>
        <v>X</v>
      </c>
      <c r="AS13" s="80" t="s">
        <v>2</v>
      </c>
      <c r="AT13" s="80" t="str">
        <f t="shared" ref="AT13:AT22" si="19">IF(OR(F13="",AI13=""),"",IF(AND((F13&lt;=85),(AI13&gt;=15)),"O","X"))</f>
        <v>O</v>
      </c>
      <c r="AU13" s="80" t="str">
        <f t="shared" ref="AU13:AU22" si="20">IF(C13="","",IF(C13&gt;=$AU$1,"O","X"))</f>
        <v>O</v>
      </c>
      <c r="AV13" s="80" t="str">
        <f t="shared" ref="AV13:AV22" si="21">IF(AO13="","",IF(AND(AO13="O",AP13="O",AR13="O",AT13="O",AU13="O"),"후보","X"))</f>
        <v>X</v>
      </c>
    </row>
    <row r="14" spans="1:60" s="37" customFormat="1" ht="12" x14ac:dyDescent="0.3">
      <c r="A14" s="75" t="s">
        <v>962</v>
      </c>
      <c r="B14" s="76" t="s">
        <v>963</v>
      </c>
      <c r="C14" s="86">
        <v>777</v>
      </c>
      <c r="D14" s="87">
        <v>99.7</v>
      </c>
      <c r="E14" s="88">
        <v>30</v>
      </c>
      <c r="F14" s="87">
        <v>76</v>
      </c>
      <c r="G14" s="17">
        <v>23</v>
      </c>
      <c r="H14" s="89">
        <v>98</v>
      </c>
      <c r="I14" s="90"/>
      <c r="J14" s="90"/>
      <c r="K14" s="90"/>
      <c r="L14" s="90"/>
      <c r="M14" s="91">
        <f t="shared" si="6"/>
        <v>0</v>
      </c>
      <c r="N14" s="4" t="str">
        <f t="shared" si="7"/>
        <v/>
      </c>
      <c r="O14" s="92">
        <f t="shared" si="8"/>
        <v>0</v>
      </c>
      <c r="P14" s="92">
        <f t="shared" si="9"/>
        <v>0</v>
      </c>
      <c r="Q14" s="80">
        <v>3</v>
      </c>
      <c r="R14" s="80">
        <v>2</v>
      </c>
      <c r="S14" s="80" t="s">
        <v>61</v>
      </c>
      <c r="T14" s="5" t="s">
        <v>115</v>
      </c>
      <c r="U14" s="9"/>
      <c r="W14" s="87">
        <f t="shared" si="3"/>
        <v>99.7</v>
      </c>
      <c r="X14" s="88">
        <f t="shared" si="3"/>
        <v>30</v>
      </c>
      <c r="Y14" s="93">
        <f t="shared" si="4"/>
        <v>98</v>
      </c>
      <c r="Z14" s="91">
        <f t="shared" si="4"/>
        <v>0</v>
      </c>
      <c r="AA14" s="91">
        <f t="shared" si="10"/>
        <v>0</v>
      </c>
      <c r="AB14" s="91">
        <f t="shared" si="5"/>
        <v>0</v>
      </c>
      <c r="AC14" s="4" t="str">
        <f t="shared" si="5"/>
        <v/>
      </c>
      <c r="AD14" s="92">
        <f t="shared" si="5"/>
        <v>0</v>
      </c>
      <c r="AE14" s="80" t="str">
        <f t="shared" si="11"/>
        <v>계</v>
      </c>
      <c r="AF14" s="80" t="str">
        <f t="shared" si="12"/>
        <v>3/2</v>
      </c>
      <c r="AH14" s="20" t="str">
        <f t="shared" si="1"/>
        <v>내덕동 청주힐즈파크푸르지오</v>
      </c>
      <c r="AI14" s="88">
        <f t="shared" si="2"/>
        <v>30</v>
      </c>
      <c r="AJ14" s="80" t="str">
        <f t="shared" si="13"/>
        <v>A-</v>
      </c>
      <c r="AK14" s="80" t="s">
        <v>13</v>
      </c>
      <c r="AL14" s="80" t="s">
        <v>62</v>
      </c>
      <c r="AM14" s="80" t="s">
        <v>63</v>
      </c>
      <c r="AN14" s="80" t="str">
        <f t="shared" si="14"/>
        <v>C</v>
      </c>
      <c r="AO14" s="80" t="str">
        <f t="shared" si="15"/>
        <v/>
      </c>
      <c r="AP14" s="80" t="str">
        <f t="shared" si="16"/>
        <v/>
      </c>
      <c r="AQ14" s="80" t="str">
        <f t="shared" si="17"/>
        <v>O</v>
      </c>
      <c r="AR14" s="80" t="str">
        <f t="shared" si="18"/>
        <v>O</v>
      </c>
      <c r="AS14" s="80" t="s">
        <v>2</v>
      </c>
      <c r="AT14" s="80" t="str">
        <f t="shared" si="19"/>
        <v>O</v>
      </c>
      <c r="AU14" s="80" t="str">
        <f t="shared" si="20"/>
        <v>O</v>
      </c>
      <c r="AV14" s="80" t="str">
        <f t="shared" si="21"/>
        <v/>
      </c>
    </row>
    <row r="15" spans="1:60" s="37" customFormat="1" ht="12" x14ac:dyDescent="0.3">
      <c r="A15" s="75" t="s">
        <v>962</v>
      </c>
      <c r="B15" s="76" t="s">
        <v>963</v>
      </c>
      <c r="C15" s="86">
        <v>777</v>
      </c>
      <c r="D15" s="87">
        <v>110.4</v>
      </c>
      <c r="E15" s="88">
        <v>33</v>
      </c>
      <c r="F15" s="87">
        <v>85</v>
      </c>
      <c r="G15" s="17">
        <v>26</v>
      </c>
      <c r="H15" s="89">
        <v>304</v>
      </c>
      <c r="I15" s="90"/>
      <c r="J15" s="90"/>
      <c r="K15" s="90"/>
      <c r="L15" s="90"/>
      <c r="M15" s="91">
        <f t="shared" si="6"/>
        <v>0</v>
      </c>
      <c r="N15" s="4" t="str">
        <f t="shared" si="7"/>
        <v/>
      </c>
      <c r="O15" s="92">
        <f t="shared" si="8"/>
        <v>0</v>
      </c>
      <c r="P15" s="92">
        <f t="shared" si="9"/>
        <v>0</v>
      </c>
      <c r="Q15" s="80">
        <v>3</v>
      </c>
      <c r="R15" s="80">
        <v>2</v>
      </c>
      <c r="S15" s="80" t="s">
        <v>61</v>
      </c>
      <c r="T15" s="5" t="s">
        <v>107</v>
      </c>
      <c r="U15" s="9"/>
      <c r="W15" s="87">
        <f t="shared" si="3"/>
        <v>110.4</v>
      </c>
      <c r="X15" s="88">
        <f t="shared" si="3"/>
        <v>33</v>
      </c>
      <c r="Y15" s="93">
        <f t="shared" si="4"/>
        <v>304</v>
      </c>
      <c r="Z15" s="91">
        <f t="shared" si="4"/>
        <v>0</v>
      </c>
      <c r="AA15" s="91">
        <f t="shared" si="10"/>
        <v>0</v>
      </c>
      <c r="AB15" s="91">
        <f t="shared" si="5"/>
        <v>0</v>
      </c>
      <c r="AC15" s="4" t="str">
        <f t="shared" si="5"/>
        <v/>
      </c>
      <c r="AD15" s="92">
        <f t="shared" si="5"/>
        <v>0</v>
      </c>
      <c r="AE15" s="80" t="str">
        <f t="shared" si="11"/>
        <v>계</v>
      </c>
      <c r="AF15" s="80" t="str">
        <f t="shared" si="12"/>
        <v>3/2</v>
      </c>
      <c r="AH15" s="20" t="str">
        <f t="shared" si="1"/>
        <v>내덕동 청주힐즈파크푸르지오</v>
      </c>
      <c r="AI15" s="88">
        <f t="shared" si="2"/>
        <v>33</v>
      </c>
      <c r="AJ15" s="80" t="str">
        <f t="shared" si="13"/>
        <v>A-</v>
      </c>
      <c r="AK15" s="80" t="s">
        <v>13</v>
      </c>
      <c r="AL15" s="80" t="s">
        <v>62</v>
      </c>
      <c r="AM15" s="80" t="s">
        <v>63</v>
      </c>
      <c r="AN15" s="80" t="str">
        <f t="shared" si="14"/>
        <v>C</v>
      </c>
      <c r="AO15" s="80" t="str">
        <f t="shared" si="15"/>
        <v/>
      </c>
      <c r="AP15" s="80" t="str">
        <f t="shared" si="16"/>
        <v/>
      </c>
      <c r="AQ15" s="80" t="str">
        <f t="shared" si="17"/>
        <v>O</v>
      </c>
      <c r="AR15" s="80" t="str">
        <f t="shared" si="18"/>
        <v>O</v>
      </c>
      <c r="AS15" s="80" t="s">
        <v>2</v>
      </c>
      <c r="AT15" s="80" t="str">
        <f t="shared" si="19"/>
        <v>O</v>
      </c>
      <c r="AU15" s="80" t="str">
        <f t="shared" si="20"/>
        <v>O</v>
      </c>
      <c r="AV15" s="80" t="str">
        <f t="shared" si="21"/>
        <v/>
      </c>
    </row>
    <row r="16" spans="1:60" s="37" customFormat="1" ht="12" x14ac:dyDescent="0.3">
      <c r="A16" s="75" t="s">
        <v>1093</v>
      </c>
      <c r="B16" s="76" t="s">
        <v>1094</v>
      </c>
      <c r="C16" s="86">
        <v>777</v>
      </c>
      <c r="D16" s="87">
        <v>110.6</v>
      </c>
      <c r="E16" s="88">
        <v>33</v>
      </c>
      <c r="F16" s="87">
        <v>85</v>
      </c>
      <c r="G16" s="17">
        <v>26</v>
      </c>
      <c r="H16" s="89">
        <v>98</v>
      </c>
      <c r="I16" s="90"/>
      <c r="J16" s="90"/>
      <c r="K16" s="90">
        <v>37000</v>
      </c>
      <c r="L16" s="90" t="s">
        <v>69</v>
      </c>
      <c r="M16" s="91">
        <f t="shared" si="6"/>
        <v>-37000</v>
      </c>
      <c r="N16" s="4" t="str">
        <f t="shared" si="7"/>
        <v/>
      </c>
      <c r="O16" s="92">
        <f t="shared" si="8"/>
        <v>0</v>
      </c>
      <c r="P16" s="92">
        <f t="shared" si="9"/>
        <v>1121.2121212121212</v>
      </c>
      <c r="Q16" s="80">
        <v>3</v>
      </c>
      <c r="R16" s="80">
        <v>2</v>
      </c>
      <c r="S16" s="80" t="s">
        <v>61</v>
      </c>
      <c r="T16" s="5" t="s">
        <v>226</v>
      </c>
      <c r="U16" s="9"/>
      <c r="W16" s="87">
        <f t="shared" si="3"/>
        <v>110.6</v>
      </c>
      <c r="X16" s="88">
        <f t="shared" si="3"/>
        <v>33</v>
      </c>
      <c r="Y16" s="93">
        <f t="shared" si="4"/>
        <v>98</v>
      </c>
      <c r="Z16" s="91">
        <f t="shared" si="4"/>
        <v>0</v>
      </c>
      <c r="AA16" s="91">
        <f t="shared" si="10"/>
        <v>37000</v>
      </c>
      <c r="AB16" s="91">
        <f t="shared" si="5"/>
        <v>-37000</v>
      </c>
      <c r="AC16" s="4" t="str">
        <f t="shared" si="5"/>
        <v/>
      </c>
      <c r="AD16" s="92">
        <f t="shared" si="5"/>
        <v>0</v>
      </c>
      <c r="AE16" s="80" t="str">
        <f t="shared" si="11"/>
        <v>계</v>
      </c>
      <c r="AF16" s="80" t="str">
        <f t="shared" si="12"/>
        <v>3/2</v>
      </c>
      <c r="AH16" s="20" t="str">
        <f t="shared" si="1"/>
        <v>내덕동 청주힐즈파크푸르지오</v>
      </c>
      <c r="AI16" s="88">
        <f t="shared" si="2"/>
        <v>33</v>
      </c>
      <c r="AJ16" s="80" t="str">
        <f t="shared" si="13"/>
        <v>A-</v>
      </c>
      <c r="AK16" s="80" t="s">
        <v>13</v>
      </c>
      <c r="AL16" s="80" t="s">
        <v>62</v>
      </c>
      <c r="AM16" s="80" t="s">
        <v>63</v>
      </c>
      <c r="AN16" s="80" t="str">
        <f t="shared" si="14"/>
        <v>C</v>
      </c>
      <c r="AO16" s="80" t="str">
        <f t="shared" si="15"/>
        <v/>
      </c>
      <c r="AP16" s="80" t="str">
        <f t="shared" si="16"/>
        <v/>
      </c>
      <c r="AQ16" s="80" t="str">
        <f t="shared" si="17"/>
        <v>O</v>
      </c>
      <c r="AR16" s="80" t="str">
        <f t="shared" si="18"/>
        <v>O</v>
      </c>
      <c r="AS16" s="80" t="s">
        <v>2</v>
      </c>
      <c r="AT16" s="80" t="str">
        <f t="shared" si="19"/>
        <v>O</v>
      </c>
      <c r="AU16" s="80" t="str">
        <f t="shared" si="20"/>
        <v>O</v>
      </c>
      <c r="AV16" s="80" t="str">
        <f t="shared" si="21"/>
        <v/>
      </c>
    </row>
    <row r="17" spans="1:48" s="37" customFormat="1" ht="12" x14ac:dyDescent="0.3">
      <c r="A17" s="75" t="s">
        <v>1095</v>
      </c>
      <c r="B17" s="76" t="s">
        <v>1096</v>
      </c>
      <c r="C17" s="86">
        <v>777</v>
      </c>
      <c r="D17" s="87">
        <v>110.2</v>
      </c>
      <c r="E17" s="88">
        <v>33</v>
      </c>
      <c r="F17" s="87">
        <v>85</v>
      </c>
      <c r="G17" s="17">
        <v>26</v>
      </c>
      <c r="H17" s="89">
        <v>68</v>
      </c>
      <c r="I17" s="90"/>
      <c r="J17" s="90"/>
      <c r="K17" s="90"/>
      <c r="L17" s="90"/>
      <c r="M17" s="91">
        <f t="shared" si="6"/>
        <v>0</v>
      </c>
      <c r="N17" s="4" t="str">
        <f t="shared" si="7"/>
        <v/>
      </c>
      <c r="O17" s="92">
        <f t="shared" si="8"/>
        <v>0</v>
      </c>
      <c r="P17" s="92">
        <f t="shared" si="9"/>
        <v>0</v>
      </c>
      <c r="Q17" s="80">
        <v>3</v>
      </c>
      <c r="R17" s="80">
        <v>2</v>
      </c>
      <c r="S17" s="80" t="s">
        <v>61</v>
      </c>
      <c r="T17" s="5" t="s">
        <v>227</v>
      </c>
      <c r="U17" s="9"/>
      <c r="W17" s="87">
        <f t="shared" si="3"/>
        <v>110.2</v>
      </c>
      <c r="X17" s="88">
        <f t="shared" si="3"/>
        <v>33</v>
      </c>
      <c r="Y17" s="93">
        <f t="shared" si="4"/>
        <v>68</v>
      </c>
      <c r="Z17" s="91">
        <f t="shared" si="4"/>
        <v>0</v>
      </c>
      <c r="AA17" s="91">
        <f t="shared" si="10"/>
        <v>0</v>
      </c>
      <c r="AB17" s="91">
        <f t="shared" si="5"/>
        <v>0</v>
      </c>
      <c r="AC17" s="4" t="str">
        <f t="shared" si="5"/>
        <v/>
      </c>
      <c r="AD17" s="92">
        <f t="shared" si="5"/>
        <v>0</v>
      </c>
      <c r="AE17" s="80" t="str">
        <f t="shared" si="11"/>
        <v>계</v>
      </c>
      <c r="AF17" s="80" t="str">
        <f t="shared" si="12"/>
        <v>3/2</v>
      </c>
      <c r="AH17" s="20" t="str">
        <f t="shared" si="1"/>
        <v>내덕동 청주힐즈파크푸르지오</v>
      </c>
      <c r="AI17" s="88">
        <f t="shared" si="2"/>
        <v>33</v>
      </c>
      <c r="AJ17" s="80" t="str">
        <f t="shared" si="13"/>
        <v>A-</v>
      </c>
      <c r="AK17" s="80" t="s">
        <v>13</v>
      </c>
      <c r="AL17" s="80" t="s">
        <v>62</v>
      </c>
      <c r="AM17" s="80" t="s">
        <v>63</v>
      </c>
      <c r="AN17" s="80" t="str">
        <f t="shared" si="14"/>
        <v>C</v>
      </c>
      <c r="AO17" s="80" t="str">
        <f t="shared" si="15"/>
        <v/>
      </c>
      <c r="AP17" s="80" t="str">
        <f t="shared" si="16"/>
        <v/>
      </c>
      <c r="AQ17" s="80" t="str">
        <f t="shared" si="17"/>
        <v>O</v>
      </c>
      <c r="AR17" s="80" t="str">
        <f t="shared" si="18"/>
        <v>O</v>
      </c>
      <c r="AS17" s="80" t="s">
        <v>2</v>
      </c>
      <c r="AT17" s="80" t="str">
        <f t="shared" si="19"/>
        <v>O</v>
      </c>
      <c r="AU17" s="80" t="str">
        <f t="shared" si="20"/>
        <v>O</v>
      </c>
      <c r="AV17" s="80" t="str">
        <f t="shared" si="21"/>
        <v/>
      </c>
    </row>
    <row r="18" spans="1:48" s="37" customFormat="1" ht="12" x14ac:dyDescent="0.3">
      <c r="A18" s="75" t="s">
        <v>1095</v>
      </c>
      <c r="B18" s="76" t="s">
        <v>1096</v>
      </c>
      <c r="C18" s="86">
        <v>777</v>
      </c>
      <c r="D18" s="87">
        <v>111.5</v>
      </c>
      <c r="E18" s="88">
        <v>34</v>
      </c>
      <c r="F18" s="87">
        <v>85</v>
      </c>
      <c r="G18" s="17">
        <v>26</v>
      </c>
      <c r="H18" s="89">
        <v>68</v>
      </c>
      <c r="I18" s="90"/>
      <c r="J18" s="90"/>
      <c r="K18" s="90"/>
      <c r="L18" s="90"/>
      <c r="M18" s="91">
        <f t="shared" si="6"/>
        <v>0</v>
      </c>
      <c r="N18" s="4" t="str">
        <f t="shared" si="7"/>
        <v/>
      </c>
      <c r="O18" s="92">
        <f t="shared" si="8"/>
        <v>0</v>
      </c>
      <c r="P18" s="92">
        <f t="shared" si="9"/>
        <v>0</v>
      </c>
      <c r="Q18" s="80">
        <v>3</v>
      </c>
      <c r="R18" s="80">
        <v>2</v>
      </c>
      <c r="S18" s="80" t="s">
        <v>61</v>
      </c>
      <c r="T18" s="5" t="s">
        <v>228</v>
      </c>
      <c r="U18" s="9"/>
      <c r="W18" s="87">
        <f t="shared" si="3"/>
        <v>111.5</v>
      </c>
      <c r="X18" s="88">
        <f t="shared" si="3"/>
        <v>34</v>
      </c>
      <c r="Y18" s="93">
        <f t="shared" si="4"/>
        <v>68</v>
      </c>
      <c r="Z18" s="91">
        <f t="shared" si="4"/>
        <v>0</v>
      </c>
      <c r="AA18" s="91">
        <f t="shared" si="10"/>
        <v>0</v>
      </c>
      <c r="AB18" s="91">
        <f t="shared" si="5"/>
        <v>0</v>
      </c>
      <c r="AC18" s="4" t="str">
        <f t="shared" si="5"/>
        <v/>
      </c>
      <c r="AD18" s="92">
        <f t="shared" si="5"/>
        <v>0</v>
      </c>
      <c r="AE18" s="80" t="str">
        <f t="shared" si="11"/>
        <v>계</v>
      </c>
      <c r="AF18" s="80" t="str">
        <f t="shared" si="12"/>
        <v>3/2</v>
      </c>
      <c r="AH18" s="20" t="str">
        <f t="shared" si="1"/>
        <v>내덕동 청주힐즈파크푸르지오</v>
      </c>
      <c r="AI18" s="88">
        <f t="shared" si="2"/>
        <v>34</v>
      </c>
      <c r="AJ18" s="80" t="str">
        <f t="shared" si="13"/>
        <v>A-</v>
      </c>
      <c r="AK18" s="80" t="s">
        <v>13</v>
      </c>
      <c r="AL18" s="80" t="s">
        <v>62</v>
      </c>
      <c r="AM18" s="80" t="s">
        <v>63</v>
      </c>
      <c r="AN18" s="80" t="str">
        <f t="shared" si="14"/>
        <v>C</v>
      </c>
      <c r="AO18" s="80" t="str">
        <f t="shared" si="15"/>
        <v/>
      </c>
      <c r="AP18" s="80" t="str">
        <f t="shared" si="16"/>
        <v/>
      </c>
      <c r="AQ18" s="80" t="str">
        <f t="shared" si="17"/>
        <v>O</v>
      </c>
      <c r="AR18" s="80" t="str">
        <f t="shared" si="18"/>
        <v>O</v>
      </c>
      <c r="AS18" s="80" t="s">
        <v>2</v>
      </c>
      <c r="AT18" s="80" t="str">
        <f t="shared" si="19"/>
        <v>O</v>
      </c>
      <c r="AU18" s="80" t="str">
        <f t="shared" si="20"/>
        <v>O</v>
      </c>
      <c r="AV18" s="80" t="str">
        <f t="shared" si="21"/>
        <v/>
      </c>
    </row>
    <row r="19" spans="1:48" s="37" customFormat="1" ht="12" x14ac:dyDescent="0.3">
      <c r="A19" s="75" t="s">
        <v>1097</v>
      </c>
      <c r="B19" s="76" t="s">
        <v>1098</v>
      </c>
      <c r="C19" s="86">
        <v>777</v>
      </c>
      <c r="D19" s="87">
        <v>132</v>
      </c>
      <c r="E19" s="88">
        <v>40</v>
      </c>
      <c r="F19" s="87">
        <v>101.9</v>
      </c>
      <c r="G19" s="17">
        <v>31</v>
      </c>
      <c r="H19" s="89">
        <v>46</v>
      </c>
      <c r="I19" s="90"/>
      <c r="J19" s="90"/>
      <c r="K19" s="90"/>
      <c r="L19" s="90"/>
      <c r="M19" s="91">
        <f t="shared" si="6"/>
        <v>0</v>
      </c>
      <c r="N19" s="4" t="str">
        <f t="shared" si="7"/>
        <v/>
      </c>
      <c r="O19" s="92">
        <f t="shared" si="8"/>
        <v>0</v>
      </c>
      <c r="P19" s="92">
        <f t="shared" si="9"/>
        <v>0</v>
      </c>
      <c r="Q19" s="80">
        <v>4</v>
      </c>
      <c r="R19" s="80">
        <v>2</v>
      </c>
      <c r="S19" s="80" t="s">
        <v>61</v>
      </c>
      <c r="T19" s="5">
        <v>132</v>
      </c>
      <c r="U19" s="9"/>
      <c r="W19" s="87">
        <f t="shared" si="3"/>
        <v>132</v>
      </c>
      <c r="X19" s="88">
        <f t="shared" si="3"/>
        <v>40</v>
      </c>
      <c r="Y19" s="93">
        <f t="shared" si="4"/>
        <v>46</v>
      </c>
      <c r="Z19" s="91">
        <f t="shared" si="4"/>
        <v>0</v>
      </c>
      <c r="AA19" s="91">
        <f t="shared" si="10"/>
        <v>0</v>
      </c>
      <c r="AB19" s="91">
        <f t="shared" si="5"/>
        <v>0</v>
      </c>
      <c r="AC19" s="4" t="str">
        <f t="shared" si="5"/>
        <v/>
      </c>
      <c r="AD19" s="92">
        <f t="shared" si="5"/>
        <v>0</v>
      </c>
      <c r="AE19" s="80" t="str">
        <f t="shared" si="11"/>
        <v>계</v>
      </c>
      <c r="AF19" s="80" t="str">
        <f t="shared" si="12"/>
        <v>4/2</v>
      </c>
      <c r="AH19" s="20" t="str">
        <f t="shared" si="1"/>
        <v>내덕동 청주힐즈파크푸르지오</v>
      </c>
      <c r="AI19" s="88">
        <f t="shared" si="2"/>
        <v>40</v>
      </c>
      <c r="AJ19" s="80" t="str">
        <f t="shared" si="13"/>
        <v>A-</v>
      </c>
      <c r="AK19" s="80" t="s">
        <v>13</v>
      </c>
      <c r="AL19" s="80" t="s">
        <v>62</v>
      </c>
      <c r="AM19" s="80" t="s">
        <v>63</v>
      </c>
      <c r="AN19" s="80" t="str">
        <f t="shared" si="14"/>
        <v>C</v>
      </c>
      <c r="AO19" s="80" t="str">
        <f t="shared" si="15"/>
        <v/>
      </c>
      <c r="AP19" s="80" t="str">
        <f t="shared" si="16"/>
        <v/>
      </c>
      <c r="AQ19" s="80" t="str">
        <f t="shared" si="17"/>
        <v>O</v>
      </c>
      <c r="AR19" s="80" t="str">
        <f t="shared" si="18"/>
        <v>O</v>
      </c>
      <c r="AS19" s="80" t="s">
        <v>2</v>
      </c>
      <c r="AT19" s="80" t="str">
        <f t="shared" si="19"/>
        <v>X</v>
      </c>
      <c r="AU19" s="80" t="str">
        <f t="shared" si="20"/>
        <v>O</v>
      </c>
      <c r="AV19" s="80" t="str">
        <f t="shared" si="21"/>
        <v/>
      </c>
    </row>
    <row r="20" spans="1:48" s="37" customFormat="1" ht="12" x14ac:dyDescent="0.3">
      <c r="A20" s="75" t="s">
        <v>1099</v>
      </c>
      <c r="B20" s="76" t="s">
        <v>1100</v>
      </c>
      <c r="C20" s="86">
        <v>777</v>
      </c>
      <c r="D20" s="87">
        <v>148</v>
      </c>
      <c r="E20" s="88">
        <v>45</v>
      </c>
      <c r="F20" s="87">
        <v>118.8</v>
      </c>
      <c r="G20" s="17">
        <v>36</v>
      </c>
      <c r="H20" s="89">
        <v>2</v>
      </c>
      <c r="I20" s="90"/>
      <c r="J20" s="90"/>
      <c r="K20" s="90"/>
      <c r="L20" s="90"/>
      <c r="M20" s="91">
        <f t="shared" si="6"/>
        <v>0</v>
      </c>
      <c r="N20" s="4" t="str">
        <f t="shared" si="7"/>
        <v/>
      </c>
      <c r="O20" s="92">
        <f t="shared" si="8"/>
        <v>0</v>
      </c>
      <c r="P20" s="92">
        <f t="shared" si="9"/>
        <v>0</v>
      </c>
      <c r="Q20" s="80">
        <v>4</v>
      </c>
      <c r="R20" s="80">
        <v>2</v>
      </c>
      <c r="S20" s="80" t="s">
        <v>61</v>
      </c>
      <c r="T20" s="5">
        <v>147</v>
      </c>
      <c r="U20" s="9"/>
      <c r="W20" s="87">
        <f t="shared" si="3"/>
        <v>148</v>
      </c>
      <c r="X20" s="88">
        <f t="shared" si="3"/>
        <v>45</v>
      </c>
      <c r="Y20" s="93">
        <f t="shared" si="4"/>
        <v>2</v>
      </c>
      <c r="Z20" s="91">
        <f t="shared" si="4"/>
        <v>0</v>
      </c>
      <c r="AA20" s="91">
        <f t="shared" si="10"/>
        <v>0</v>
      </c>
      <c r="AB20" s="91">
        <f t="shared" si="5"/>
        <v>0</v>
      </c>
      <c r="AC20" s="4" t="str">
        <f t="shared" si="5"/>
        <v/>
      </c>
      <c r="AD20" s="92">
        <f t="shared" si="5"/>
        <v>0</v>
      </c>
      <c r="AE20" s="80" t="str">
        <f t="shared" si="11"/>
        <v>계</v>
      </c>
      <c r="AF20" s="80" t="str">
        <f t="shared" si="12"/>
        <v>4/2</v>
      </c>
      <c r="AH20" s="20" t="str">
        <f t="shared" si="1"/>
        <v>내덕동 청주힐즈파크푸르지오</v>
      </c>
      <c r="AI20" s="88">
        <f t="shared" si="2"/>
        <v>45</v>
      </c>
      <c r="AJ20" s="80" t="str">
        <f t="shared" si="13"/>
        <v>A-</v>
      </c>
      <c r="AK20" s="80" t="s">
        <v>13</v>
      </c>
      <c r="AL20" s="80" t="s">
        <v>62</v>
      </c>
      <c r="AM20" s="80" t="s">
        <v>63</v>
      </c>
      <c r="AN20" s="80" t="str">
        <f t="shared" si="14"/>
        <v>C</v>
      </c>
      <c r="AO20" s="80" t="str">
        <f t="shared" si="15"/>
        <v/>
      </c>
      <c r="AP20" s="80" t="str">
        <f t="shared" si="16"/>
        <v/>
      </c>
      <c r="AQ20" s="80" t="str">
        <f t="shared" si="17"/>
        <v>O</v>
      </c>
      <c r="AR20" s="80" t="str">
        <f t="shared" si="18"/>
        <v>O</v>
      </c>
      <c r="AS20" s="80" t="s">
        <v>2</v>
      </c>
      <c r="AT20" s="80" t="str">
        <f t="shared" si="19"/>
        <v>X</v>
      </c>
      <c r="AU20" s="80" t="str">
        <f t="shared" si="20"/>
        <v>O</v>
      </c>
      <c r="AV20" s="80" t="str">
        <f t="shared" si="21"/>
        <v/>
      </c>
    </row>
    <row r="21" spans="1:48" s="37" customFormat="1" ht="12" x14ac:dyDescent="0.3">
      <c r="A21" s="75" t="s">
        <v>1101</v>
      </c>
      <c r="B21" s="76" t="s">
        <v>963</v>
      </c>
      <c r="C21" s="86">
        <v>777</v>
      </c>
      <c r="D21" s="87">
        <v>151.9</v>
      </c>
      <c r="E21" s="88">
        <v>46</v>
      </c>
      <c r="F21" s="87">
        <v>114.2</v>
      </c>
      <c r="G21" s="17">
        <v>35</v>
      </c>
      <c r="H21" s="89">
        <v>1</v>
      </c>
      <c r="I21" s="90"/>
      <c r="J21" s="90"/>
      <c r="K21" s="90"/>
      <c r="L21" s="90"/>
      <c r="M21" s="91">
        <f t="shared" si="6"/>
        <v>0</v>
      </c>
      <c r="N21" s="4" t="str">
        <f t="shared" si="7"/>
        <v/>
      </c>
      <c r="O21" s="92">
        <f t="shared" si="8"/>
        <v>0</v>
      </c>
      <c r="P21" s="92">
        <f t="shared" si="9"/>
        <v>0</v>
      </c>
      <c r="Q21" s="80">
        <v>3</v>
      </c>
      <c r="R21" s="80">
        <v>2</v>
      </c>
      <c r="S21" s="80" t="s">
        <v>61</v>
      </c>
      <c r="T21" s="5">
        <v>151</v>
      </c>
      <c r="U21" s="9"/>
      <c r="W21" s="87">
        <f t="shared" si="3"/>
        <v>151.9</v>
      </c>
      <c r="X21" s="88">
        <f t="shared" si="3"/>
        <v>46</v>
      </c>
      <c r="Y21" s="93">
        <f t="shared" si="4"/>
        <v>1</v>
      </c>
      <c r="Z21" s="91">
        <f t="shared" si="4"/>
        <v>0</v>
      </c>
      <c r="AA21" s="91">
        <f t="shared" si="10"/>
        <v>0</v>
      </c>
      <c r="AB21" s="91">
        <f t="shared" si="5"/>
        <v>0</v>
      </c>
      <c r="AC21" s="4" t="str">
        <f t="shared" si="5"/>
        <v/>
      </c>
      <c r="AD21" s="92">
        <f t="shared" si="5"/>
        <v>0</v>
      </c>
      <c r="AE21" s="80" t="str">
        <f t="shared" si="11"/>
        <v>계</v>
      </c>
      <c r="AF21" s="80" t="str">
        <f t="shared" si="12"/>
        <v>3/2</v>
      </c>
      <c r="AH21" s="20" t="str">
        <f t="shared" si="1"/>
        <v>내덕동 청주힐즈파크푸르지오</v>
      </c>
      <c r="AI21" s="88">
        <f t="shared" si="2"/>
        <v>46</v>
      </c>
      <c r="AJ21" s="80" t="str">
        <f t="shared" si="13"/>
        <v>A-</v>
      </c>
      <c r="AK21" s="80" t="s">
        <v>13</v>
      </c>
      <c r="AL21" s="80" t="s">
        <v>62</v>
      </c>
      <c r="AM21" s="80" t="s">
        <v>63</v>
      </c>
      <c r="AN21" s="80" t="str">
        <f t="shared" si="14"/>
        <v>C</v>
      </c>
      <c r="AO21" s="80" t="str">
        <f t="shared" si="15"/>
        <v/>
      </c>
      <c r="AP21" s="80" t="str">
        <f t="shared" si="16"/>
        <v/>
      </c>
      <c r="AQ21" s="80" t="str">
        <f t="shared" si="17"/>
        <v>O</v>
      </c>
      <c r="AR21" s="80" t="str">
        <f t="shared" si="18"/>
        <v>O</v>
      </c>
      <c r="AS21" s="80" t="s">
        <v>2</v>
      </c>
      <c r="AT21" s="80" t="str">
        <f t="shared" si="19"/>
        <v>X</v>
      </c>
      <c r="AU21" s="80" t="str">
        <f t="shared" si="20"/>
        <v>O</v>
      </c>
      <c r="AV21" s="80" t="str">
        <f t="shared" si="21"/>
        <v/>
      </c>
    </row>
    <row r="22" spans="1:48" s="37" customFormat="1" ht="12" x14ac:dyDescent="0.3">
      <c r="A22" s="75" t="s">
        <v>1102</v>
      </c>
      <c r="B22" s="76" t="s">
        <v>1103</v>
      </c>
      <c r="C22" s="86">
        <v>777</v>
      </c>
      <c r="D22" s="87">
        <v>161.19999999999999</v>
      </c>
      <c r="E22" s="88">
        <v>49</v>
      </c>
      <c r="F22" s="87">
        <v>121.4</v>
      </c>
      <c r="G22" s="17">
        <v>37</v>
      </c>
      <c r="H22" s="89">
        <v>1</v>
      </c>
      <c r="I22" s="90"/>
      <c r="J22" s="90"/>
      <c r="K22" s="90"/>
      <c r="L22" s="90"/>
      <c r="M22" s="91">
        <f t="shared" si="6"/>
        <v>0</v>
      </c>
      <c r="N22" s="4" t="str">
        <f t="shared" si="7"/>
        <v/>
      </c>
      <c r="O22" s="92">
        <f t="shared" si="8"/>
        <v>0</v>
      </c>
      <c r="P22" s="92">
        <f t="shared" si="9"/>
        <v>0</v>
      </c>
      <c r="Q22" s="80">
        <v>3</v>
      </c>
      <c r="R22" s="80">
        <v>2</v>
      </c>
      <c r="S22" s="80" t="s">
        <v>61</v>
      </c>
      <c r="T22" s="5">
        <v>161</v>
      </c>
      <c r="U22" s="9"/>
      <c r="W22" s="87">
        <f t="shared" si="3"/>
        <v>161.19999999999999</v>
      </c>
      <c r="X22" s="88">
        <f t="shared" si="3"/>
        <v>49</v>
      </c>
      <c r="Y22" s="93">
        <f t="shared" si="4"/>
        <v>1</v>
      </c>
      <c r="Z22" s="91">
        <f t="shared" si="4"/>
        <v>0</v>
      </c>
      <c r="AA22" s="91">
        <f t="shared" si="10"/>
        <v>0</v>
      </c>
      <c r="AB22" s="91">
        <f t="shared" si="5"/>
        <v>0</v>
      </c>
      <c r="AC22" s="4" t="str">
        <f t="shared" si="5"/>
        <v/>
      </c>
      <c r="AD22" s="92">
        <f t="shared" si="5"/>
        <v>0</v>
      </c>
      <c r="AE22" s="80" t="str">
        <f t="shared" si="11"/>
        <v>계</v>
      </c>
      <c r="AF22" s="80" t="str">
        <f t="shared" si="12"/>
        <v>3/2</v>
      </c>
      <c r="AH22" s="20" t="str">
        <f t="shared" si="1"/>
        <v>내덕동 청주힐즈파크푸르지오</v>
      </c>
      <c r="AI22" s="88">
        <f t="shared" si="2"/>
        <v>49</v>
      </c>
      <c r="AJ22" s="80" t="str">
        <f t="shared" si="13"/>
        <v>A-</v>
      </c>
      <c r="AK22" s="80" t="s">
        <v>13</v>
      </c>
      <c r="AL22" s="80" t="s">
        <v>62</v>
      </c>
      <c r="AM22" s="80" t="s">
        <v>63</v>
      </c>
      <c r="AN22" s="80" t="str">
        <f t="shared" si="14"/>
        <v>C</v>
      </c>
      <c r="AO22" s="80" t="str">
        <f t="shared" si="15"/>
        <v/>
      </c>
      <c r="AP22" s="80" t="str">
        <f t="shared" si="16"/>
        <v/>
      </c>
      <c r="AQ22" s="80" t="str">
        <f t="shared" si="17"/>
        <v>O</v>
      </c>
      <c r="AR22" s="80" t="str">
        <f t="shared" si="18"/>
        <v>O</v>
      </c>
      <c r="AS22" s="80" t="s">
        <v>2</v>
      </c>
      <c r="AT22" s="80" t="str">
        <f t="shared" si="19"/>
        <v>X</v>
      </c>
      <c r="AU22" s="80" t="str">
        <f t="shared" si="20"/>
        <v>O</v>
      </c>
      <c r="AV22" s="80" t="str">
        <f t="shared" si="21"/>
        <v/>
      </c>
    </row>
    <row r="23" spans="1:48" s="37" customFormat="1" ht="12" x14ac:dyDescent="0.3">
      <c r="A23" s="75" t="s">
        <v>1104</v>
      </c>
      <c r="B23" s="76" t="s">
        <v>1105</v>
      </c>
      <c r="C23" s="86">
        <v>280</v>
      </c>
      <c r="D23" s="87">
        <v>41</v>
      </c>
      <c r="E23" s="88">
        <v>12</v>
      </c>
      <c r="F23" s="87">
        <v>30.3</v>
      </c>
      <c r="G23" s="17">
        <v>9</v>
      </c>
      <c r="H23" s="89">
        <v>250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2</v>
      </c>
      <c r="R23" s="80">
        <v>1</v>
      </c>
      <c r="S23" s="80" t="s">
        <v>61</v>
      </c>
      <c r="T23" s="5">
        <v>40</v>
      </c>
      <c r="U23" s="9"/>
      <c r="W23" s="87">
        <f>D23</f>
        <v>41</v>
      </c>
      <c r="X23" s="88">
        <f>E23</f>
        <v>12</v>
      </c>
      <c r="Y23" s="93">
        <f>H23</f>
        <v>250</v>
      </c>
      <c r="Z23" s="91">
        <f>I23</f>
        <v>0</v>
      </c>
      <c r="AA23" s="91">
        <f>K23</f>
        <v>0</v>
      </c>
      <c r="AB23" s="91">
        <f t="shared" ref="AB23:AD32" si="22">M23</f>
        <v>0</v>
      </c>
      <c r="AC23" s="4" t="str">
        <f t="shared" si="22"/>
        <v/>
      </c>
      <c r="AD23" s="92">
        <f t="shared" si="22"/>
        <v>0</v>
      </c>
      <c r="AE23" s="80" t="str">
        <f>S23</f>
        <v>계</v>
      </c>
      <c r="AF23" s="80" t="str">
        <f>Q23&amp;"/"&amp;R23</f>
        <v>2/1</v>
      </c>
      <c r="AH23" s="20" t="str">
        <f t="shared" si="1"/>
        <v>내덕동 영우예인촌</v>
      </c>
      <c r="AI23" s="88">
        <f t="shared" si="2"/>
        <v>12</v>
      </c>
      <c r="AJ23" s="80" t="str">
        <f>IF(AI23="","",$AJ$2)</f>
        <v>A-</v>
      </c>
      <c r="AK23" s="80" t="s">
        <v>13</v>
      </c>
      <c r="AL23" s="80" t="s">
        <v>62</v>
      </c>
      <c r="AM23" s="80" t="s">
        <v>63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X</v>
      </c>
      <c r="AU23" s="80" t="str">
        <f>IF(C23="","",IF(C23&gt;=$AU$1,"O","X"))</f>
        <v>X</v>
      </c>
      <c r="AV23" s="80" t="str">
        <f>IF(AO23="","",IF(AND(AO23="O",AP23="O",AR23="O",AT23="O",AU23="O"),"후보","X"))</f>
        <v/>
      </c>
    </row>
    <row r="24" spans="1:48" s="37" customFormat="1" ht="12" x14ac:dyDescent="0.3">
      <c r="A24" s="75" t="s">
        <v>1104</v>
      </c>
      <c r="B24" s="76" t="s">
        <v>1105</v>
      </c>
      <c r="C24" s="86">
        <v>280</v>
      </c>
      <c r="D24" s="87">
        <v>57.1</v>
      </c>
      <c r="E24" s="88">
        <v>17</v>
      </c>
      <c r="F24" s="87">
        <v>43.3</v>
      </c>
      <c r="G24" s="17">
        <v>13</v>
      </c>
      <c r="H24" s="89">
        <v>30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2</v>
      </c>
      <c r="R24" s="80">
        <v>1</v>
      </c>
      <c r="S24" s="80" t="s">
        <v>61</v>
      </c>
      <c r="T24" s="5">
        <v>57</v>
      </c>
      <c r="U24" s="9"/>
      <c r="W24" s="87">
        <f>D24</f>
        <v>57.1</v>
      </c>
      <c r="X24" s="88">
        <f>E24</f>
        <v>17</v>
      </c>
      <c r="Y24" s="93">
        <f>H24</f>
        <v>30</v>
      </c>
      <c r="Z24" s="91">
        <f>I24</f>
        <v>0</v>
      </c>
      <c r="AA24" s="91">
        <f>K24</f>
        <v>0</v>
      </c>
      <c r="AB24" s="91">
        <f t="shared" si="22"/>
        <v>0</v>
      </c>
      <c r="AC24" s="4" t="str">
        <f t="shared" si="22"/>
        <v/>
      </c>
      <c r="AD24" s="92">
        <f t="shared" si="22"/>
        <v>0</v>
      </c>
      <c r="AE24" s="80" t="str">
        <f>S24</f>
        <v>계</v>
      </c>
      <c r="AF24" s="80" t="str">
        <f>Q24&amp;"/"&amp;R24</f>
        <v>2/1</v>
      </c>
      <c r="AH24" s="20" t="str">
        <f t="shared" si="1"/>
        <v>내덕동 영우예인촌</v>
      </c>
      <c r="AI24" s="88">
        <f t="shared" si="2"/>
        <v>17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X</v>
      </c>
      <c r="AV24" s="80" t="str">
        <f>IF(AO24="","",IF(AND(AO24="O",AP24="O",AR24="O",AT24="O",AU24="O"),"후보","X"))</f>
        <v/>
      </c>
    </row>
    <row r="25" spans="1:48" s="37" customFormat="1" ht="12" x14ac:dyDescent="0.3">
      <c r="A25" s="75" t="s">
        <v>1106</v>
      </c>
      <c r="B25" s="76" t="s">
        <v>969</v>
      </c>
      <c r="C25" s="86">
        <v>252</v>
      </c>
      <c r="D25" s="87">
        <v>55.1</v>
      </c>
      <c r="E25" s="88">
        <v>17</v>
      </c>
      <c r="F25" s="87">
        <v>43.9</v>
      </c>
      <c r="G25" s="17">
        <v>13</v>
      </c>
      <c r="H25" s="89">
        <v>156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3</v>
      </c>
      <c r="R25" s="80">
        <v>1</v>
      </c>
      <c r="S25" s="80" t="s">
        <v>61</v>
      </c>
      <c r="T25" s="5">
        <v>55</v>
      </c>
      <c r="U25" s="9"/>
      <c r="W25" s="87">
        <f>D25</f>
        <v>55.1</v>
      </c>
      <c r="X25" s="88">
        <f>E25</f>
        <v>17</v>
      </c>
      <c r="Y25" s="93">
        <f>H25</f>
        <v>156</v>
      </c>
      <c r="Z25" s="91">
        <f>I25</f>
        <v>0</v>
      </c>
      <c r="AA25" s="91">
        <f>K25</f>
        <v>0</v>
      </c>
      <c r="AB25" s="91">
        <f t="shared" si="22"/>
        <v>0</v>
      </c>
      <c r="AC25" s="4" t="str">
        <f t="shared" si="22"/>
        <v/>
      </c>
      <c r="AD25" s="92">
        <f t="shared" si="22"/>
        <v>0</v>
      </c>
      <c r="AE25" s="80" t="str">
        <f>S25</f>
        <v>계</v>
      </c>
      <c r="AF25" s="80" t="str">
        <f>Q25&amp;"/"&amp;R25</f>
        <v>3/1</v>
      </c>
      <c r="AH25" s="20" t="str">
        <f t="shared" si="1"/>
        <v>내덕동 롯데삼성</v>
      </c>
      <c r="AI25" s="88">
        <f t="shared" si="2"/>
        <v>17</v>
      </c>
      <c r="AJ25" s="80" t="str">
        <f>IF(AI25="","",$AJ$2)</f>
        <v>A-</v>
      </c>
      <c r="AK25" s="80" t="s">
        <v>13</v>
      </c>
      <c r="AL25" s="80" t="s">
        <v>62</v>
      </c>
      <c r="AM25" s="80" t="s">
        <v>63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X</v>
      </c>
      <c r="AV25" s="80" t="str">
        <f>IF(AO25="","",IF(AND(AO25="O",AP25="O",AR25="O",AT25="O",AU25="O"),"후보","X"))</f>
        <v/>
      </c>
    </row>
    <row r="26" spans="1:48" s="37" customFormat="1" ht="12" x14ac:dyDescent="0.3">
      <c r="A26" s="75" t="s">
        <v>1106</v>
      </c>
      <c r="B26" s="76" t="s">
        <v>969</v>
      </c>
      <c r="C26" s="86">
        <v>252</v>
      </c>
      <c r="D26" s="87">
        <v>68.400000000000006</v>
      </c>
      <c r="E26" s="88">
        <v>21</v>
      </c>
      <c r="F26" s="87">
        <v>55.4</v>
      </c>
      <c r="G26" s="17">
        <v>17</v>
      </c>
      <c r="H26" s="89">
        <v>96</v>
      </c>
      <c r="I26" s="90"/>
      <c r="J26" s="90"/>
      <c r="K26" s="90"/>
      <c r="L26" s="90"/>
      <c r="M26" s="91">
        <f>I26-K26</f>
        <v>0</v>
      </c>
      <c r="N26" s="4" t="str">
        <f>IF(ISERROR(K26/I26),"",K26/I26)</f>
        <v/>
      </c>
      <c r="O26" s="92">
        <f>I26/E26</f>
        <v>0</v>
      </c>
      <c r="P26" s="92">
        <f>K26/E26</f>
        <v>0</v>
      </c>
      <c r="Q26" s="80">
        <v>3</v>
      </c>
      <c r="R26" s="80">
        <v>1</v>
      </c>
      <c r="S26" s="80" t="s">
        <v>61</v>
      </c>
      <c r="T26" s="5">
        <v>68</v>
      </c>
      <c r="U26" s="9"/>
      <c r="W26" s="87">
        <f>D26</f>
        <v>68.400000000000006</v>
      </c>
      <c r="X26" s="88">
        <f>E26</f>
        <v>21</v>
      </c>
      <c r="Y26" s="93">
        <f>H26</f>
        <v>96</v>
      </c>
      <c r="Z26" s="91">
        <f>I26</f>
        <v>0</v>
      </c>
      <c r="AA26" s="91">
        <f>K26</f>
        <v>0</v>
      </c>
      <c r="AB26" s="91">
        <f t="shared" si="22"/>
        <v>0</v>
      </c>
      <c r="AC26" s="4" t="str">
        <f t="shared" si="22"/>
        <v/>
      </c>
      <c r="AD26" s="92">
        <f t="shared" si="22"/>
        <v>0</v>
      </c>
      <c r="AE26" s="80" t="str">
        <f>S26</f>
        <v>계</v>
      </c>
      <c r="AF26" s="80" t="str">
        <f>Q26&amp;"/"&amp;R26</f>
        <v>3/1</v>
      </c>
      <c r="AH26" s="20" t="str">
        <f t="shared" si="1"/>
        <v>내덕동 롯데삼성</v>
      </c>
      <c r="AI26" s="88">
        <f t="shared" si="2"/>
        <v>21</v>
      </c>
      <c r="AJ26" s="80" t="str">
        <f>IF(AI26="","",$AJ$2)</f>
        <v>A-</v>
      </c>
      <c r="AK26" s="80" t="s">
        <v>13</v>
      </c>
      <c r="AL26" s="80" t="s">
        <v>62</v>
      </c>
      <c r="AM26" s="80" t="s">
        <v>63</v>
      </c>
      <c r="AN26" s="80" t="str">
        <f>IF(AI26="","",$AN$2)</f>
        <v>C</v>
      </c>
      <c r="AO26" s="80" t="str">
        <f>IF(N26="","",IF(N26&gt;=$AO$1/100,"O","X"))</f>
        <v/>
      </c>
      <c r="AP26" s="80" t="str">
        <f>IF(I26="","",IF(I26&lt;=$AP$1,"O","X"))</f>
        <v/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X</v>
      </c>
      <c r="AV26" s="80" t="str">
        <f>IF(AO26="","",IF(AND(AO26="O",AP26="O",AR26="O",AT26="O",AU26="O"),"후보","X"))</f>
        <v/>
      </c>
    </row>
    <row r="27" spans="1:48" s="37" customFormat="1" ht="12" x14ac:dyDescent="0.3">
      <c r="A27" s="75" t="s">
        <v>1107</v>
      </c>
      <c r="B27" s="76" t="s">
        <v>973</v>
      </c>
      <c r="C27" s="86">
        <v>300</v>
      </c>
      <c r="D27" s="87">
        <v>51.8</v>
      </c>
      <c r="E27" s="88">
        <v>16</v>
      </c>
      <c r="F27" s="87">
        <v>45.1</v>
      </c>
      <c r="G27" s="17">
        <v>14</v>
      </c>
      <c r="H27" s="89">
        <v>60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2</v>
      </c>
      <c r="R27" s="80">
        <v>1</v>
      </c>
      <c r="S27" s="80" t="s">
        <v>61</v>
      </c>
      <c r="T27" s="5" t="s">
        <v>116</v>
      </c>
      <c r="U27" s="9"/>
      <c r="W27" s="87">
        <f t="shared" ref="W27:X30" si="23">D27</f>
        <v>51.8</v>
      </c>
      <c r="X27" s="88">
        <f t="shared" si="23"/>
        <v>16</v>
      </c>
      <c r="Y27" s="93">
        <f t="shared" ref="Y27:Z30" si="24">H27</f>
        <v>60</v>
      </c>
      <c r="Z27" s="91">
        <f t="shared" si="24"/>
        <v>0</v>
      </c>
      <c r="AA27" s="91">
        <f>K27</f>
        <v>0</v>
      </c>
      <c r="AB27" s="91">
        <f t="shared" si="22"/>
        <v>0</v>
      </c>
      <c r="AC27" s="4" t="str">
        <f t="shared" si="22"/>
        <v/>
      </c>
      <c r="AD27" s="92">
        <f t="shared" si="22"/>
        <v>0</v>
      </c>
      <c r="AE27" s="80" t="str">
        <f>S27</f>
        <v>계</v>
      </c>
      <c r="AF27" s="80" t="str">
        <f>Q27&amp;"/"&amp;R27</f>
        <v>2/1</v>
      </c>
      <c r="AH27" s="20" t="str">
        <f t="shared" si="1"/>
        <v>내덕동 시영</v>
      </c>
      <c r="AI27" s="88">
        <f t="shared" si="2"/>
        <v>16</v>
      </c>
      <c r="AJ27" s="80" t="str">
        <f>IF(AI27="","",$AJ$2)</f>
        <v>A-</v>
      </c>
      <c r="AK27" s="80" t="s">
        <v>13</v>
      </c>
      <c r="AL27" s="80" t="s">
        <v>62</v>
      </c>
      <c r="AM27" s="80" t="s">
        <v>63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/>
      </c>
    </row>
    <row r="28" spans="1:48" s="37" customFormat="1" ht="12" x14ac:dyDescent="0.3">
      <c r="A28" s="75" t="s">
        <v>1107</v>
      </c>
      <c r="B28" s="76" t="s">
        <v>973</v>
      </c>
      <c r="C28" s="86">
        <v>300</v>
      </c>
      <c r="D28" s="87">
        <v>53</v>
      </c>
      <c r="E28" s="88">
        <v>16</v>
      </c>
      <c r="F28" s="87">
        <v>45.5</v>
      </c>
      <c r="G28" s="17">
        <v>14</v>
      </c>
      <c r="H28" s="89">
        <v>50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2</v>
      </c>
      <c r="R28" s="80">
        <v>1</v>
      </c>
      <c r="S28" s="80" t="s">
        <v>61</v>
      </c>
      <c r="T28" s="5" t="s">
        <v>266</v>
      </c>
      <c r="U28" s="9"/>
      <c r="W28" s="87">
        <f t="shared" si="23"/>
        <v>53</v>
      </c>
      <c r="X28" s="88">
        <f t="shared" si="23"/>
        <v>16</v>
      </c>
      <c r="Y28" s="93">
        <f t="shared" si="24"/>
        <v>50</v>
      </c>
      <c r="Z28" s="91">
        <f t="shared" si="24"/>
        <v>0</v>
      </c>
      <c r="AA28" s="91">
        <f>K28</f>
        <v>0</v>
      </c>
      <c r="AB28" s="91">
        <f t="shared" si="22"/>
        <v>0</v>
      </c>
      <c r="AC28" s="4" t="str">
        <f t="shared" si="22"/>
        <v/>
      </c>
      <c r="AD28" s="92">
        <f t="shared" si="22"/>
        <v>0</v>
      </c>
      <c r="AE28" s="80" t="str">
        <f>S28</f>
        <v>계</v>
      </c>
      <c r="AF28" s="80" t="str">
        <f>Q28&amp;"/"&amp;R28</f>
        <v>2/1</v>
      </c>
      <c r="AH28" s="20" t="str">
        <f t="shared" si="1"/>
        <v>내덕동 시영</v>
      </c>
      <c r="AI28" s="88">
        <f t="shared" si="2"/>
        <v>16</v>
      </c>
      <c r="AJ28" s="80" t="str">
        <f>IF(AI28="","",$AJ$2)</f>
        <v>A-</v>
      </c>
      <c r="AK28" s="80" t="s">
        <v>13</v>
      </c>
      <c r="AL28" s="80" t="s">
        <v>62</v>
      </c>
      <c r="AM28" s="80" t="s">
        <v>63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s="37" customFormat="1" ht="12" x14ac:dyDescent="0.3">
      <c r="A29" s="75" t="s">
        <v>1107</v>
      </c>
      <c r="B29" s="76" t="s">
        <v>973</v>
      </c>
      <c r="C29" s="86">
        <v>300</v>
      </c>
      <c r="D29" s="87">
        <v>59.4</v>
      </c>
      <c r="E29" s="88">
        <v>18</v>
      </c>
      <c r="F29" s="87">
        <v>52.4</v>
      </c>
      <c r="G29" s="17">
        <v>16</v>
      </c>
      <c r="H29" s="89">
        <v>90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3</v>
      </c>
      <c r="R29" s="80">
        <v>1</v>
      </c>
      <c r="S29" s="80" t="s">
        <v>61</v>
      </c>
      <c r="T29" s="5">
        <v>59</v>
      </c>
      <c r="U29" s="9"/>
      <c r="W29" s="87">
        <f t="shared" si="23"/>
        <v>59.4</v>
      </c>
      <c r="X29" s="88">
        <f t="shared" si="23"/>
        <v>18</v>
      </c>
      <c r="Y29" s="93">
        <f t="shared" si="24"/>
        <v>90</v>
      </c>
      <c r="Z29" s="91">
        <f t="shared" si="24"/>
        <v>0</v>
      </c>
      <c r="AA29" s="91">
        <f>K29</f>
        <v>0</v>
      </c>
      <c r="AB29" s="91">
        <f t="shared" si="22"/>
        <v>0</v>
      </c>
      <c r="AC29" s="4" t="str">
        <f t="shared" si="22"/>
        <v/>
      </c>
      <c r="AD29" s="92">
        <f t="shared" si="22"/>
        <v>0</v>
      </c>
      <c r="AE29" s="80" t="str">
        <f>S29</f>
        <v>계</v>
      </c>
      <c r="AF29" s="80" t="str">
        <f>Q29&amp;"/"&amp;R29</f>
        <v>3/1</v>
      </c>
      <c r="AH29" s="20" t="str">
        <f t="shared" si="1"/>
        <v>내덕동 시영</v>
      </c>
      <c r="AI29" s="88">
        <f t="shared" si="2"/>
        <v>18</v>
      </c>
      <c r="AJ29" s="80" t="str">
        <f>IF(AI29="","",$AJ$2)</f>
        <v>A-</v>
      </c>
      <c r="AK29" s="80" t="s">
        <v>13</v>
      </c>
      <c r="AL29" s="80" t="s">
        <v>62</v>
      </c>
      <c r="AM29" s="80" t="s">
        <v>63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/>
      </c>
    </row>
    <row r="30" spans="1:48" s="37" customFormat="1" ht="12" x14ac:dyDescent="0.3">
      <c r="A30" s="75" t="s">
        <v>1107</v>
      </c>
      <c r="B30" s="76" t="s">
        <v>973</v>
      </c>
      <c r="C30" s="86">
        <v>300</v>
      </c>
      <c r="D30" s="87">
        <v>61.7</v>
      </c>
      <c r="E30" s="88">
        <v>19</v>
      </c>
      <c r="F30" s="87">
        <v>54.2</v>
      </c>
      <c r="G30" s="17">
        <v>16</v>
      </c>
      <c r="H30" s="89">
        <v>100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3</v>
      </c>
      <c r="R30" s="80">
        <v>1</v>
      </c>
      <c r="S30" s="80" t="s">
        <v>61</v>
      </c>
      <c r="T30" s="5">
        <v>61</v>
      </c>
      <c r="U30" s="9"/>
      <c r="W30" s="87">
        <f t="shared" si="23"/>
        <v>61.7</v>
      </c>
      <c r="X30" s="88">
        <f t="shared" si="23"/>
        <v>19</v>
      </c>
      <c r="Y30" s="93">
        <f t="shared" si="24"/>
        <v>100</v>
      </c>
      <c r="Z30" s="91">
        <f t="shared" si="24"/>
        <v>0</v>
      </c>
      <c r="AA30" s="91">
        <f>K30</f>
        <v>0</v>
      </c>
      <c r="AB30" s="91">
        <f t="shared" si="22"/>
        <v>0</v>
      </c>
      <c r="AC30" s="4" t="str">
        <f t="shared" si="22"/>
        <v/>
      </c>
      <c r="AD30" s="92">
        <f t="shared" si="22"/>
        <v>0</v>
      </c>
      <c r="AE30" s="80" t="str">
        <f>S30</f>
        <v>계</v>
      </c>
      <c r="AF30" s="80" t="str">
        <f>Q30&amp;"/"&amp;R30</f>
        <v>3/1</v>
      </c>
      <c r="AH30" s="20" t="str">
        <f t="shared" si="1"/>
        <v>내덕동 시영</v>
      </c>
      <c r="AI30" s="88">
        <f t="shared" si="2"/>
        <v>19</v>
      </c>
      <c r="AJ30" s="80" t="str">
        <f>IF(AI30="","",$AJ$2)</f>
        <v>A-</v>
      </c>
      <c r="AK30" s="80" t="s">
        <v>13</v>
      </c>
      <c r="AL30" s="80" t="s">
        <v>62</v>
      </c>
      <c r="AM30" s="80" t="s">
        <v>63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/>
      </c>
    </row>
    <row r="31" spans="1:48" s="37" customFormat="1" ht="12" x14ac:dyDescent="0.3">
      <c r="A31" s="75" t="s">
        <v>1108</v>
      </c>
      <c r="B31" s="76" t="s">
        <v>1109</v>
      </c>
      <c r="C31" s="86">
        <v>700</v>
      </c>
      <c r="D31" s="87">
        <v>43.1</v>
      </c>
      <c r="E31" s="88">
        <v>13</v>
      </c>
      <c r="F31" s="87">
        <v>33.6</v>
      </c>
      <c r="G31" s="17">
        <v>10</v>
      </c>
      <c r="H31" s="89">
        <v>240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1</v>
      </c>
      <c r="R31" s="80">
        <v>1</v>
      </c>
      <c r="S31" s="80" t="s">
        <v>61</v>
      </c>
      <c r="T31" s="5">
        <v>43</v>
      </c>
      <c r="U31" s="9"/>
      <c r="W31" s="87">
        <f>D31</f>
        <v>43.1</v>
      </c>
      <c r="X31" s="88">
        <f>E31</f>
        <v>13</v>
      </c>
      <c r="Y31" s="93">
        <f>H31</f>
        <v>240</v>
      </c>
      <c r="Z31" s="91">
        <f>I31</f>
        <v>0</v>
      </c>
      <c r="AA31" s="91">
        <f>K31</f>
        <v>0</v>
      </c>
      <c r="AB31" s="91">
        <f t="shared" si="22"/>
        <v>0</v>
      </c>
      <c r="AC31" s="4" t="str">
        <f t="shared" si="22"/>
        <v/>
      </c>
      <c r="AD31" s="92">
        <f t="shared" si="22"/>
        <v>0</v>
      </c>
      <c r="AE31" s="80" t="str">
        <f>S31</f>
        <v>계</v>
      </c>
      <c r="AF31" s="80" t="str">
        <f>Q31&amp;"/"&amp;R31</f>
        <v>1/1</v>
      </c>
      <c r="AH31" s="20" t="str">
        <f t="shared" si="1"/>
        <v>내수읍 은곡무지개</v>
      </c>
      <c r="AI31" s="88">
        <f t="shared" si="2"/>
        <v>13</v>
      </c>
      <c r="AJ31" s="80" t="str">
        <f>IF(AI31="","",$AJ$2)</f>
        <v>A-</v>
      </c>
      <c r="AK31" s="80" t="s">
        <v>13</v>
      </c>
      <c r="AL31" s="80" t="s">
        <v>62</v>
      </c>
      <c r="AM31" s="80" t="s">
        <v>63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X</v>
      </c>
      <c r="AU31" s="80" t="str">
        <f>IF(C31="","",IF(C31&gt;=$AU$1,"O","X"))</f>
        <v>O</v>
      </c>
      <c r="AV31" s="80" t="str">
        <f>IF(AO31="","",IF(AND(AO31="O",AP31="O",AR31="O",AT31="O",AU31="O"),"후보","X"))</f>
        <v/>
      </c>
    </row>
    <row r="32" spans="1:48" s="37" customFormat="1" ht="12" x14ac:dyDescent="0.3">
      <c r="A32" s="75" t="s">
        <v>1108</v>
      </c>
      <c r="B32" s="76" t="s">
        <v>1109</v>
      </c>
      <c r="C32" s="86">
        <v>700</v>
      </c>
      <c r="D32" s="87">
        <v>52.2</v>
      </c>
      <c r="E32" s="88">
        <v>16</v>
      </c>
      <c r="F32" s="87">
        <v>39.799999999999997</v>
      </c>
      <c r="G32" s="17">
        <v>12</v>
      </c>
      <c r="H32" s="89">
        <v>460</v>
      </c>
      <c r="I32" s="90">
        <v>4500</v>
      </c>
      <c r="J32" s="90" t="s">
        <v>69</v>
      </c>
      <c r="K32" s="90"/>
      <c r="L32" s="90"/>
      <c r="M32" s="91">
        <f>I32-K32</f>
        <v>4500</v>
      </c>
      <c r="N32" s="4">
        <f>IF(ISERROR(K32/I32),"",K32/I32)</f>
        <v>0</v>
      </c>
      <c r="O32" s="92">
        <f>I32/E32</f>
        <v>281.25</v>
      </c>
      <c r="P32" s="92">
        <f>K32/E32</f>
        <v>0</v>
      </c>
      <c r="Q32" s="80">
        <v>2</v>
      </c>
      <c r="R32" s="80">
        <v>1</v>
      </c>
      <c r="S32" s="80" t="s">
        <v>61</v>
      </c>
      <c r="T32" s="5">
        <v>52</v>
      </c>
      <c r="U32" s="9"/>
      <c r="W32" s="87">
        <f>D32</f>
        <v>52.2</v>
      </c>
      <c r="X32" s="88">
        <f>E32</f>
        <v>16</v>
      </c>
      <c r="Y32" s="93">
        <f>H32</f>
        <v>460</v>
      </c>
      <c r="Z32" s="91">
        <f>I32</f>
        <v>4500</v>
      </c>
      <c r="AA32" s="91">
        <f>K32</f>
        <v>0</v>
      </c>
      <c r="AB32" s="91">
        <f t="shared" si="22"/>
        <v>4500</v>
      </c>
      <c r="AC32" s="4">
        <f t="shared" si="22"/>
        <v>0</v>
      </c>
      <c r="AD32" s="92">
        <f t="shared" si="22"/>
        <v>281.25</v>
      </c>
      <c r="AE32" s="80" t="str">
        <f>S32</f>
        <v>계</v>
      </c>
      <c r="AF32" s="80" t="str">
        <f>Q32&amp;"/"&amp;R32</f>
        <v>2/1</v>
      </c>
      <c r="AH32" s="20" t="str">
        <f t="shared" si="1"/>
        <v>내수읍 은곡무지개</v>
      </c>
      <c r="AI32" s="88">
        <f t="shared" si="2"/>
        <v>16</v>
      </c>
      <c r="AJ32" s="80" t="str">
        <f>IF(AI32="","",$AJ$2)</f>
        <v>A-</v>
      </c>
      <c r="AK32" s="80" t="s">
        <v>13</v>
      </c>
      <c r="AL32" s="80" t="s">
        <v>62</v>
      </c>
      <c r="AM32" s="80" t="s">
        <v>63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s="37" customFormat="1" ht="12" x14ac:dyDescent="0.3">
      <c r="A33" s="75" t="s">
        <v>1110</v>
      </c>
      <c r="B33" s="76" t="s">
        <v>976</v>
      </c>
      <c r="C33" s="86">
        <v>298</v>
      </c>
      <c r="D33" s="87">
        <v>78.599999999999994</v>
      </c>
      <c r="E33" s="88">
        <v>24</v>
      </c>
      <c r="F33" s="87">
        <v>59.7</v>
      </c>
      <c r="G33" s="17">
        <v>18</v>
      </c>
      <c r="H33" s="89">
        <v>298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1</v>
      </c>
      <c r="S33" s="80" t="s">
        <v>85</v>
      </c>
      <c r="T33" s="5">
        <v>78</v>
      </c>
      <c r="U33" s="9"/>
      <c r="W33" s="87">
        <f>D33</f>
        <v>78.599999999999994</v>
      </c>
      <c r="X33" s="88">
        <f>E33</f>
        <v>24</v>
      </c>
      <c r="Y33" s="93">
        <f>H33</f>
        <v>298</v>
      </c>
      <c r="Z33" s="91">
        <f>I33</f>
        <v>0</v>
      </c>
      <c r="AA33" s="91">
        <f>K33</f>
        <v>0</v>
      </c>
      <c r="AB33" s="91">
        <f>M33</f>
        <v>0</v>
      </c>
      <c r="AC33" s="4" t="str">
        <f>N33</f>
        <v/>
      </c>
      <c r="AD33" s="92">
        <f>O33</f>
        <v>0</v>
      </c>
      <c r="AE33" s="80" t="str">
        <f>S33</f>
        <v>복</v>
      </c>
      <c r="AF33" s="80" t="str">
        <f>Q33&amp;"/"&amp;R33</f>
        <v>3/1</v>
      </c>
      <c r="AH33" s="20" t="str">
        <f t="shared" si="1"/>
        <v>내수읍 우창진주2차(51-3)</v>
      </c>
      <c r="AI33" s="88">
        <f t="shared" si="2"/>
        <v>24</v>
      </c>
      <c r="AJ33" s="80" t="str">
        <f>IF(AI33="","",$AJ$2)</f>
        <v>A-</v>
      </c>
      <c r="AK33" s="80" t="s">
        <v>13</v>
      </c>
      <c r="AL33" s="80" t="s">
        <v>62</v>
      </c>
      <c r="AM33" s="80" t="s">
        <v>63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  <row r="34" spans="1:48" s="37" customFormat="1" ht="12" x14ac:dyDescent="0.3">
      <c r="A34" s="75" t="s">
        <v>1111</v>
      </c>
      <c r="B34" s="76" t="s">
        <v>1112</v>
      </c>
      <c r="C34" s="86">
        <v>494</v>
      </c>
      <c r="D34" s="87">
        <v>71.599999999999994</v>
      </c>
      <c r="E34" s="88">
        <v>22</v>
      </c>
      <c r="F34" s="87">
        <v>59.7</v>
      </c>
      <c r="G34" s="17">
        <v>18</v>
      </c>
      <c r="H34" s="89">
        <v>494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80">
        <v>3</v>
      </c>
      <c r="R34" s="80">
        <v>1</v>
      </c>
      <c r="S34" s="80" t="s">
        <v>61</v>
      </c>
      <c r="T34" s="5">
        <v>71</v>
      </c>
      <c r="U34" s="9"/>
      <c r="W34" s="87">
        <f>D34</f>
        <v>71.599999999999994</v>
      </c>
      <c r="X34" s="88">
        <f>E34</f>
        <v>22</v>
      </c>
      <c r="Y34" s="93">
        <f>H34</f>
        <v>494</v>
      </c>
      <c r="Z34" s="91">
        <f>I34</f>
        <v>0</v>
      </c>
      <c r="AA34" s="91">
        <f>K34</f>
        <v>0</v>
      </c>
      <c r="AB34" s="91">
        <f>M34</f>
        <v>0</v>
      </c>
      <c r="AC34" s="4" t="str">
        <f>N34</f>
        <v/>
      </c>
      <c r="AD34" s="92">
        <f>O34</f>
        <v>0</v>
      </c>
      <c r="AE34" s="80" t="str">
        <f>S34</f>
        <v>계</v>
      </c>
      <c r="AF34" s="80" t="str">
        <f>Q34&amp;"/"&amp;R34</f>
        <v>3/1</v>
      </c>
      <c r="AH34" s="20" t="str">
        <f t="shared" si="1"/>
        <v>내수읍 천일은곡</v>
      </c>
      <c r="AI34" s="88">
        <f t="shared" si="2"/>
        <v>22</v>
      </c>
      <c r="AJ34" s="80" t="str">
        <f>IF(AI34="","",$AJ$2)</f>
        <v>A-</v>
      </c>
      <c r="AK34" s="80" t="s">
        <v>13</v>
      </c>
      <c r="AL34" s="80" t="s">
        <v>62</v>
      </c>
      <c r="AM34" s="80" t="s">
        <v>63</v>
      </c>
      <c r="AN34" s="80" t="str">
        <f>IF(AI34="","",$AN$2)</f>
        <v>C</v>
      </c>
      <c r="AO34" s="80" t="str">
        <f>IF(N34="","",IF(N34&gt;=$AO$1/100,"O","X"))</f>
        <v/>
      </c>
      <c r="AP34" s="80" t="str">
        <f>IF(I34="","",IF(I34&lt;=$AP$1,"O","X"))</f>
        <v/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/>
      </c>
    </row>
    <row r="35" spans="1:48" s="37" customFormat="1" ht="12" x14ac:dyDescent="0.3">
      <c r="A35" s="75" t="s">
        <v>1113</v>
      </c>
      <c r="B35" s="76" t="s">
        <v>1114</v>
      </c>
      <c r="C35" s="86">
        <v>883</v>
      </c>
      <c r="D35" s="87">
        <v>36.1</v>
      </c>
      <c r="E35" s="88">
        <v>11</v>
      </c>
      <c r="F35" s="87">
        <v>26.6</v>
      </c>
      <c r="G35" s="17">
        <v>8</v>
      </c>
      <c r="H35" s="89">
        <v>132</v>
      </c>
      <c r="I35" s="90"/>
      <c r="J35" s="90"/>
      <c r="K35" s="90"/>
      <c r="L35" s="90"/>
      <c r="M35" s="91">
        <f>I35-K35</f>
        <v>0</v>
      </c>
      <c r="N35" s="4" t="str">
        <f>IF(ISERROR(K35/I35),"",K35/I35)</f>
        <v/>
      </c>
      <c r="O35" s="92">
        <f>I35/E35</f>
        <v>0</v>
      </c>
      <c r="P35" s="92">
        <f>K35/E35</f>
        <v>0</v>
      </c>
      <c r="Q35" s="80">
        <v>1</v>
      </c>
      <c r="R35" s="80">
        <v>1</v>
      </c>
      <c r="S35" s="80" t="s">
        <v>85</v>
      </c>
      <c r="T35" s="5">
        <v>36</v>
      </c>
      <c r="U35" s="9"/>
      <c r="W35" s="87">
        <f t="shared" ref="W35:X37" si="25">D35</f>
        <v>36.1</v>
      </c>
      <c r="X35" s="88">
        <f t="shared" si="25"/>
        <v>11</v>
      </c>
      <c r="Y35" s="93">
        <f t="shared" ref="Y35:Z37" si="26">H35</f>
        <v>132</v>
      </c>
      <c r="Z35" s="91">
        <f t="shared" si="26"/>
        <v>0</v>
      </c>
      <c r="AA35" s="91">
        <f>K35</f>
        <v>0</v>
      </c>
      <c r="AB35" s="91">
        <f t="shared" ref="AB35:AD50" si="27">M35</f>
        <v>0</v>
      </c>
      <c r="AC35" s="4" t="str">
        <f t="shared" si="27"/>
        <v/>
      </c>
      <c r="AD35" s="92">
        <f t="shared" si="27"/>
        <v>0</v>
      </c>
      <c r="AE35" s="80" t="str">
        <f>S35</f>
        <v>복</v>
      </c>
      <c r="AF35" s="80" t="str">
        <f>Q35&amp;"/"&amp;R35</f>
        <v>1/1</v>
      </c>
      <c r="AH35" s="20" t="str">
        <f t="shared" si="1"/>
        <v>내수읍 삼일</v>
      </c>
      <c r="AI35" s="88">
        <f t="shared" si="2"/>
        <v>11</v>
      </c>
      <c r="AJ35" s="80" t="str">
        <f>IF(AI35="","",$AJ$2)</f>
        <v>A-</v>
      </c>
      <c r="AK35" s="80" t="s">
        <v>13</v>
      </c>
      <c r="AL35" s="80" t="s">
        <v>62</v>
      </c>
      <c r="AM35" s="80" t="s">
        <v>63</v>
      </c>
      <c r="AN35" s="80" t="str">
        <f>IF(AI35="","",$AN$2)</f>
        <v>C</v>
      </c>
      <c r="AO35" s="80" t="str">
        <f>IF(N35="","",IF(N35&gt;=$AO$1/100,"O","X"))</f>
        <v/>
      </c>
      <c r="AP35" s="80" t="str">
        <f>IF(I35="","",IF(I35&lt;=$AP$1,"O","X"))</f>
        <v/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X</v>
      </c>
      <c r="AU35" s="80" t="str">
        <f>IF(C35="","",IF(C35&gt;=$AU$1,"O","X"))</f>
        <v>O</v>
      </c>
      <c r="AV35" s="80" t="str">
        <f>IF(AO35="","",IF(AND(AO35="O",AP35="O",AR35="O",AT35="O",AU35="O"),"후보","X"))</f>
        <v/>
      </c>
    </row>
    <row r="36" spans="1:48" s="37" customFormat="1" ht="12" x14ac:dyDescent="0.3">
      <c r="A36" s="75" t="s">
        <v>1115</v>
      </c>
      <c r="B36" s="76" t="s">
        <v>1116</v>
      </c>
      <c r="C36" s="86">
        <v>883</v>
      </c>
      <c r="D36" s="87">
        <v>78</v>
      </c>
      <c r="E36" s="88">
        <v>24</v>
      </c>
      <c r="F36" s="87">
        <v>59.6</v>
      </c>
      <c r="G36" s="17">
        <v>18</v>
      </c>
      <c r="H36" s="89">
        <v>1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3</v>
      </c>
      <c r="R36" s="80">
        <v>1</v>
      </c>
      <c r="S36" s="80" t="s">
        <v>85</v>
      </c>
      <c r="T36" s="5" t="s">
        <v>313</v>
      </c>
      <c r="U36" s="9"/>
      <c r="W36" s="87">
        <f t="shared" si="25"/>
        <v>78</v>
      </c>
      <c r="X36" s="88">
        <f t="shared" si="25"/>
        <v>24</v>
      </c>
      <c r="Y36" s="93">
        <f t="shared" si="26"/>
        <v>1</v>
      </c>
      <c r="Z36" s="91">
        <f t="shared" si="26"/>
        <v>0</v>
      </c>
      <c r="AA36" s="91">
        <f>K36</f>
        <v>0</v>
      </c>
      <c r="AB36" s="91">
        <f t="shared" si="27"/>
        <v>0</v>
      </c>
      <c r="AC36" s="4" t="str">
        <f t="shared" si="27"/>
        <v/>
      </c>
      <c r="AD36" s="92">
        <f t="shared" si="27"/>
        <v>0</v>
      </c>
      <c r="AE36" s="80" t="str">
        <f>S36</f>
        <v>복</v>
      </c>
      <c r="AF36" s="80" t="str">
        <f>Q36&amp;"/"&amp;R36</f>
        <v>3/1</v>
      </c>
      <c r="AH36" s="20" t="str">
        <f t="shared" si="1"/>
        <v>내수읍 삼일</v>
      </c>
      <c r="AI36" s="88">
        <f t="shared" si="2"/>
        <v>24</v>
      </c>
      <c r="AJ36" s="80" t="str">
        <f>IF(AI36="","",$AJ$2)</f>
        <v>A-</v>
      </c>
      <c r="AK36" s="80" t="s">
        <v>13</v>
      </c>
      <c r="AL36" s="80" t="s">
        <v>62</v>
      </c>
      <c r="AM36" s="80" t="s">
        <v>63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s="37" customFormat="1" ht="12" x14ac:dyDescent="0.3">
      <c r="A37" s="75" t="s">
        <v>1117</v>
      </c>
      <c r="B37" s="76" t="s">
        <v>980</v>
      </c>
      <c r="C37" s="86">
        <v>883</v>
      </c>
      <c r="D37" s="87">
        <v>78.099999999999994</v>
      </c>
      <c r="E37" s="88">
        <v>24</v>
      </c>
      <c r="F37" s="87">
        <v>59.7</v>
      </c>
      <c r="G37" s="17">
        <v>18</v>
      </c>
      <c r="H37" s="89">
        <v>750</v>
      </c>
      <c r="I37" s="90">
        <v>7500</v>
      </c>
      <c r="J37" s="90" t="s">
        <v>69</v>
      </c>
      <c r="K37" s="90">
        <v>8000</v>
      </c>
      <c r="L37" s="90" t="s">
        <v>68</v>
      </c>
      <c r="M37" s="91">
        <f>I37-K37</f>
        <v>-500</v>
      </c>
      <c r="N37" s="4">
        <f>IF(ISERROR(K37/I37),"",K37/I37)</f>
        <v>1.0666666666666667</v>
      </c>
      <c r="O37" s="92">
        <f>I37/E37</f>
        <v>312.5</v>
      </c>
      <c r="P37" s="92">
        <f>K37/E37</f>
        <v>333.33333333333331</v>
      </c>
      <c r="Q37" s="80">
        <v>3</v>
      </c>
      <c r="R37" s="80">
        <v>1</v>
      </c>
      <c r="S37" s="80" t="s">
        <v>85</v>
      </c>
      <c r="T37" s="5" t="s">
        <v>112</v>
      </c>
      <c r="U37" s="9"/>
      <c r="W37" s="87">
        <f t="shared" si="25"/>
        <v>78.099999999999994</v>
      </c>
      <c r="X37" s="88">
        <f t="shared" si="25"/>
        <v>24</v>
      </c>
      <c r="Y37" s="93">
        <f t="shared" si="26"/>
        <v>750</v>
      </c>
      <c r="Z37" s="91">
        <f t="shared" si="26"/>
        <v>7500</v>
      </c>
      <c r="AA37" s="91">
        <f>K37</f>
        <v>8000</v>
      </c>
      <c r="AB37" s="91">
        <f t="shared" si="27"/>
        <v>-500</v>
      </c>
      <c r="AC37" s="4">
        <f t="shared" si="27"/>
        <v>1.0666666666666667</v>
      </c>
      <c r="AD37" s="92">
        <f t="shared" si="27"/>
        <v>312.5</v>
      </c>
      <c r="AE37" s="80" t="str">
        <f>S37</f>
        <v>복</v>
      </c>
      <c r="AF37" s="80" t="str">
        <f>Q37&amp;"/"&amp;R37</f>
        <v>3/1</v>
      </c>
      <c r="AH37" s="20" t="str">
        <f t="shared" si="1"/>
        <v>내수읍 삼일</v>
      </c>
      <c r="AI37" s="88">
        <f t="shared" si="2"/>
        <v>24</v>
      </c>
      <c r="AJ37" s="80" t="str">
        <f>IF(AI37="","",$AJ$2)</f>
        <v>A-</v>
      </c>
      <c r="AK37" s="80" t="s">
        <v>13</v>
      </c>
      <c r="AL37" s="80" t="s">
        <v>62</v>
      </c>
      <c r="AM37" s="80" t="s">
        <v>63</v>
      </c>
      <c r="AN37" s="80" t="str">
        <f>IF(AI37="","",$AN$2)</f>
        <v>C</v>
      </c>
      <c r="AO37" s="80" t="str">
        <f>IF(N37="","",IF(N37&gt;=$AO$1/100,"O","X"))</f>
        <v>O</v>
      </c>
      <c r="AP37" s="80" t="str">
        <f>IF(I37="","",IF(I37&lt;=$AP$1,"O","X"))</f>
        <v>O</v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>후보</v>
      </c>
    </row>
    <row r="38" spans="1:48" s="37" customFormat="1" ht="12" x14ac:dyDescent="0.3">
      <c r="A38" s="75" t="s">
        <v>1118</v>
      </c>
      <c r="B38" s="76" t="s">
        <v>1119</v>
      </c>
      <c r="C38" s="86">
        <v>264</v>
      </c>
      <c r="D38" s="87">
        <v>63.1</v>
      </c>
      <c r="E38" s="88">
        <v>19</v>
      </c>
      <c r="F38" s="87">
        <v>49.8</v>
      </c>
      <c r="G38" s="17">
        <v>15</v>
      </c>
      <c r="H38" s="89">
        <v>132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2</v>
      </c>
      <c r="R38" s="80">
        <v>1</v>
      </c>
      <c r="S38" s="80" t="s">
        <v>85</v>
      </c>
      <c r="T38" s="5">
        <v>63</v>
      </c>
      <c r="U38" s="9"/>
      <c r="W38" s="87">
        <f>D38</f>
        <v>63.1</v>
      </c>
      <c r="X38" s="88">
        <f>E38</f>
        <v>19</v>
      </c>
      <c r="Y38" s="93">
        <f>H38</f>
        <v>132</v>
      </c>
      <c r="Z38" s="91">
        <f>I38</f>
        <v>0</v>
      </c>
      <c r="AA38" s="91">
        <f>K38</f>
        <v>0</v>
      </c>
      <c r="AB38" s="91">
        <f t="shared" si="27"/>
        <v>0</v>
      </c>
      <c r="AC38" s="4" t="str">
        <f t="shared" si="27"/>
        <v/>
      </c>
      <c r="AD38" s="92">
        <f t="shared" si="27"/>
        <v>0</v>
      </c>
      <c r="AE38" s="80" t="str">
        <f>S38</f>
        <v>복</v>
      </c>
      <c r="AF38" s="80" t="str">
        <f>Q38&amp;"/"&amp;R38</f>
        <v>2/1</v>
      </c>
      <c r="AH38" s="20" t="str">
        <f t="shared" si="1"/>
        <v>내수읍 우창진주1차(56)</v>
      </c>
      <c r="AI38" s="88">
        <f t="shared" si="2"/>
        <v>19</v>
      </c>
      <c r="AJ38" s="80" t="str">
        <f>IF(AI38="","",$AJ$2)</f>
        <v>A-</v>
      </c>
      <c r="AK38" s="80" t="s">
        <v>13</v>
      </c>
      <c r="AL38" s="80" t="s">
        <v>62</v>
      </c>
      <c r="AM38" s="80" t="s">
        <v>63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X</v>
      </c>
      <c r="AV38" s="80" t="str">
        <f>IF(AO38="","",IF(AND(AO38="O",AP38="O",AR38="O",AT38="O",AU38="O"),"후보","X"))</f>
        <v/>
      </c>
    </row>
    <row r="39" spans="1:48" s="37" customFormat="1" ht="12" x14ac:dyDescent="0.3">
      <c r="A39" s="75" t="s">
        <v>1118</v>
      </c>
      <c r="B39" s="76" t="s">
        <v>1119</v>
      </c>
      <c r="C39" s="86">
        <v>264</v>
      </c>
      <c r="D39" s="87">
        <v>75.2</v>
      </c>
      <c r="E39" s="88">
        <v>23</v>
      </c>
      <c r="F39" s="87">
        <v>60</v>
      </c>
      <c r="G39" s="17">
        <v>18</v>
      </c>
      <c r="H39" s="89">
        <v>132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80">
        <v>3</v>
      </c>
      <c r="R39" s="80">
        <v>1</v>
      </c>
      <c r="S39" s="80" t="s">
        <v>85</v>
      </c>
      <c r="T39" s="5">
        <v>75</v>
      </c>
      <c r="U39" s="9"/>
      <c r="W39" s="87">
        <f>D39</f>
        <v>75.2</v>
      </c>
      <c r="X39" s="88">
        <f>E39</f>
        <v>23</v>
      </c>
      <c r="Y39" s="93">
        <f>H39</f>
        <v>132</v>
      </c>
      <c r="Z39" s="91">
        <f>I39</f>
        <v>0</v>
      </c>
      <c r="AA39" s="91">
        <f>K39</f>
        <v>0</v>
      </c>
      <c r="AB39" s="91">
        <f t="shared" si="27"/>
        <v>0</v>
      </c>
      <c r="AC39" s="4" t="str">
        <f t="shared" si="27"/>
        <v/>
      </c>
      <c r="AD39" s="92">
        <f t="shared" si="27"/>
        <v>0</v>
      </c>
      <c r="AE39" s="80" t="str">
        <f>S39</f>
        <v>복</v>
      </c>
      <c r="AF39" s="80" t="str">
        <f>Q39&amp;"/"&amp;R39</f>
        <v>3/1</v>
      </c>
      <c r="AH39" s="20" t="str">
        <f t="shared" si="1"/>
        <v>내수읍 우창진주1차(56)</v>
      </c>
      <c r="AI39" s="88">
        <f t="shared" si="2"/>
        <v>23</v>
      </c>
      <c r="AJ39" s="80" t="str">
        <f>IF(AI39="","",$AJ$2)</f>
        <v>A-</v>
      </c>
      <c r="AK39" s="80" t="s">
        <v>13</v>
      </c>
      <c r="AL39" s="80" t="s">
        <v>62</v>
      </c>
      <c r="AM39" s="80" t="s">
        <v>63</v>
      </c>
      <c r="AN39" s="80" t="str">
        <f>IF(AI39="","",$AN$2)</f>
        <v>C</v>
      </c>
      <c r="AO39" s="80" t="str">
        <f>IF(N39="","",IF(N39&gt;=$AO$1/100,"O","X"))</f>
        <v/>
      </c>
      <c r="AP39" s="80" t="str">
        <f>IF(I39="","",IF(I39&lt;=$AP$1,"O","X"))</f>
        <v/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X</v>
      </c>
      <c r="AV39" s="80" t="str">
        <f>IF(AO39="","",IF(AND(AO39="O",AP39="O",AR39="O",AT39="O",AU39="O"),"후보","X"))</f>
        <v/>
      </c>
    </row>
    <row r="40" spans="1:48" s="37" customFormat="1" ht="12" x14ac:dyDescent="0.3">
      <c r="A40" s="75" t="s">
        <v>1120</v>
      </c>
      <c r="B40" s="76" t="s">
        <v>984</v>
      </c>
      <c r="C40" s="86">
        <v>910</v>
      </c>
      <c r="D40" s="87">
        <v>50.2</v>
      </c>
      <c r="E40" s="88">
        <v>15</v>
      </c>
      <c r="F40" s="87">
        <v>38.6</v>
      </c>
      <c r="G40" s="17">
        <v>12</v>
      </c>
      <c r="H40" s="89">
        <v>440</v>
      </c>
      <c r="I40" s="90">
        <v>3000</v>
      </c>
      <c r="J40" s="90" t="s">
        <v>66</v>
      </c>
      <c r="K40" s="90">
        <v>1500</v>
      </c>
      <c r="L40" s="90" t="s">
        <v>66</v>
      </c>
      <c r="M40" s="91">
        <f>I40-K40</f>
        <v>1500</v>
      </c>
      <c r="N40" s="4">
        <f>IF(ISERROR(K40/I40),"",K40/I40)</f>
        <v>0.5</v>
      </c>
      <c r="O40" s="92">
        <f>I40/E40</f>
        <v>200</v>
      </c>
      <c r="P40" s="92">
        <f>K40/E40</f>
        <v>100</v>
      </c>
      <c r="Q40" s="80">
        <v>1</v>
      </c>
      <c r="R40" s="80">
        <v>1</v>
      </c>
      <c r="S40" s="80" t="s">
        <v>85</v>
      </c>
      <c r="T40" s="5">
        <v>50</v>
      </c>
      <c r="U40" s="9"/>
      <c r="W40" s="87">
        <f t="shared" ref="W40:X45" si="28">D40</f>
        <v>50.2</v>
      </c>
      <c r="X40" s="88">
        <f t="shared" si="28"/>
        <v>15</v>
      </c>
      <c r="Y40" s="93">
        <f t="shared" ref="Y40:Z45" si="29">H40</f>
        <v>440</v>
      </c>
      <c r="Z40" s="91">
        <f t="shared" si="29"/>
        <v>3000</v>
      </c>
      <c r="AA40" s="91">
        <f>K40</f>
        <v>1500</v>
      </c>
      <c r="AB40" s="91">
        <f t="shared" si="27"/>
        <v>1500</v>
      </c>
      <c r="AC40" s="4">
        <f t="shared" si="27"/>
        <v>0.5</v>
      </c>
      <c r="AD40" s="92">
        <f t="shared" si="27"/>
        <v>200</v>
      </c>
      <c r="AE40" s="80" t="str">
        <f>S40</f>
        <v>복</v>
      </c>
      <c r="AF40" s="80" t="str">
        <f>Q40&amp;"/"&amp;R40</f>
        <v>1/1</v>
      </c>
      <c r="AH40" s="20" t="str">
        <f t="shared" si="1"/>
        <v>내수읍 덕일한마음</v>
      </c>
      <c r="AI40" s="88">
        <f t="shared" si="2"/>
        <v>15</v>
      </c>
      <c r="AJ40" s="80" t="str">
        <f>IF(AI40="","",$AJ$2)</f>
        <v>A-</v>
      </c>
      <c r="AK40" s="80" t="s">
        <v>13</v>
      </c>
      <c r="AL40" s="80" t="s">
        <v>62</v>
      </c>
      <c r="AM40" s="80" t="s">
        <v>63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O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s="37" customFormat="1" ht="12" x14ac:dyDescent="0.3">
      <c r="A41" s="75" t="s">
        <v>1121</v>
      </c>
      <c r="B41" s="76" t="s">
        <v>1122</v>
      </c>
      <c r="C41" s="86">
        <v>910</v>
      </c>
      <c r="D41" s="87">
        <v>52.2</v>
      </c>
      <c r="E41" s="88">
        <v>16</v>
      </c>
      <c r="F41" s="87">
        <v>38.6</v>
      </c>
      <c r="G41" s="17">
        <v>12</v>
      </c>
      <c r="H41" s="89">
        <v>110</v>
      </c>
      <c r="I41" s="90"/>
      <c r="J41" s="90"/>
      <c r="K41" s="90"/>
      <c r="L41" s="90"/>
      <c r="M41" s="91">
        <f>I41-K41</f>
        <v>0</v>
      </c>
      <c r="N41" s="4" t="str">
        <f>IF(ISERROR(K41/I41),"",K41/I41)</f>
        <v/>
      </c>
      <c r="O41" s="92">
        <f>I41/E41</f>
        <v>0</v>
      </c>
      <c r="P41" s="92">
        <f>K41/E41</f>
        <v>0</v>
      </c>
      <c r="Q41" s="80">
        <v>1</v>
      </c>
      <c r="R41" s="80">
        <v>1</v>
      </c>
      <c r="S41" s="80" t="s">
        <v>85</v>
      </c>
      <c r="T41" s="5">
        <v>52</v>
      </c>
      <c r="U41" s="9"/>
      <c r="W41" s="87">
        <f t="shared" si="28"/>
        <v>52.2</v>
      </c>
      <c r="X41" s="88">
        <f t="shared" si="28"/>
        <v>16</v>
      </c>
      <c r="Y41" s="93">
        <f t="shared" si="29"/>
        <v>110</v>
      </c>
      <c r="Z41" s="91">
        <f t="shared" si="29"/>
        <v>0</v>
      </c>
      <c r="AA41" s="91">
        <f>K41</f>
        <v>0</v>
      </c>
      <c r="AB41" s="91">
        <f t="shared" si="27"/>
        <v>0</v>
      </c>
      <c r="AC41" s="4" t="str">
        <f t="shared" si="27"/>
        <v/>
      </c>
      <c r="AD41" s="92">
        <f t="shared" si="27"/>
        <v>0</v>
      </c>
      <c r="AE41" s="80" t="str">
        <f>S41</f>
        <v>복</v>
      </c>
      <c r="AF41" s="80" t="str">
        <f>Q41&amp;"/"&amp;R41</f>
        <v>1/1</v>
      </c>
      <c r="AH41" s="20" t="str">
        <f t="shared" si="1"/>
        <v>내수읍 덕일한마음</v>
      </c>
      <c r="AI41" s="88">
        <f t="shared" si="2"/>
        <v>16</v>
      </c>
      <c r="AJ41" s="80" t="str">
        <f>IF(AI41="","",$AJ$2)</f>
        <v>A-</v>
      </c>
      <c r="AK41" s="80" t="s">
        <v>13</v>
      </c>
      <c r="AL41" s="80" t="s">
        <v>62</v>
      </c>
      <c r="AM41" s="80" t="s">
        <v>63</v>
      </c>
      <c r="AN41" s="80" t="str">
        <f>IF(AI41="","",$AN$2)</f>
        <v>C</v>
      </c>
      <c r="AO41" s="80" t="str">
        <f>IF(N41="","",IF(N41&gt;=$AO$1/100,"O","X"))</f>
        <v/>
      </c>
      <c r="AP41" s="80" t="str">
        <f>IF(I41="","",IF(I41&lt;=$AP$1,"O","X"))</f>
        <v/>
      </c>
      <c r="AQ41" s="80" t="str">
        <f>IF(O41="","",IF(O41&lt;=$AQ$1,"O","X"))</f>
        <v>O</v>
      </c>
      <c r="AR41" s="80" t="str">
        <f>IF(M41="","",IF(M41&lt;=$AR$1,"O","X"))</f>
        <v>O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/>
      </c>
    </row>
    <row r="42" spans="1:48" s="37" customFormat="1" ht="12" x14ac:dyDescent="0.3">
      <c r="A42" s="75" t="s">
        <v>983</v>
      </c>
      <c r="B42" s="76" t="s">
        <v>984</v>
      </c>
      <c r="C42" s="86">
        <v>910</v>
      </c>
      <c r="D42" s="87">
        <v>61</v>
      </c>
      <c r="E42" s="88">
        <v>18</v>
      </c>
      <c r="F42" s="87">
        <v>45.3</v>
      </c>
      <c r="G42" s="17">
        <v>14</v>
      </c>
      <c r="H42" s="89">
        <v>360</v>
      </c>
      <c r="I42" s="90">
        <v>4500</v>
      </c>
      <c r="J42" s="90" t="s">
        <v>65</v>
      </c>
      <c r="K42" s="90"/>
      <c r="L42" s="90"/>
      <c r="M42" s="91">
        <f>I42-K42</f>
        <v>4500</v>
      </c>
      <c r="N42" s="4">
        <f>IF(ISERROR(K42/I42),"",K42/I42)</f>
        <v>0</v>
      </c>
      <c r="O42" s="92">
        <f>I42/E42</f>
        <v>250</v>
      </c>
      <c r="P42" s="92">
        <f>K42/E42</f>
        <v>0</v>
      </c>
      <c r="Q42" s="80">
        <v>2</v>
      </c>
      <c r="R42" s="80">
        <v>1</v>
      </c>
      <c r="S42" s="80" t="s">
        <v>85</v>
      </c>
      <c r="T42" s="5">
        <v>61</v>
      </c>
      <c r="U42" s="9"/>
      <c r="W42" s="87">
        <f t="shared" si="28"/>
        <v>61</v>
      </c>
      <c r="X42" s="88">
        <f t="shared" si="28"/>
        <v>18</v>
      </c>
      <c r="Y42" s="93">
        <f t="shared" si="29"/>
        <v>360</v>
      </c>
      <c r="Z42" s="91">
        <f t="shared" si="29"/>
        <v>4500</v>
      </c>
      <c r="AA42" s="91">
        <f>K42</f>
        <v>0</v>
      </c>
      <c r="AB42" s="91">
        <f t="shared" si="27"/>
        <v>4500</v>
      </c>
      <c r="AC42" s="4">
        <f t="shared" si="27"/>
        <v>0</v>
      </c>
      <c r="AD42" s="92">
        <f t="shared" si="27"/>
        <v>250</v>
      </c>
      <c r="AE42" s="80" t="str">
        <f>S42</f>
        <v>복</v>
      </c>
      <c r="AF42" s="80" t="str">
        <f>Q42&amp;"/"&amp;R42</f>
        <v>2/1</v>
      </c>
      <c r="AH42" s="20" t="str">
        <f t="shared" si="1"/>
        <v>내수읍 덕일한마음</v>
      </c>
      <c r="AI42" s="88">
        <f t="shared" si="2"/>
        <v>18</v>
      </c>
      <c r="AJ42" s="80" t="str">
        <f>IF(AI42="","",$AJ$2)</f>
        <v>A-</v>
      </c>
      <c r="AK42" s="80" t="s">
        <v>13</v>
      </c>
      <c r="AL42" s="80" t="s">
        <v>62</v>
      </c>
      <c r="AM42" s="80" t="s">
        <v>63</v>
      </c>
      <c r="AN42" s="80" t="str">
        <f>IF(AI42="","",$AN$2)</f>
        <v>C</v>
      </c>
      <c r="AO42" s="80" t="str">
        <f>IF(N42="","",IF(N42&gt;=$AO$1/100,"O","X"))</f>
        <v>X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s="37" customFormat="1" ht="12" x14ac:dyDescent="0.3">
      <c r="A43" s="75" t="s">
        <v>1123</v>
      </c>
      <c r="B43" s="76" t="s">
        <v>989</v>
      </c>
      <c r="C43" s="86">
        <v>425</v>
      </c>
      <c r="D43" s="87">
        <v>37.6</v>
      </c>
      <c r="E43" s="88">
        <v>11</v>
      </c>
      <c r="F43" s="87">
        <v>28.2</v>
      </c>
      <c r="G43" s="17">
        <v>9</v>
      </c>
      <c r="H43" s="89">
        <v>6</v>
      </c>
      <c r="I43" s="90"/>
      <c r="J43" s="90"/>
      <c r="K43" s="90"/>
      <c r="L43" s="90"/>
      <c r="M43" s="91">
        <f>I43-K43</f>
        <v>0</v>
      </c>
      <c r="N43" s="4" t="str">
        <f>IF(ISERROR(K43/I43),"",K43/I43)</f>
        <v/>
      </c>
      <c r="O43" s="92">
        <f>I43/E43</f>
        <v>0</v>
      </c>
      <c r="P43" s="92">
        <f>K43/E43</f>
        <v>0</v>
      </c>
      <c r="Q43" s="80">
        <v>1</v>
      </c>
      <c r="R43" s="80">
        <v>1</v>
      </c>
      <c r="S43" s="80" t="s">
        <v>85</v>
      </c>
      <c r="T43" s="5">
        <v>37</v>
      </c>
      <c r="U43" s="9"/>
      <c r="W43" s="87">
        <f t="shared" si="28"/>
        <v>37.6</v>
      </c>
      <c r="X43" s="88">
        <f t="shared" si="28"/>
        <v>11</v>
      </c>
      <c r="Y43" s="93">
        <f t="shared" si="29"/>
        <v>6</v>
      </c>
      <c r="Z43" s="91">
        <f t="shared" si="29"/>
        <v>0</v>
      </c>
      <c r="AA43" s="91">
        <f>K43</f>
        <v>0</v>
      </c>
      <c r="AB43" s="91">
        <f t="shared" si="27"/>
        <v>0</v>
      </c>
      <c r="AC43" s="4" t="str">
        <f t="shared" si="27"/>
        <v/>
      </c>
      <c r="AD43" s="92">
        <f t="shared" si="27"/>
        <v>0</v>
      </c>
      <c r="AE43" s="80" t="str">
        <f>S43</f>
        <v>복</v>
      </c>
      <c r="AF43" s="80" t="str">
        <f>Q43&amp;"/"&amp;R43</f>
        <v>1/1</v>
      </c>
      <c r="AH43" s="20" t="str">
        <f t="shared" si="1"/>
        <v>내수읍 진흥1차</v>
      </c>
      <c r="AI43" s="88">
        <f t="shared" si="2"/>
        <v>11</v>
      </c>
      <c r="AJ43" s="80" t="str">
        <f>IF(AI43="","",$AJ$2)</f>
        <v>A-</v>
      </c>
      <c r="AK43" s="80" t="s">
        <v>13</v>
      </c>
      <c r="AL43" s="80" t="s">
        <v>62</v>
      </c>
      <c r="AM43" s="80" t="s">
        <v>63</v>
      </c>
      <c r="AN43" s="80" t="str">
        <f>IF(AI43="","",$AN$2)</f>
        <v>C</v>
      </c>
      <c r="AO43" s="80" t="str">
        <f>IF(N43="","",IF(N43&gt;=$AO$1/100,"O","X"))</f>
        <v/>
      </c>
      <c r="AP43" s="80" t="str">
        <f>IF(I43="","",IF(I43&lt;=$AP$1,"O","X"))</f>
        <v/>
      </c>
      <c r="AQ43" s="80" t="str">
        <f>IF(O43="","",IF(O43&lt;=$AQ$1,"O","X"))</f>
        <v>O</v>
      </c>
      <c r="AR43" s="80" t="str">
        <f>IF(M43="","",IF(M43&lt;=$AR$1,"O","X"))</f>
        <v>O</v>
      </c>
      <c r="AS43" s="80" t="s">
        <v>2</v>
      </c>
      <c r="AT43" s="80" t="str">
        <f>IF(OR(F43="",AI43=""),"",IF(AND((F43&lt;=85),(AI43&gt;=15)),"O","X"))</f>
        <v>X</v>
      </c>
      <c r="AU43" s="80" t="str">
        <f>IF(C43="","",IF(C43&gt;=$AU$1,"O","X"))</f>
        <v>O</v>
      </c>
      <c r="AV43" s="80" t="str">
        <f>IF(AO43="","",IF(AND(AO43="O",AP43="O",AR43="O",AT43="O",AU43="O"),"후보","X"))</f>
        <v/>
      </c>
    </row>
    <row r="44" spans="1:48" s="37" customFormat="1" ht="12" x14ac:dyDescent="0.3">
      <c r="A44" s="75" t="s">
        <v>1123</v>
      </c>
      <c r="B44" s="76" t="s">
        <v>989</v>
      </c>
      <c r="C44" s="86">
        <v>425</v>
      </c>
      <c r="D44" s="87">
        <v>38.299999999999997</v>
      </c>
      <c r="E44" s="88">
        <v>12</v>
      </c>
      <c r="F44" s="87">
        <v>28.7</v>
      </c>
      <c r="G44" s="17">
        <v>9</v>
      </c>
      <c r="H44" s="89">
        <v>61</v>
      </c>
      <c r="I44" s="90"/>
      <c r="J44" s="90"/>
      <c r="K44" s="90"/>
      <c r="L44" s="90"/>
      <c r="M44" s="91">
        <f>I44-K44</f>
        <v>0</v>
      </c>
      <c r="N44" s="4" t="str">
        <f>IF(ISERROR(K44/I44),"",K44/I44)</f>
        <v/>
      </c>
      <c r="O44" s="92">
        <f>I44/E44</f>
        <v>0</v>
      </c>
      <c r="P44" s="92">
        <f>K44/E44</f>
        <v>0</v>
      </c>
      <c r="Q44" s="80">
        <v>1</v>
      </c>
      <c r="R44" s="80">
        <v>1</v>
      </c>
      <c r="S44" s="80" t="s">
        <v>61</v>
      </c>
      <c r="T44" s="5">
        <v>38</v>
      </c>
      <c r="U44" s="9"/>
      <c r="W44" s="87">
        <f t="shared" si="28"/>
        <v>38.299999999999997</v>
      </c>
      <c r="X44" s="88">
        <f t="shared" si="28"/>
        <v>12</v>
      </c>
      <c r="Y44" s="93">
        <f t="shared" si="29"/>
        <v>61</v>
      </c>
      <c r="Z44" s="91">
        <f t="shared" si="29"/>
        <v>0</v>
      </c>
      <c r="AA44" s="91">
        <f>K44</f>
        <v>0</v>
      </c>
      <c r="AB44" s="91">
        <f t="shared" si="27"/>
        <v>0</v>
      </c>
      <c r="AC44" s="4" t="str">
        <f t="shared" si="27"/>
        <v/>
      </c>
      <c r="AD44" s="92">
        <f t="shared" si="27"/>
        <v>0</v>
      </c>
      <c r="AE44" s="80" t="str">
        <f>S44</f>
        <v>계</v>
      </c>
      <c r="AF44" s="80" t="str">
        <f>Q44&amp;"/"&amp;R44</f>
        <v>1/1</v>
      </c>
      <c r="AH44" s="20" t="str">
        <f t="shared" si="1"/>
        <v>내수읍 진흥1차</v>
      </c>
      <c r="AI44" s="88">
        <f t="shared" si="2"/>
        <v>12</v>
      </c>
      <c r="AJ44" s="80" t="str">
        <f>IF(AI44="","",$AJ$2)</f>
        <v>A-</v>
      </c>
      <c r="AK44" s="80" t="s">
        <v>13</v>
      </c>
      <c r="AL44" s="80" t="s">
        <v>62</v>
      </c>
      <c r="AM44" s="80" t="s">
        <v>63</v>
      </c>
      <c r="AN44" s="80" t="str">
        <f>IF(AI44="","",$AN$2)</f>
        <v>C</v>
      </c>
      <c r="AO44" s="80" t="str">
        <f>IF(N44="","",IF(N44&gt;=$AO$1/100,"O","X"))</f>
        <v/>
      </c>
      <c r="AP44" s="80" t="str">
        <f>IF(I44="","",IF(I44&lt;=$AP$1,"O","X"))</f>
        <v/>
      </c>
      <c r="AQ44" s="80" t="str">
        <f>IF(O44="","",IF(O44&lt;=$AQ$1,"O","X"))</f>
        <v>O</v>
      </c>
      <c r="AR44" s="80" t="str">
        <f>IF(M44="","",IF(M44&lt;=$AR$1,"O","X"))</f>
        <v>O</v>
      </c>
      <c r="AS44" s="80" t="s">
        <v>2</v>
      </c>
      <c r="AT44" s="80" t="str">
        <f>IF(OR(F44="",AI44=""),"",IF(AND((F44&lt;=85),(AI44&gt;=15)),"O","X"))</f>
        <v>X</v>
      </c>
      <c r="AU44" s="80" t="str">
        <f>IF(C44="","",IF(C44&gt;=$AU$1,"O","X"))</f>
        <v>O</v>
      </c>
      <c r="AV44" s="80" t="str">
        <f>IF(AO44="","",IF(AND(AO44="O",AP44="O",AR44="O",AT44="O",AU44="O"),"후보","X"))</f>
        <v/>
      </c>
    </row>
    <row r="45" spans="1:48" s="37" customFormat="1" ht="12" x14ac:dyDescent="0.3">
      <c r="A45" s="75" t="s">
        <v>1123</v>
      </c>
      <c r="B45" s="76" t="s">
        <v>989</v>
      </c>
      <c r="C45" s="86">
        <v>425</v>
      </c>
      <c r="D45" s="87">
        <v>67.5</v>
      </c>
      <c r="E45" s="88">
        <v>20</v>
      </c>
      <c r="F45" s="87">
        <v>59.9</v>
      </c>
      <c r="G45" s="17">
        <v>18</v>
      </c>
      <c r="H45" s="89">
        <v>358</v>
      </c>
      <c r="I45" s="90">
        <v>5200</v>
      </c>
      <c r="J45" s="90" t="s">
        <v>73</v>
      </c>
      <c r="K45" s="90"/>
      <c r="L45" s="90"/>
      <c r="M45" s="91">
        <f>I45-K45</f>
        <v>5200</v>
      </c>
      <c r="N45" s="4">
        <f>IF(ISERROR(K45/I45),"",K45/I45)</f>
        <v>0</v>
      </c>
      <c r="O45" s="92">
        <f>I45/E45</f>
        <v>260</v>
      </c>
      <c r="P45" s="92">
        <f>K45/E45</f>
        <v>0</v>
      </c>
      <c r="Q45" s="80">
        <v>2</v>
      </c>
      <c r="R45" s="80">
        <v>1</v>
      </c>
      <c r="S45" s="80" t="s">
        <v>61</v>
      </c>
      <c r="T45" s="5" t="s">
        <v>113</v>
      </c>
      <c r="U45" s="9"/>
      <c r="W45" s="87">
        <f t="shared" si="28"/>
        <v>67.5</v>
      </c>
      <c r="X45" s="88">
        <f t="shared" si="28"/>
        <v>20</v>
      </c>
      <c r="Y45" s="93">
        <f t="shared" si="29"/>
        <v>358</v>
      </c>
      <c r="Z45" s="91">
        <f t="shared" si="29"/>
        <v>5200</v>
      </c>
      <c r="AA45" s="91">
        <f>K45</f>
        <v>0</v>
      </c>
      <c r="AB45" s="91">
        <f t="shared" si="27"/>
        <v>5200</v>
      </c>
      <c r="AC45" s="4">
        <f t="shared" si="27"/>
        <v>0</v>
      </c>
      <c r="AD45" s="92">
        <f t="shared" si="27"/>
        <v>260</v>
      </c>
      <c r="AE45" s="80" t="str">
        <f>S45</f>
        <v>계</v>
      </c>
      <c r="AF45" s="80" t="str">
        <f>Q45&amp;"/"&amp;R45</f>
        <v>2/1</v>
      </c>
      <c r="AH45" s="20" t="str">
        <f t="shared" si="1"/>
        <v>내수읍 진흥1차</v>
      </c>
      <c r="AI45" s="88">
        <f t="shared" si="2"/>
        <v>20</v>
      </c>
      <c r="AJ45" s="80" t="str">
        <f>IF(AI45="","",$AJ$2)</f>
        <v>A-</v>
      </c>
      <c r="AK45" s="80" t="s">
        <v>13</v>
      </c>
      <c r="AL45" s="80" t="s">
        <v>62</v>
      </c>
      <c r="AM45" s="80" t="s">
        <v>63</v>
      </c>
      <c r="AN45" s="80" t="str">
        <f>IF(AI45="","",$AN$2)</f>
        <v>C</v>
      </c>
      <c r="AO45" s="80" t="str">
        <f>IF(N45="","",IF(N45&gt;=$AO$1/100,"O","X"))</f>
        <v>X</v>
      </c>
      <c r="AP45" s="80" t="str">
        <f>IF(I45="","",IF(I45&lt;=$AP$1,"O","X"))</f>
        <v>O</v>
      </c>
      <c r="AQ45" s="80" t="str">
        <f>IF(O45="","",IF(O45&lt;=$AQ$1,"O","X"))</f>
        <v>O</v>
      </c>
      <c r="AR45" s="80" t="str">
        <f>IF(M45="","",IF(M45&lt;=$AR$1,"O","X"))</f>
        <v>O</v>
      </c>
      <c r="AS45" s="80" t="s">
        <v>2</v>
      </c>
      <c r="AT45" s="80" t="str">
        <f>IF(OR(F45="",AI45=""),"",IF(AND((F45&lt;=85),(AI45&gt;=15)),"O","X"))</f>
        <v>O</v>
      </c>
      <c r="AU45" s="80" t="str">
        <f>IF(C45="","",IF(C45&gt;=$AU$1,"O","X"))</f>
        <v>O</v>
      </c>
      <c r="AV45" s="80" t="str">
        <f>IF(AO45="","",IF(AND(AO45="O",AP45="O",AR45="O",AT45="O",AU45="O"),"후보","X"))</f>
        <v>X</v>
      </c>
    </row>
    <row r="46" spans="1:48" s="37" customFormat="1" ht="12" x14ac:dyDescent="0.3">
      <c r="A46" s="75" t="s">
        <v>1124</v>
      </c>
      <c r="B46" s="76" t="s">
        <v>1125</v>
      </c>
      <c r="C46" s="86">
        <v>295</v>
      </c>
      <c r="D46" s="87">
        <v>84.7</v>
      </c>
      <c r="E46" s="88">
        <v>26</v>
      </c>
      <c r="F46" s="87">
        <v>59.9</v>
      </c>
      <c r="G46" s="17">
        <v>18</v>
      </c>
      <c r="H46" s="89">
        <v>242</v>
      </c>
      <c r="I46" s="90"/>
      <c r="J46" s="90"/>
      <c r="K46" s="90"/>
      <c r="L46" s="90"/>
      <c r="M46" s="91">
        <f>I46-K46</f>
        <v>0</v>
      </c>
      <c r="N46" s="4" t="str">
        <f>IF(ISERROR(K46/I46),"",K46/I46)</f>
        <v/>
      </c>
      <c r="O46" s="92">
        <f>I46/E46</f>
        <v>0</v>
      </c>
      <c r="P46" s="92">
        <f>K46/E46</f>
        <v>0</v>
      </c>
      <c r="Q46" s="80">
        <v>2</v>
      </c>
      <c r="R46" s="80">
        <v>1</v>
      </c>
      <c r="S46" s="80" t="s">
        <v>85</v>
      </c>
      <c r="T46" s="5" t="s">
        <v>83</v>
      </c>
      <c r="U46" s="9"/>
      <c r="W46" s="87">
        <f>D46</f>
        <v>84.7</v>
      </c>
      <c r="X46" s="88">
        <f>E46</f>
        <v>26</v>
      </c>
      <c r="Y46" s="93">
        <f>H46</f>
        <v>242</v>
      </c>
      <c r="Z46" s="91">
        <f>I46</f>
        <v>0</v>
      </c>
      <c r="AA46" s="91">
        <f>K46</f>
        <v>0</v>
      </c>
      <c r="AB46" s="91">
        <f t="shared" si="27"/>
        <v>0</v>
      </c>
      <c r="AC46" s="4" t="str">
        <f t="shared" si="27"/>
        <v/>
      </c>
      <c r="AD46" s="92">
        <f t="shared" si="27"/>
        <v>0</v>
      </c>
      <c r="AE46" s="80" t="str">
        <f>S46</f>
        <v>복</v>
      </c>
      <c r="AF46" s="80" t="str">
        <f>Q46&amp;"/"&amp;R46</f>
        <v>2/1</v>
      </c>
      <c r="AH46" s="20" t="str">
        <f t="shared" si="1"/>
        <v>내수읍 우창진주3차</v>
      </c>
      <c r="AI46" s="88">
        <f t="shared" si="2"/>
        <v>26</v>
      </c>
      <c r="AJ46" s="80" t="str">
        <f>IF(AI46="","",$AJ$2)</f>
        <v>A-</v>
      </c>
      <c r="AK46" s="80" t="s">
        <v>13</v>
      </c>
      <c r="AL46" s="80" t="s">
        <v>62</v>
      </c>
      <c r="AM46" s="80" t="s">
        <v>63</v>
      </c>
      <c r="AN46" s="80" t="str">
        <f>IF(AI46="","",$AN$2)</f>
        <v>C</v>
      </c>
      <c r="AO46" s="80" t="str">
        <f>IF(N46="","",IF(N46&gt;=$AO$1/100,"O","X"))</f>
        <v/>
      </c>
      <c r="AP46" s="80" t="str">
        <f>IF(I46="","",IF(I46&lt;=$AP$1,"O","X"))</f>
        <v/>
      </c>
      <c r="AQ46" s="80" t="str">
        <f>IF(O46="","",IF(O46&lt;=$AQ$1,"O","X"))</f>
        <v>O</v>
      </c>
      <c r="AR46" s="80" t="str">
        <f>IF(M46="","",IF(M46&lt;=$AR$1,"O","X"))</f>
        <v>O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X</v>
      </c>
      <c r="AV46" s="80" t="str">
        <f>IF(AO46="","",IF(AND(AO46="O",AP46="O",AR46="O",AT46="O",AU46="O"),"후보","X"))</f>
        <v/>
      </c>
    </row>
    <row r="47" spans="1:48" s="37" customFormat="1" ht="12" x14ac:dyDescent="0.3">
      <c r="A47" s="75" t="s">
        <v>990</v>
      </c>
      <c r="B47" s="76" t="s">
        <v>991</v>
      </c>
      <c r="C47" s="86">
        <v>295</v>
      </c>
      <c r="D47" s="87">
        <v>84.7</v>
      </c>
      <c r="E47" s="88">
        <v>26</v>
      </c>
      <c r="F47" s="87">
        <v>59.9</v>
      </c>
      <c r="G47" s="17">
        <v>18</v>
      </c>
      <c r="H47" s="89">
        <v>53</v>
      </c>
      <c r="I47" s="90"/>
      <c r="J47" s="90"/>
      <c r="K47" s="90"/>
      <c r="L47" s="90"/>
      <c r="M47" s="91">
        <f>I47-K47</f>
        <v>0</v>
      </c>
      <c r="N47" s="4" t="str">
        <f>IF(ISERROR(K47/I47),"",K47/I47)</f>
        <v/>
      </c>
      <c r="O47" s="92">
        <f>I47/E47</f>
        <v>0</v>
      </c>
      <c r="P47" s="92">
        <f>K47/E47</f>
        <v>0</v>
      </c>
      <c r="Q47" s="80">
        <v>3</v>
      </c>
      <c r="R47" s="80">
        <v>1</v>
      </c>
      <c r="S47" s="80" t="s">
        <v>85</v>
      </c>
      <c r="T47" s="5" t="s">
        <v>334</v>
      </c>
      <c r="U47" s="9"/>
      <c r="W47" s="87">
        <f>D47</f>
        <v>84.7</v>
      </c>
      <c r="X47" s="88">
        <f>E47</f>
        <v>26</v>
      </c>
      <c r="Y47" s="93">
        <f>H47</f>
        <v>53</v>
      </c>
      <c r="Z47" s="91">
        <f>I47</f>
        <v>0</v>
      </c>
      <c r="AA47" s="91">
        <f>K47</f>
        <v>0</v>
      </c>
      <c r="AB47" s="91">
        <f t="shared" si="27"/>
        <v>0</v>
      </c>
      <c r="AC47" s="4" t="str">
        <f t="shared" si="27"/>
        <v/>
      </c>
      <c r="AD47" s="92">
        <f t="shared" si="27"/>
        <v>0</v>
      </c>
      <c r="AE47" s="80" t="str">
        <f>S47</f>
        <v>복</v>
      </c>
      <c r="AF47" s="80" t="str">
        <f>Q47&amp;"/"&amp;R47</f>
        <v>3/1</v>
      </c>
      <c r="AH47" s="20" t="str">
        <f t="shared" si="1"/>
        <v>내수읍 우창진주3차</v>
      </c>
      <c r="AI47" s="88">
        <f t="shared" si="2"/>
        <v>26</v>
      </c>
      <c r="AJ47" s="80" t="str">
        <f>IF(AI47="","",$AJ$2)</f>
        <v>A-</v>
      </c>
      <c r="AK47" s="80" t="s">
        <v>13</v>
      </c>
      <c r="AL47" s="80" t="s">
        <v>62</v>
      </c>
      <c r="AM47" s="80" t="s">
        <v>63</v>
      </c>
      <c r="AN47" s="80" t="str">
        <f>IF(AI47="","",$AN$2)</f>
        <v>C</v>
      </c>
      <c r="AO47" s="80" t="str">
        <f>IF(N47="","",IF(N47&gt;=$AO$1/100,"O","X"))</f>
        <v/>
      </c>
      <c r="AP47" s="80" t="str">
        <f>IF(I47="","",IF(I47&lt;=$AP$1,"O","X"))</f>
        <v/>
      </c>
      <c r="AQ47" s="80" t="str">
        <f>IF(O47="","",IF(O47&lt;=$AQ$1,"O","X"))</f>
        <v>O</v>
      </c>
      <c r="AR47" s="80" t="str">
        <f>IF(M47="","",IF(M47&lt;=$AR$1,"O","X"))</f>
        <v>O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X</v>
      </c>
      <c r="AV47" s="80" t="str">
        <f>IF(AO47="","",IF(AND(AO47="O",AP47="O",AR47="O",AT47="O",AU47="O"),"후보","X"))</f>
        <v/>
      </c>
    </row>
    <row r="48" spans="1:48" s="37" customFormat="1" ht="12" x14ac:dyDescent="0.3">
      <c r="A48" s="75" t="s">
        <v>992</v>
      </c>
      <c r="B48" s="76" t="s">
        <v>1126</v>
      </c>
      <c r="C48" s="86">
        <v>299</v>
      </c>
      <c r="D48" s="87">
        <v>75.7</v>
      </c>
      <c r="E48" s="88">
        <v>23</v>
      </c>
      <c r="F48" s="87">
        <v>60</v>
      </c>
      <c r="G48" s="17">
        <v>18</v>
      </c>
      <c r="H48" s="89">
        <v>233</v>
      </c>
      <c r="I48" s="90"/>
      <c r="J48" s="90"/>
      <c r="K48" s="90"/>
      <c r="L48" s="90"/>
      <c r="M48" s="91">
        <f>I48-K48</f>
        <v>0</v>
      </c>
      <c r="N48" s="4" t="str">
        <f>IF(ISERROR(K48/I48),"",K48/I48)</f>
        <v/>
      </c>
      <c r="O48" s="92">
        <f>I48/E48</f>
        <v>0</v>
      </c>
      <c r="P48" s="92">
        <f>K48/E48</f>
        <v>0</v>
      </c>
      <c r="Q48" s="80">
        <v>2</v>
      </c>
      <c r="R48" s="80">
        <v>1</v>
      </c>
      <c r="S48" s="80" t="s">
        <v>61</v>
      </c>
      <c r="T48" s="5">
        <v>75</v>
      </c>
      <c r="U48" s="9"/>
      <c r="W48" s="87">
        <f t="shared" ref="W48:X60" si="30">D48</f>
        <v>75.7</v>
      </c>
      <c r="X48" s="88">
        <f t="shared" si="30"/>
        <v>23</v>
      </c>
      <c r="Y48" s="93">
        <f t="shared" ref="Y48:Z60" si="31">H48</f>
        <v>233</v>
      </c>
      <c r="Z48" s="91">
        <f t="shared" si="31"/>
        <v>0</v>
      </c>
      <c r="AA48" s="91">
        <f>K48</f>
        <v>0</v>
      </c>
      <c r="AB48" s="91">
        <f t="shared" si="27"/>
        <v>0</v>
      </c>
      <c r="AC48" s="4" t="str">
        <f t="shared" si="27"/>
        <v/>
      </c>
      <c r="AD48" s="92">
        <f t="shared" si="27"/>
        <v>0</v>
      </c>
      <c r="AE48" s="80" t="str">
        <f>S48</f>
        <v>계</v>
      </c>
      <c r="AF48" s="80" t="str">
        <f>Q48&amp;"/"&amp;R48</f>
        <v>2/1</v>
      </c>
      <c r="AH48" s="20" t="str">
        <f t="shared" si="1"/>
        <v>내수읍 진흥2차</v>
      </c>
      <c r="AI48" s="88">
        <f t="shared" si="2"/>
        <v>23</v>
      </c>
      <c r="AJ48" s="80" t="str">
        <f>IF(AI48="","",$AJ$2)</f>
        <v>A-</v>
      </c>
      <c r="AK48" s="80" t="s">
        <v>13</v>
      </c>
      <c r="AL48" s="80" t="s">
        <v>62</v>
      </c>
      <c r="AM48" s="80" t="s">
        <v>63</v>
      </c>
      <c r="AN48" s="80" t="str">
        <f>IF(AI48="","",$AN$2)</f>
        <v>C</v>
      </c>
      <c r="AO48" s="80" t="str">
        <f>IF(N48="","",IF(N48&gt;=$AO$1/100,"O","X"))</f>
        <v/>
      </c>
      <c r="AP48" s="80" t="str">
        <f>IF(I48="","",IF(I48&lt;=$AP$1,"O","X"))</f>
        <v/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X</v>
      </c>
      <c r="AV48" s="80" t="str">
        <f>IF(AO48="","",IF(AND(AO48="O",AP48="O",AR48="O",AT48="O",AU48="O"),"후보","X"))</f>
        <v/>
      </c>
    </row>
    <row r="49" spans="1:48" s="37" customFormat="1" ht="12" x14ac:dyDescent="0.3">
      <c r="A49" s="75" t="s">
        <v>992</v>
      </c>
      <c r="B49" s="76" t="s">
        <v>993</v>
      </c>
      <c r="C49" s="86">
        <v>299</v>
      </c>
      <c r="D49" s="87">
        <v>75.599999999999994</v>
      </c>
      <c r="E49" s="88">
        <v>23</v>
      </c>
      <c r="F49" s="87">
        <v>59.9</v>
      </c>
      <c r="G49" s="17">
        <v>18</v>
      </c>
      <c r="H49" s="89">
        <v>42</v>
      </c>
      <c r="I49" s="90"/>
      <c r="J49" s="90"/>
      <c r="K49" s="90"/>
      <c r="L49" s="90"/>
      <c r="M49" s="91">
        <f>I49-K49</f>
        <v>0</v>
      </c>
      <c r="N49" s="4" t="str">
        <f>IF(ISERROR(K49/I49),"",K49/I49)</f>
        <v/>
      </c>
      <c r="O49" s="92">
        <f>I49/E49</f>
        <v>0</v>
      </c>
      <c r="P49" s="92">
        <f>K49/E49</f>
        <v>0</v>
      </c>
      <c r="Q49" s="80">
        <v>3</v>
      </c>
      <c r="R49" s="80">
        <v>1</v>
      </c>
      <c r="S49" s="80" t="s">
        <v>85</v>
      </c>
      <c r="T49" s="5">
        <v>75</v>
      </c>
      <c r="U49" s="9"/>
      <c r="W49" s="87">
        <f t="shared" si="30"/>
        <v>75.599999999999994</v>
      </c>
      <c r="X49" s="88">
        <f t="shared" si="30"/>
        <v>23</v>
      </c>
      <c r="Y49" s="93">
        <f t="shared" si="31"/>
        <v>42</v>
      </c>
      <c r="Z49" s="91">
        <f t="shared" si="31"/>
        <v>0</v>
      </c>
      <c r="AA49" s="91">
        <f>K49</f>
        <v>0</v>
      </c>
      <c r="AB49" s="91">
        <f t="shared" si="27"/>
        <v>0</v>
      </c>
      <c r="AC49" s="4" t="str">
        <f t="shared" si="27"/>
        <v/>
      </c>
      <c r="AD49" s="92">
        <f t="shared" si="27"/>
        <v>0</v>
      </c>
      <c r="AE49" s="80" t="str">
        <f>S49</f>
        <v>복</v>
      </c>
      <c r="AF49" s="80" t="str">
        <f>Q49&amp;"/"&amp;R49</f>
        <v>3/1</v>
      </c>
      <c r="AH49" s="20" t="str">
        <f t="shared" si="1"/>
        <v>내수읍 진흥2차</v>
      </c>
      <c r="AI49" s="88">
        <f t="shared" si="2"/>
        <v>23</v>
      </c>
      <c r="AJ49" s="80" t="str">
        <f>IF(AI49="","",$AJ$2)</f>
        <v>A-</v>
      </c>
      <c r="AK49" s="80" t="s">
        <v>13</v>
      </c>
      <c r="AL49" s="80" t="s">
        <v>62</v>
      </c>
      <c r="AM49" s="80" t="s">
        <v>63</v>
      </c>
      <c r="AN49" s="80" t="str">
        <f>IF(AI49="","",$AN$2)</f>
        <v>C</v>
      </c>
      <c r="AO49" s="80" t="str">
        <f>IF(N49="","",IF(N49&gt;=$AO$1/100,"O","X"))</f>
        <v/>
      </c>
      <c r="AP49" s="80" t="str">
        <f>IF(I49="","",IF(I49&lt;=$AP$1,"O","X"))</f>
        <v/>
      </c>
      <c r="AQ49" s="80" t="str">
        <f>IF(O49="","",IF(O49&lt;=$AQ$1,"O","X"))</f>
        <v>O</v>
      </c>
      <c r="AR49" s="80" t="str">
        <f>IF(M49="","",IF(M49&lt;=$AR$1,"O","X"))</f>
        <v>O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X</v>
      </c>
      <c r="AV49" s="80" t="str">
        <f>IF(AO49="","",IF(AND(AO49="O",AP49="O",AR49="O",AT49="O",AU49="O"),"후보","X"))</f>
        <v/>
      </c>
    </row>
    <row r="50" spans="1:48" s="37" customFormat="1" ht="12" x14ac:dyDescent="0.3">
      <c r="A50" s="75" t="s">
        <v>992</v>
      </c>
      <c r="B50" s="76" t="s">
        <v>1126</v>
      </c>
      <c r="C50" s="86">
        <v>299</v>
      </c>
      <c r="D50" s="87">
        <v>107.2</v>
      </c>
      <c r="E50" s="88">
        <v>32</v>
      </c>
      <c r="F50" s="87">
        <v>84.9</v>
      </c>
      <c r="G50" s="17">
        <v>26</v>
      </c>
      <c r="H50" s="89">
        <v>24</v>
      </c>
      <c r="I50" s="90"/>
      <c r="J50" s="90"/>
      <c r="K50" s="90"/>
      <c r="L50" s="90"/>
      <c r="M50" s="91">
        <f>I50-K50</f>
        <v>0</v>
      </c>
      <c r="N50" s="4" t="str">
        <f>IF(ISERROR(K50/I50),"",K50/I50)</f>
        <v/>
      </c>
      <c r="O50" s="92">
        <f>I50/E50</f>
        <v>0</v>
      </c>
      <c r="P50" s="92">
        <f>K50/E50</f>
        <v>0</v>
      </c>
      <c r="Q50" s="80">
        <v>3</v>
      </c>
      <c r="R50" s="80">
        <v>2</v>
      </c>
      <c r="S50" s="80" t="s">
        <v>61</v>
      </c>
      <c r="T50" s="5">
        <v>107</v>
      </c>
      <c r="U50" s="9"/>
      <c r="W50" s="87">
        <f t="shared" si="30"/>
        <v>107.2</v>
      </c>
      <c r="X50" s="88">
        <f t="shared" si="30"/>
        <v>32</v>
      </c>
      <c r="Y50" s="93">
        <f t="shared" si="31"/>
        <v>24</v>
      </c>
      <c r="Z50" s="91">
        <f t="shared" si="31"/>
        <v>0</v>
      </c>
      <c r="AA50" s="91">
        <f>K50</f>
        <v>0</v>
      </c>
      <c r="AB50" s="91">
        <f t="shared" si="27"/>
        <v>0</v>
      </c>
      <c r="AC50" s="4" t="str">
        <f t="shared" si="27"/>
        <v/>
      </c>
      <c r="AD50" s="92">
        <f t="shared" si="27"/>
        <v>0</v>
      </c>
      <c r="AE50" s="80" t="str">
        <f>S50</f>
        <v>계</v>
      </c>
      <c r="AF50" s="80" t="str">
        <f>Q50&amp;"/"&amp;R50</f>
        <v>3/2</v>
      </c>
      <c r="AH50" s="20" t="str">
        <f t="shared" si="1"/>
        <v>내수읍 진흥2차</v>
      </c>
      <c r="AI50" s="88">
        <f t="shared" si="2"/>
        <v>32</v>
      </c>
      <c r="AJ50" s="80" t="str">
        <f>IF(AI50="","",$AJ$2)</f>
        <v>A-</v>
      </c>
      <c r="AK50" s="80" t="s">
        <v>13</v>
      </c>
      <c r="AL50" s="80" t="s">
        <v>62</v>
      </c>
      <c r="AM50" s="80" t="s">
        <v>63</v>
      </c>
      <c r="AN50" s="80" t="str">
        <f>IF(AI50="","",$AN$2)</f>
        <v>C</v>
      </c>
      <c r="AO50" s="80" t="str">
        <f>IF(N50="","",IF(N50&gt;=$AO$1/100,"O","X"))</f>
        <v/>
      </c>
      <c r="AP50" s="80" t="str">
        <f>IF(I50="","",IF(I50&lt;=$AP$1,"O","X"))</f>
        <v/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X</v>
      </c>
      <c r="AV50" s="80" t="str">
        <f>IF(AO50="","",IF(AND(AO50="O",AP50="O",AR50="O",AT50="O",AU50="O"),"후보","X"))</f>
        <v/>
      </c>
    </row>
    <row r="51" spans="1:48" s="37" customFormat="1" ht="12" x14ac:dyDescent="0.3">
      <c r="A51" s="75" t="s">
        <v>1127</v>
      </c>
      <c r="B51" s="76" t="s">
        <v>995</v>
      </c>
      <c r="C51" s="86">
        <v>333</v>
      </c>
      <c r="D51" s="87">
        <v>110.5</v>
      </c>
      <c r="E51" s="88">
        <v>33</v>
      </c>
      <c r="F51" s="87">
        <v>84.5</v>
      </c>
      <c r="G51" s="17">
        <v>26</v>
      </c>
      <c r="H51" s="89">
        <v>87</v>
      </c>
      <c r="I51" s="90">
        <v>33000</v>
      </c>
      <c r="J51" s="90" t="s">
        <v>66</v>
      </c>
      <c r="K51" s="90"/>
      <c r="L51" s="90"/>
      <c r="M51" s="91">
        <f t="shared" ref="M51:M56" si="32">I51-K51</f>
        <v>33000</v>
      </c>
      <c r="N51" s="4">
        <f t="shared" ref="N51:N56" si="33">IF(ISERROR(K51/I51),"",K51/I51)</f>
        <v>0</v>
      </c>
      <c r="O51" s="92">
        <f t="shared" ref="O51:O56" si="34">I51/E51</f>
        <v>1000</v>
      </c>
      <c r="P51" s="92">
        <f t="shared" ref="P51:P56" si="35">K51/E51</f>
        <v>0</v>
      </c>
      <c r="Q51" s="80">
        <v>3</v>
      </c>
      <c r="R51" s="80">
        <v>2</v>
      </c>
      <c r="S51" s="80" t="s">
        <v>61</v>
      </c>
      <c r="T51" s="5">
        <v>110</v>
      </c>
      <c r="U51" s="9"/>
      <c r="W51" s="87">
        <f t="shared" si="30"/>
        <v>110.5</v>
      </c>
      <c r="X51" s="88">
        <f t="shared" si="30"/>
        <v>33</v>
      </c>
      <c r="Y51" s="93">
        <f t="shared" si="31"/>
        <v>87</v>
      </c>
      <c r="Z51" s="91">
        <f t="shared" si="31"/>
        <v>33000</v>
      </c>
      <c r="AA51" s="91">
        <f t="shared" ref="AA51:AA56" si="36">K51</f>
        <v>0</v>
      </c>
      <c r="AB51" s="91">
        <f t="shared" ref="AB51:AD66" si="37">M51</f>
        <v>33000</v>
      </c>
      <c r="AC51" s="4">
        <f t="shared" si="37"/>
        <v>0</v>
      </c>
      <c r="AD51" s="92">
        <f t="shared" si="37"/>
        <v>1000</v>
      </c>
      <c r="AE51" s="80" t="str">
        <f t="shared" ref="AE51:AE56" si="38">S51</f>
        <v>계</v>
      </c>
      <c r="AF51" s="80" t="str">
        <f t="shared" ref="AF51:AF56" si="39">Q51&amp;"/"&amp;R51</f>
        <v>3/2</v>
      </c>
      <c r="AH51" s="20" t="str">
        <f t="shared" si="1"/>
        <v>사천동 남광하우스토리A단지</v>
      </c>
      <c r="AI51" s="88">
        <f t="shared" si="2"/>
        <v>33</v>
      </c>
      <c r="AJ51" s="80" t="str">
        <f t="shared" ref="AJ51:AJ56" si="40">IF(AI51="","",$AJ$2)</f>
        <v>A-</v>
      </c>
      <c r="AK51" s="80" t="s">
        <v>13</v>
      </c>
      <c r="AL51" s="80" t="s">
        <v>62</v>
      </c>
      <c r="AM51" s="80" t="s">
        <v>63</v>
      </c>
      <c r="AN51" s="80" t="str">
        <f t="shared" ref="AN51:AN56" si="41">IF(AI51="","",$AN$2)</f>
        <v>C</v>
      </c>
      <c r="AO51" s="80" t="str">
        <f t="shared" ref="AO51:AO56" si="42">IF(N51="","",IF(N51&gt;=$AO$1/100,"O","X"))</f>
        <v>X</v>
      </c>
      <c r="AP51" s="80" t="str">
        <f t="shared" ref="AP51:AP56" si="43">IF(I51="","",IF(I51&lt;=$AP$1,"O","X"))</f>
        <v>O</v>
      </c>
      <c r="AQ51" s="80" t="str">
        <f t="shared" ref="AQ51:AQ56" si="44">IF(O51="","",IF(O51&lt;=$AQ$1,"O","X"))</f>
        <v>O</v>
      </c>
      <c r="AR51" s="80" t="str">
        <f t="shared" ref="AR51:AR56" si="45">IF(M51="","",IF(M51&lt;=$AR$1,"O","X"))</f>
        <v>X</v>
      </c>
      <c r="AS51" s="80" t="s">
        <v>2</v>
      </c>
      <c r="AT51" s="80" t="str">
        <f t="shared" ref="AT51:AT56" si="46">IF(OR(F51="",AI51=""),"",IF(AND((F51&lt;=85),(AI51&gt;=15)),"O","X"))</f>
        <v>O</v>
      </c>
      <c r="AU51" s="80" t="str">
        <f t="shared" ref="AU51:AU56" si="47">IF(C51="","",IF(C51&gt;=$AU$1,"O","X"))</f>
        <v>O</v>
      </c>
      <c r="AV51" s="80" t="str">
        <f t="shared" ref="AV51:AV56" si="48">IF(AO51="","",IF(AND(AO51="O",AP51="O",AR51="O",AT51="O",AU51="O"),"후보","X"))</f>
        <v>X</v>
      </c>
    </row>
    <row r="52" spans="1:48" s="37" customFormat="1" ht="12" x14ac:dyDescent="0.3">
      <c r="A52" s="75" t="s">
        <v>994</v>
      </c>
      <c r="B52" s="76" t="s">
        <v>1128</v>
      </c>
      <c r="C52" s="86">
        <v>333</v>
      </c>
      <c r="D52" s="87">
        <v>131.69999999999999</v>
      </c>
      <c r="E52" s="88">
        <v>40</v>
      </c>
      <c r="F52" s="87">
        <v>102.2</v>
      </c>
      <c r="G52" s="17">
        <v>31</v>
      </c>
      <c r="H52" s="89">
        <v>98</v>
      </c>
      <c r="I52" s="90"/>
      <c r="J52" s="90"/>
      <c r="K52" s="90"/>
      <c r="L52" s="90"/>
      <c r="M52" s="91">
        <f t="shared" si="32"/>
        <v>0</v>
      </c>
      <c r="N52" s="4" t="str">
        <f t="shared" si="33"/>
        <v/>
      </c>
      <c r="O52" s="92">
        <f t="shared" si="34"/>
        <v>0</v>
      </c>
      <c r="P52" s="92">
        <f t="shared" si="35"/>
        <v>0</v>
      </c>
      <c r="Q52" s="80">
        <v>3</v>
      </c>
      <c r="R52" s="80">
        <v>2</v>
      </c>
      <c r="S52" s="80" t="s">
        <v>61</v>
      </c>
      <c r="T52" s="5">
        <v>131</v>
      </c>
      <c r="U52" s="9"/>
      <c r="W52" s="87">
        <f t="shared" si="30"/>
        <v>131.69999999999999</v>
      </c>
      <c r="X52" s="88">
        <f t="shared" si="30"/>
        <v>40</v>
      </c>
      <c r="Y52" s="93">
        <f t="shared" si="31"/>
        <v>98</v>
      </c>
      <c r="Z52" s="91">
        <f t="shared" si="31"/>
        <v>0</v>
      </c>
      <c r="AA52" s="91">
        <f t="shared" si="36"/>
        <v>0</v>
      </c>
      <c r="AB52" s="91">
        <f t="shared" si="37"/>
        <v>0</v>
      </c>
      <c r="AC52" s="4" t="str">
        <f t="shared" si="37"/>
        <v/>
      </c>
      <c r="AD52" s="92">
        <f t="shared" si="37"/>
        <v>0</v>
      </c>
      <c r="AE52" s="80" t="str">
        <f t="shared" si="38"/>
        <v>계</v>
      </c>
      <c r="AF52" s="80" t="str">
        <f t="shared" si="39"/>
        <v>3/2</v>
      </c>
      <c r="AH52" s="20" t="str">
        <f t="shared" si="1"/>
        <v>사천동 남광하우스토리A단지</v>
      </c>
      <c r="AI52" s="88">
        <f t="shared" si="2"/>
        <v>40</v>
      </c>
      <c r="AJ52" s="80" t="str">
        <f t="shared" si="40"/>
        <v>A-</v>
      </c>
      <c r="AK52" s="80" t="s">
        <v>13</v>
      </c>
      <c r="AL52" s="80" t="s">
        <v>62</v>
      </c>
      <c r="AM52" s="80" t="s">
        <v>63</v>
      </c>
      <c r="AN52" s="80" t="str">
        <f t="shared" si="41"/>
        <v>C</v>
      </c>
      <c r="AO52" s="80" t="str">
        <f t="shared" si="42"/>
        <v/>
      </c>
      <c r="AP52" s="80" t="str">
        <f t="shared" si="43"/>
        <v/>
      </c>
      <c r="AQ52" s="80" t="str">
        <f t="shared" si="44"/>
        <v>O</v>
      </c>
      <c r="AR52" s="80" t="str">
        <f t="shared" si="45"/>
        <v>O</v>
      </c>
      <c r="AS52" s="80" t="s">
        <v>2</v>
      </c>
      <c r="AT52" s="80" t="str">
        <f t="shared" si="46"/>
        <v>X</v>
      </c>
      <c r="AU52" s="80" t="str">
        <f t="shared" si="47"/>
        <v>O</v>
      </c>
      <c r="AV52" s="80" t="str">
        <f t="shared" si="48"/>
        <v/>
      </c>
    </row>
    <row r="53" spans="1:48" s="37" customFormat="1" ht="12" x14ac:dyDescent="0.3">
      <c r="A53" s="75" t="s">
        <v>994</v>
      </c>
      <c r="B53" s="76" t="s">
        <v>996</v>
      </c>
      <c r="C53" s="86">
        <v>333</v>
      </c>
      <c r="D53" s="87">
        <v>153.5</v>
      </c>
      <c r="E53" s="88">
        <v>46</v>
      </c>
      <c r="F53" s="87">
        <v>124.6</v>
      </c>
      <c r="G53" s="17">
        <v>38</v>
      </c>
      <c r="H53" s="89">
        <v>64</v>
      </c>
      <c r="I53" s="90"/>
      <c r="J53" s="90"/>
      <c r="K53" s="90"/>
      <c r="L53" s="90"/>
      <c r="M53" s="91">
        <f t="shared" si="32"/>
        <v>0</v>
      </c>
      <c r="N53" s="4" t="str">
        <f t="shared" si="33"/>
        <v/>
      </c>
      <c r="O53" s="92">
        <f t="shared" si="34"/>
        <v>0</v>
      </c>
      <c r="P53" s="92">
        <f t="shared" si="35"/>
        <v>0</v>
      </c>
      <c r="Q53" s="80">
        <v>4</v>
      </c>
      <c r="R53" s="80">
        <v>2</v>
      </c>
      <c r="S53" s="80" t="s">
        <v>61</v>
      </c>
      <c r="T53" s="5">
        <v>153</v>
      </c>
      <c r="U53" s="9"/>
      <c r="W53" s="87">
        <f t="shared" si="30"/>
        <v>153.5</v>
      </c>
      <c r="X53" s="88">
        <f t="shared" si="30"/>
        <v>46</v>
      </c>
      <c r="Y53" s="93">
        <f t="shared" si="31"/>
        <v>64</v>
      </c>
      <c r="Z53" s="91">
        <f t="shared" si="31"/>
        <v>0</v>
      </c>
      <c r="AA53" s="91">
        <f t="shared" si="36"/>
        <v>0</v>
      </c>
      <c r="AB53" s="91">
        <f t="shared" si="37"/>
        <v>0</v>
      </c>
      <c r="AC53" s="4" t="str">
        <f t="shared" si="37"/>
        <v/>
      </c>
      <c r="AD53" s="92">
        <f t="shared" si="37"/>
        <v>0</v>
      </c>
      <c r="AE53" s="80" t="str">
        <f t="shared" si="38"/>
        <v>계</v>
      </c>
      <c r="AF53" s="80" t="str">
        <f t="shared" si="39"/>
        <v>4/2</v>
      </c>
      <c r="AH53" s="20" t="str">
        <f t="shared" si="1"/>
        <v>사천동 남광하우스토리A단지</v>
      </c>
      <c r="AI53" s="88">
        <f t="shared" si="2"/>
        <v>46</v>
      </c>
      <c r="AJ53" s="80" t="str">
        <f t="shared" si="40"/>
        <v>A-</v>
      </c>
      <c r="AK53" s="80" t="s">
        <v>13</v>
      </c>
      <c r="AL53" s="80" t="s">
        <v>62</v>
      </c>
      <c r="AM53" s="80" t="s">
        <v>63</v>
      </c>
      <c r="AN53" s="80" t="str">
        <f t="shared" si="41"/>
        <v>C</v>
      </c>
      <c r="AO53" s="80" t="str">
        <f t="shared" si="42"/>
        <v/>
      </c>
      <c r="AP53" s="80" t="str">
        <f t="shared" si="43"/>
        <v/>
      </c>
      <c r="AQ53" s="80" t="str">
        <f t="shared" si="44"/>
        <v>O</v>
      </c>
      <c r="AR53" s="80" t="str">
        <f t="shared" si="45"/>
        <v>O</v>
      </c>
      <c r="AS53" s="80" t="s">
        <v>2</v>
      </c>
      <c r="AT53" s="80" t="str">
        <f t="shared" si="46"/>
        <v>X</v>
      </c>
      <c r="AU53" s="80" t="str">
        <f t="shared" si="47"/>
        <v>O</v>
      </c>
      <c r="AV53" s="80" t="str">
        <f t="shared" si="48"/>
        <v/>
      </c>
    </row>
    <row r="54" spans="1:48" s="37" customFormat="1" ht="12" x14ac:dyDescent="0.3">
      <c r="A54" s="75" t="s">
        <v>994</v>
      </c>
      <c r="B54" s="76" t="s">
        <v>996</v>
      </c>
      <c r="C54" s="86">
        <v>333</v>
      </c>
      <c r="D54" s="87">
        <v>173.8</v>
      </c>
      <c r="E54" s="88">
        <v>53</v>
      </c>
      <c r="F54" s="87">
        <v>134</v>
      </c>
      <c r="G54" s="17">
        <v>41</v>
      </c>
      <c r="H54" s="89">
        <v>10</v>
      </c>
      <c r="I54" s="90"/>
      <c r="J54" s="90"/>
      <c r="K54" s="90"/>
      <c r="L54" s="90"/>
      <c r="M54" s="91">
        <f t="shared" si="32"/>
        <v>0</v>
      </c>
      <c r="N54" s="4" t="str">
        <f t="shared" si="33"/>
        <v/>
      </c>
      <c r="O54" s="92">
        <f t="shared" si="34"/>
        <v>0</v>
      </c>
      <c r="P54" s="92">
        <f t="shared" si="35"/>
        <v>0</v>
      </c>
      <c r="Q54" s="80">
        <v>3</v>
      </c>
      <c r="R54" s="80">
        <v>3</v>
      </c>
      <c r="S54" s="80" t="s">
        <v>61</v>
      </c>
      <c r="T54" s="5">
        <v>173</v>
      </c>
      <c r="U54" s="9"/>
      <c r="W54" s="87">
        <f t="shared" si="30"/>
        <v>173.8</v>
      </c>
      <c r="X54" s="88">
        <f t="shared" si="30"/>
        <v>53</v>
      </c>
      <c r="Y54" s="93">
        <f t="shared" si="31"/>
        <v>10</v>
      </c>
      <c r="Z54" s="91">
        <f t="shared" si="31"/>
        <v>0</v>
      </c>
      <c r="AA54" s="91">
        <f t="shared" si="36"/>
        <v>0</v>
      </c>
      <c r="AB54" s="91">
        <f t="shared" si="37"/>
        <v>0</v>
      </c>
      <c r="AC54" s="4" t="str">
        <f t="shared" si="37"/>
        <v/>
      </c>
      <c r="AD54" s="92">
        <f t="shared" si="37"/>
        <v>0</v>
      </c>
      <c r="AE54" s="80" t="str">
        <f t="shared" si="38"/>
        <v>계</v>
      </c>
      <c r="AF54" s="80" t="str">
        <f t="shared" si="39"/>
        <v>3/3</v>
      </c>
      <c r="AH54" s="20" t="str">
        <f t="shared" si="1"/>
        <v>사천동 남광하우스토리A단지</v>
      </c>
      <c r="AI54" s="88">
        <f t="shared" si="2"/>
        <v>53</v>
      </c>
      <c r="AJ54" s="80" t="str">
        <f t="shared" si="40"/>
        <v>A-</v>
      </c>
      <c r="AK54" s="80" t="s">
        <v>13</v>
      </c>
      <c r="AL54" s="80" t="s">
        <v>62</v>
      </c>
      <c r="AM54" s="80" t="s">
        <v>63</v>
      </c>
      <c r="AN54" s="80" t="str">
        <f t="shared" si="41"/>
        <v>C</v>
      </c>
      <c r="AO54" s="80" t="str">
        <f t="shared" si="42"/>
        <v/>
      </c>
      <c r="AP54" s="80" t="str">
        <f t="shared" si="43"/>
        <v/>
      </c>
      <c r="AQ54" s="80" t="str">
        <f t="shared" si="44"/>
        <v>O</v>
      </c>
      <c r="AR54" s="80" t="str">
        <f t="shared" si="45"/>
        <v>O</v>
      </c>
      <c r="AS54" s="80" t="s">
        <v>2</v>
      </c>
      <c r="AT54" s="80" t="str">
        <f t="shared" si="46"/>
        <v>X</v>
      </c>
      <c r="AU54" s="80" t="str">
        <f t="shared" si="47"/>
        <v>O</v>
      </c>
      <c r="AV54" s="80" t="str">
        <f t="shared" si="48"/>
        <v/>
      </c>
    </row>
    <row r="55" spans="1:48" s="37" customFormat="1" ht="12" x14ac:dyDescent="0.3">
      <c r="A55" s="75" t="s">
        <v>994</v>
      </c>
      <c r="B55" s="76" t="s">
        <v>995</v>
      </c>
      <c r="C55" s="86">
        <v>333</v>
      </c>
      <c r="D55" s="87">
        <v>193.3</v>
      </c>
      <c r="E55" s="88">
        <v>58</v>
      </c>
      <c r="F55" s="87">
        <v>157.4</v>
      </c>
      <c r="G55" s="17">
        <v>48</v>
      </c>
      <c r="H55" s="89">
        <v>70</v>
      </c>
      <c r="I55" s="90">
        <v>50000</v>
      </c>
      <c r="J55" s="90" t="s">
        <v>68</v>
      </c>
      <c r="K55" s="90"/>
      <c r="L55" s="90"/>
      <c r="M55" s="91">
        <f t="shared" si="32"/>
        <v>50000</v>
      </c>
      <c r="N55" s="4">
        <f t="shared" si="33"/>
        <v>0</v>
      </c>
      <c r="O55" s="92">
        <f t="shared" si="34"/>
        <v>862.06896551724139</v>
      </c>
      <c r="P55" s="92">
        <f t="shared" si="35"/>
        <v>0</v>
      </c>
      <c r="Q55" s="80">
        <v>3</v>
      </c>
      <c r="R55" s="80">
        <v>3</v>
      </c>
      <c r="S55" s="80" t="s">
        <v>61</v>
      </c>
      <c r="T55" s="5">
        <v>193</v>
      </c>
      <c r="U55" s="9"/>
      <c r="W55" s="87">
        <f t="shared" si="30"/>
        <v>193.3</v>
      </c>
      <c r="X55" s="88">
        <f t="shared" si="30"/>
        <v>58</v>
      </c>
      <c r="Y55" s="93">
        <f t="shared" si="31"/>
        <v>70</v>
      </c>
      <c r="Z55" s="91">
        <f t="shared" si="31"/>
        <v>50000</v>
      </c>
      <c r="AA55" s="91">
        <f t="shared" si="36"/>
        <v>0</v>
      </c>
      <c r="AB55" s="91">
        <f t="shared" si="37"/>
        <v>50000</v>
      </c>
      <c r="AC55" s="4">
        <f t="shared" si="37"/>
        <v>0</v>
      </c>
      <c r="AD55" s="92">
        <f t="shared" si="37"/>
        <v>862.06896551724139</v>
      </c>
      <c r="AE55" s="80" t="str">
        <f t="shared" si="38"/>
        <v>계</v>
      </c>
      <c r="AF55" s="80" t="str">
        <f t="shared" si="39"/>
        <v>3/3</v>
      </c>
      <c r="AH55" s="20" t="str">
        <f t="shared" si="1"/>
        <v>사천동 남광하우스토리A단지</v>
      </c>
      <c r="AI55" s="88">
        <f t="shared" si="2"/>
        <v>58</v>
      </c>
      <c r="AJ55" s="80" t="str">
        <f t="shared" si="40"/>
        <v>A-</v>
      </c>
      <c r="AK55" s="80" t="s">
        <v>13</v>
      </c>
      <c r="AL55" s="80" t="s">
        <v>62</v>
      </c>
      <c r="AM55" s="80" t="s">
        <v>63</v>
      </c>
      <c r="AN55" s="80" t="str">
        <f t="shared" si="41"/>
        <v>C</v>
      </c>
      <c r="AO55" s="80" t="str">
        <f t="shared" si="42"/>
        <v>X</v>
      </c>
      <c r="AP55" s="80" t="str">
        <f t="shared" si="43"/>
        <v>X</v>
      </c>
      <c r="AQ55" s="80" t="str">
        <f t="shared" si="44"/>
        <v>O</v>
      </c>
      <c r="AR55" s="80" t="str">
        <f t="shared" si="45"/>
        <v>X</v>
      </c>
      <c r="AS55" s="80" t="s">
        <v>2</v>
      </c>
      <c r="AT55" s="80" t="str">
        <f t="shared" si="46"/>
        <v>X</v>
      </c>
      <c r="AU55" s="80" t="str">
        <f t="shared" si="47"/>
        <v>O</v>
      </c>
      <c r="AV55" s="80" t="str">
        <f t="shared" si="48"/>
        <v>X</v>
      </c>
    </row>
    <row r="56" spans="1:48" s="37" customFormat="1" ht="12" x14ac:dyDescent="0.3">
      <c r="A56" s="75" t="s">
        <v>994</v>
      </c>
      <c r="B56" s="76" t="s">
        <v>995</v>
      </c>
      <c r="C56" s="86">
        <v>333</v>
      </c>
      <c r="D56" s="87">
        <v>228.8</v>
      </c>
      <c r="E56" s="88">
        <v>69</v>
      </c>
      <c r="F56" s="87">
        <v>183.3</v>
      </c>
      <c r="G56" s="17">
        <v>55</v>
      </c>
      <c r="H56" s="89">
        <v>4</v>
      </c>
      <c r="I56" s="90"/>
      <c r="J56" s="90"/>
      <c r="K56" s="90"/>
      <c r="L56" s="90"/>
      <c r="M56" s="91">
        <f t="shared" si="32"/>
        <v>0</v>
      </c>
      <c r="N56" s="4" t="str">
        <f t="shared" si="33"/>
        <v/>
      </c>
      <c r="O56" s="92">
        <f t="shared" si="34"/>
        <v>0</v>
      </c>
      <c r="P56" s="92">
        <f t="shared" si="35"/>
        <v>0</v>
      </c>
      <c r="Q56" s="80">
        <v>5</v>
      </c>
      <c r="R56" s="80">
        <v>4</v>
      </c>
      <c r="S56" s="80" t="s">
        <v>61</v>
      </c>
      <c r="T56" s="5">
        <v>228</v>
      </c>
      <c r="U56" s="9"/>
      <c r="W56" s="87">
        <f t="shared" si="30"/>
        <v>228.8</v>
      </c>
      <c r="X56" s="88">
        <f t="shared" si="30"/>
        <v>69</v>
      </c>
      <c r="Y56" s="93">
        <f t="shared" si="31"/>
        <v>4</v>
      </c>
      <c r="Z56" s="91">
        <f t="shared" si="31"/>
        <v>0</v>
      </c>
      <c r="AA56" s="91">
        <f t="shared" si="36"/>
        <v>0</v>
      </c>
      <c r="AB56" s="91">
        <f t="shared" si="37"/>
        <v>0</v>
      </c>
      <c r="AC56" s="4" t="str">
        <f t="shared" si="37"/>
        <v/>
      </c>
      <c r="AD56" s="92">
        <f t="shared" si="37"/>
        <v>0</v>
      </c>
      <c r="AE56" s="80" t="str">
        <f t="shared" si="38"/>
        <v>계</v>
      </c>
      <c r="AF56" s="80" t="str">
        <f t="shared" si="39"/>
        <v>5/4</v>
      </c>
      <c r="AH56" s="20" t="str">
        <f t="shared" si="1"/>
        <v>사천동 남광하우스토리A단지</v>
      </c>
      <c r="AI56" s="88">
        <f t="shared" si="2"/>
        <v>69</v>
      </c>
      <c r="AJ56" s="80" t="str">
        <f t="shared" si="40"/>
        <v>A-</v>
      </c>
      <c r="AK56" s="80" t="s">
        <v>13</v>
      </c>
      <c r="AL56" s="80" t="s">
        <v>62</v>
      </c>
      <c r="AM56" s="80" t="s">
        <v>63</v>
      </c>
      <c r="AN56" s="80" t="str">
        <f t="shared" si="41"/>
        <v>C</v>
      </c>
      <c r="AO56" s="80" t="str">
        <f t="shared" si="42"/>
        <v/>
      </c>
      <c r="AP56" s="80" t="str">
        <f t="shared" si="43"/>
        <v/>
      </c>
      <c r="AQ56" s="80" t="str">
        <f t="shared" si="44"/>
        <v>O</v>
      </c>
      <c r="AR56" s="80" t="str">
        <f t="shared" si="45"/>
        <v>O</v>
      </c>
      <c r="AS56" s="80" t="s">
        <v>2</v>
      </c>
      <c r="AT56" s="80" t="str">
        <f t="shared" si="46"/>
        <v>X</v>
      </c>
      <c r="AU56" s="80" t="str">
        <f t="shared" si="47"/>
        <v>O</v>
      </c>
      <c r="AV56" s="80" t="str">
        <f t="shared" si="48"/>
        <v/>
      </c>
    </row>
    <row r="57" spans="1:48" s="37" customFormat="1" ht="12" x14ac:dyDescent="0.3">
      <c r="A57" s="75" t="s">
        <v>1129</v>
      </c>
      <c r="B57" s="76" t="s">
        <v>999</v>
      </c>
      <c r="C57" s="86">
        <v>461</v>
      </c>
      <c r="D57" s="87">
        <v>103.6</v>
      </c>
      <c r="E57" s="88">
        <v>31</v>
      </c>
      <c r="F57" s="87">
        <v>84.8</v>
      </c>
      <c r="G57" s="17">
        <v>26</v>
      </c>
      <c r="H57" s="89">
        <v>319</v>
      </c>
      <c r="I57" s="90"/>
      <c r="J57" s="90"/>
      <c r="K57" s="90"/>
      <c r="L57" s="90"/>
      <c r="M57" s="91">
        <f>I57-K57</f>
        <v>0</v>
      </c>
      <c r="N57" s="4" t="str">
        <f>IF(ISERROR(K57/I57),"",K57/I57)</f>
        <v/>
      </c>
      <c r="O57" s="92">
        <f>I57/E57</f>
        <v>0</v>
      </c>
      <c r="P57" s="92">
        <f>K57/E57</f>
        <v>0</v>
      </c>
      <c r="Q57" s="80">
        <v>3</v>
      </c>
      <c r="R57" s="80">
        <v>2</v>
      </c>
      <c r="S57" s="80" t="s">
        <v>61</v>
      </c>
      <c r="T57" s="5">
        <v>103</v>
      </c>
      <c r="U57" s="9"/>
      <c r="W57" s="87">
        <f t="shared" si="30"/>
        <v>103.6</v>
      </c>
      <c r="X57" s="88">
        <f t="shared" si="30"/>
        <v>31</v>
      </c>
      <c r="Y57" s="93">
        <f t="shared" si="31"/>
        <v>319</v>
      </c>
      <c r="Z57" s="91">
        <f t="shared" si="31"/>
        <v>0</v>
      </c>
      <c r="AA57" s="91">
        <f>K57</f>
        <v>0</v>
      </c>
      <c r="AB57" s="91">
        <f t="shared" si="37"/>
        <v>0</v>
      </c>
      <c r="AC57" s="4" t="str">
        <f t="shared" si="37"/>
        <v/>
      </c>
      <c r="AD57" s="92">
        <f t="shared" si="37"/>
        <v>0</v>
      </c>
      <c r="AE57" s="80" t="str">
        <f>S57</f>
        <v>계</v>
      </c>
      <c r="AF57" s="80" t="str">
        <f>Q57&amp;"/"&amp;R57</f>
        <v>3/2</v>
      </c>
      <c r="AH57" s="20" t="str">
        <f t="shared" si="1"/>
        <v>사천동 사천동아1차</v>
      </c>
      <c r="AI57" s="88">
        <f t="shared" si="2"/>
        <v>31</v>
      </c>
      <c r="AJ57" s="80" t="str">
        <f>IF(AI57="","",$AJ$2)</f>
        <v>A-</v>
      </c>
      <c r="AK57" s="80" t="s">
        <v>13</v>
      </c>
      <c r="AL57" s="80" t="s">
        <v>62</v>
      </c>
      <c r="AM57" s="80" t="s">
        <v>63</v>
      </c>
      <c r="AN57" s="80" t="str">
        <f>IF(AI57="","",$AN$2)</f>
        <v>C</v>
      </c>
      <c r="AO57" s="80" t="str">
        <f>IF(N57="","",IF(N57&gt;=$AO$1/100,"O","X"))</f>
        <v/>
      </c>
      <c r="AP57" s="80" t="str">
        <f>IF(I57="","",IF(I57&lt;=$AP$1,"O","X"))</f>
        <v/>
      </c>
      <c r="AQ57" s="80" t="str">
        <f>IF(O57="","",IF(O57&lt;=$AQ$1,"O","X"))</f>
        <v>O</v>
      </c>
      <c r="AR57" s="80" t="str">
        <f>IF(M57="","",IF(M57&lt;=$AR$1,"O","X"))</f>
        <v>O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/>
      </c>
    </row>
    <row r="58" spans="1:48" s="37" customFormat="1" ht="12" x14ac:dyDescent="0.3">
      <c r="A58" s="75" t="s">
        <v>1130</v>
      </c>
      <c r="B58" s="76" t="s">
        <v>999</v>
      </c>
      <c r="C58" s="86">
        <v>461</v>
      </c>
      <c r="D58" s="87">
        <v>156</v>
      </c>
      <c r="E58" s="88">
        <v>47</v>
      </c>
      <c r="F58" s="87">
        <v>134.1</v>
      </c>
      <c r="G58" s="17">
        <v>41</v>
      </c>
      <c r="H58" s="89">
        <v>57</v>
      </c>
      <c r="I58" s="90"/>
      <c r="J58" s="90"/>
      <c r="K58" s="90"/>
      <c r="L58" s="90"/>
      <c r="M58" s="91">
        <f>I58-K58</f>
        <v>0</v>
      </c>
      <c r="N58" s="4" t="str">
        <f>IF(ISERROR(K58/I58),"",K58/I58)</f>
        <v/>
      </c>
      <c r="O58" s="92">
        <f>I58/E58</f>
        <v>0</v>
      </c>
      <c r="P58" s="92">
        <f>K58/E58</f>
        <v>0</v>
      </c>
      <c r="Q58" s="80">
        <v>4</v>
      </c>
      <c r="R58" s="80">
        <v>2</v>
      </c>
      <c r="S58" s="80" t="s">
        <v>61</v>
      </c>
      <c r="T58" s="5">
        <v>156</v>
      </c>
      <c r="U58" s="9"/>
      <c r="W58" s="87">
        <f t="shared" si="30"/>
        <v>156</v>
      </c>
      <c r="X58" s="88">
        <f t="shared" si="30"/>
        <v>47</v>
      </c>
      <c r="Y58" s="93">
        <f t="shared" si="31"/>
        <v>57</v>
      </c>
      <c r="Z58" s="91">
        <f t="shared" si="31"/>
        <v>0</v>
      </c>
      <c r="AA58" s="91">
        <f>K58</f>
        <v>0</v>
      </c>
      <c r="AB58" s="91">
        <f t="shared" si="37"/>
        <v>0</v>
      </c>
      <c r="AC58" s="4" t="str">
        <f t="shared" si="37"/>
        <v/>
      </c>
      <c r="AD58" s="92">
        <f t="shared" si="37"/>
        <v>0</v>
      </c>
      <c r="AE58" s="80" t="str">
        <f>S58</f>
        <v>계</v>
      </c>
      <c r="AF58" s="80" t="str">
        <f>Q58&amp;"/"&amp;R58</f>
        <v>4/2</v>
      </c>
      <c r="AH58" s="20" t="str">
        <f t="shared" si="1"/>
        <v>사천동 사천동아1차</v>
      </c>
      <c r="AI58" s="88">
        <f t="shared" si="2"/>
        <v>47</v>
      </c>
      <c r="AJ58" s="80" t="str">
        <f>IF(AI58="","",$AJ$2)</f>
        <v>A-</v>
      </c>
      <c r="AK58" s="80" t="s">
        <v>13</v>
      </c>
      <c r="AL58" s="80" t="s">
        <v>62</v>
      </c>
      <c r="AM58" s="80" t="s">
        <v>63</v>
      </c>
      <c r="AN58" s="80" t="str">
        <f>IF(AI58="","",$AN$2)</f>
        <v>C</v>
      </c>
      <c r="AO58" s="80" t="str">
        <f>IF(N58="","",IF(N58&gt;=$AO$1/100,"O","X"))</f>
        <v/>
      </c>
      <c r="AP58" s="80" t="str">
        <f>IF(I58="","",IF(I58&lt;=$AP$1,"O","X"))</f>
        <v/>
      </c>
      <c r="AQ58" s="80" t="str">
        <f>IF(O58="","",IF(O58&lt;=$AQ$1,"O","X"))</f>
        <v>O</v>
      </c>
      <c r="AR58" s="80" t="str">
        <f>IF(M58="","",IF(M58&lt;=$AR$1,"O","X"))</f>
        <v>O</v>
      </c>
      <c r="AS58" s="80" t="s">
        <v>2</v>
      </c>
      <c r="AT58" s="80" t="str">
        <f>IF(OR(F58="",AI58=""),"",IF(AND((F58&lt;=85),(AI58&gt;=15)),"O","X"))</f>
        <v>X</v>
      </c>
      <c r="AU58" s="80" t="str">
        <f>IF(C58="","",IF(C58&gt;=$AU$1,"O","X"))</f>
        <v>O</v>
      </c>
      <c r="AV58" s="80" t="str">
        <f>IF(AO58="","",IF(AND(AO58="O",AP58="O",AR58="O",AT58="O",AU58="O"),"후보","X"))</f>
        <v/>
      </c>
    </row>
    <row r="59" spans="1:48" s="37" customFormat="1" ht="12" x14ac:dyDescent="0.3">
      <c r="A59" s="75" t="s">
        <v>1131</v>
      </c>
      <c r="B59" s="76" t="s">
        <v>1132</v>
      </c>
      <c r="C59" s="86">
        <v>461</v>
      </c>
      <c r="D59" s="87">
        <v>188.8</v>
      </c>
      <c r="E59" s="88">
        <v>57</v>
      </c>
      <c r="F59" s="87">
        <v>164.4</v>
      </c>
      <c r="G59" s="17">
        <v>50</v>
      </c>
      <c r="H59" s="89">
        <v>1</v>
      </c>
      <c r="I59" s="90"/>
      <c r="J59" s="90"/>
      <c r="K59" s="90"/>
      <c r="L59" s="90"/>
      <c r="M59" s="91">
        <f>I59-K59</f>
        <v>0</v>
      </c>
      <c r="N59" s="4" t="str">
        <f>IF(ISERROR(K59/I59),"",K59/I59)</f>
        <v/>
      </c>
      <c r="O59" s="92">
        <f>I59/E59</f>
        <v>0</v>
      </c>
      <c r="P59" s="92">
        <f>K59/E59</f>
        <v>0</v>
      </c>
      <c r="Q59" s="80">
        <v>4</v>
      </c>
      <c r="R59" s="80">
        <v>2</v>
      </c>
      <c r="S59" s="80" t="s">
        <v>61</v>
      </c>
      <c r="T59" s="5" t="s">
        <v>366</v>
      </c>
      <c r="U59" s="9"/>
      <c r="W59" s="87">
        <f t="shared" si="30"/>
        <v>188.8</v>
      </c>
      <c r="X59" s="88">
        <f t="shared" si="30"/>
        <v>57</v>
      </c>
      <c r="Y59" s="93">
        <f t="shared" si="31"/>
        <v>1</v>
      </c>
      <c r="Z59" s="91">
        <f t="shared" si="31"/>
        <v>0</v>
      </c>
      <c r="AA59" s="91">
        <f>K59</f>
        <v>0</v>
      </c>
      <c r="AB59" s="91">
        <f t="shared" si="37"/>
        <v>0</v>
      </c>
      <c r="AC59" s="4" t="str">
        <f t="shared" si="37"/>
        <v/>
      </c>
      <c r="AD59" s="92">
        <f t="shared" si="37"/>
        <v>0</v>
      </c>
      <c r="AE59" s="80" t="str">
        <f>S59</f>
        <v>계</v>
      </c>
      <c r="AF59" s="80" t="str">
        <f>Q59&amp;"/"&amp;R59</f>
        <v>4/2</v>
      </c>
      <c r="AH59" s="20" t="str">
        <f t="shared" si="1"/>
        <v>사천동 사천동아1차</v>
      </c>
      <c r="AI59" s="88">
        <f t="shared" si="2"/>
        <v>57</v>
      </c>
      <c r="AJ59" s="80" t="str">
        <f>IF(AI59="","",$AJ$2)</f>
        <v>A-</v>
      </c>
      <c r="AK59" s="80" t="s">
        <v>13</v>
      </c>
      <c r="AL59" s="80" t="s">
        <v>62</v>
      </c>
      <c r="AM59" s="80" t="s">
        <v>63</v>
      </c>
      <c r="AN59" s="80" t="str">
        <f>IF(AI59="","",$AN$2)</f>
        <v>C</v>
      </c>
      <c r="AO59" s="80" t="str">
        <f>IF(N59="","",IF(N59&gt;=$AO$1/100,"O","X"))</f>
        <v/>
      </c>
      <c r="AP59" s="80" t="str">
        <f>IF(I59="","",IF(I59&lt;=$AP$1,"O","X"))</f>
        <v/>
      </c>
      <c r="AQ59" s="80" t="str">
        <f>IF(O59="","",IF(O59&lt;=$AQ$1,"O","X"))</f>
        <v>O</v>
      </c>
      <c r="AR59" s="80" t="str">
        <f>IF(M59="","",IF(M59&lt;=$AR$1,"O","X"))</f>
        <v>O</v>
      </c>
      <c r="AS59" s="80" t="s">
        <v>2</v>
      </c>
      <c r="AT59" s="80" t="str">
        <f>IF(OR(F59="",AI59=""),"",IF(AND((F59&lt;=85),(AI59&gt;=15)),"O","X"))</f>
        <v>X</v>
      </c>
      <c r="AU59" s="80" t="str">
        <f>IF(C59="","",IF(C59&gt;=$AU$1,"O","X"))</f>
        <v>O</v>
      </c>
      <c r="AV59" s="80" t="str">
        <f>IF(AO59="","",IF(AND(AO59="O",AP59="O",AR59="O",AT59="O",AU59="O"),"후보","X"))</f>
        <v/>
      </c>
    </row>
    <row r="60" spans="1:48" s="37" customFormat="1" ht="12" x14ac:dyDescent="0.3">
      <c r="A60" s="75" t="s">
        <v>1129</v>
      </c>
      <c r="B60" s="76" t="s">
        <v>999</v>
      </c>
      <c r="C60" s="86">
        <v>461</v>
      </c>
      <c r="D60" s="87">
        <v>189</v>
      </c>
      <c r="E60" s="88">
        <v>57</v>
      </c>
      <c r="F60" s="87">
        <v>164.6</v>
      </c>
      <c r="G60" s="17">
        <v>50</v>
      </c>
      <c r="H60" s="89">
        <v>84</v>
      </c>
      <c r="I60" s="90"/>
      <c r="J60" s="90"/>
      <c r="K60" s="90"/>
      <c r="L60" s="90"/>
      <c r="M60" s="91">
        <f>I60-K60</f>
        <v>0</v>
      </c>
      <c r="N60" s="4" t="str">
        <f>IF(ISERROR(K60/I60),"",K60/I60)</f>
        <v/>
      </c>
      <c r="O60" s="92">
        <f>I60/E60</f>
        <v>0</v>
      </c>
      <c r="P60" s="92">
        <f>K60/E60</f>
        <v>0</v>
      </c>
      <c r="Q60" s="80">
        <v>4</v>
      </c>
      <c r="R60" s="80">
        <v>2</v>
      </c>
      <c r="S60" s="80" t="s">
        <v>61</v>
      </c>
      <c r="T60" s="5" t="s">
        <v>117</v>
      </c>
      <c r="U60" s="9"/>
      <c r="W60" s="87">
        <f t="shared" si="30"/>
        <v>189</v>
      </c>
      <c r="X60" s="88">
        <f t="shared" si="30"/>
        <v>57</v>
      </c>
      <c r="Y60" s="93">
        <f t="shared" si="31"/>
        <v>84</v>
      </c>
      <c r="Z60" s="91">
        <f t="shared" si="31"/>
        <v>0</v>
      </c>
      <c r="AA60" s="91">
        <f>K60</f>
        <v>0</v>
      </c>
      <c r="AB60" s="91">
        <f t="shared" si="37"/>
        <v>0</v>
      </c>
      <c r="AC60" s="4" t="str">
        <f t="shared" si="37"/>
        <v/>
      </c>
      <c r="AD60" s="92">
        <f t="shared" si="37"/>
        <v>0</v>
      </c>
      <c r="AE60" s="80" t="str">
        <f>S60</f>
        <v>계</v>
      </c>
      <c r="AF60" s="80" t="str">
        <f>Q60&amp;"/"&amp;R60</f>
        <v>4/2</v>
      </c>
      <c r="AH60" s="20" t="str">
        <f t="shared" si="1"/>
        <v>사천동 사천동아1차</v>
      </c>
      <c r="AI60" s="88">
        <f t="shared" si="2"/>
        <v>57</v>
      </c>
      <c r="AJ60" s="80" t="str">
        <f>IF(AI60="","",$AJ$2)</f>
        <v>A-</v>
      </c>
      <c r="AK60" s="80" t="s">
        <v>13</v>
      </c>
      <c r="AL60" s="80" t="s">
        <v>62</v>
      </c>
      <c r="AM60" s="80" t="s">
        <v>63</v>
      </c>
      <c r="AN60" s="80" t="str">
        <f>IF(AI60="","",$AN$2)</f>
        <v>C</v>
      </c>
      <c r="AO60" s="80" t="str">
        <f>IF(N60="","",IF(N60&gt;=$AO$1/100,"O","X"))</f>
        <v/>
      </c>
      <c r="AP60" s="80" t="str">
        <f>IF(I60="","",IF(I60&lt;=$AP$1,"O","X"))</f>
        <v/>
      </c>
      <c r="AQ60" s="80" t="str">
        <f>IF(O60="","",IF(O60&lt;=$AQ$1,"O","X"))</f>
        <v>O</v>
      </c>
      <c r="AR60" s="80" t="str">
        <f>IF(M60="","",IF(M60&lt;=$AR$1,"O","X"))</f>
        <v>O</v>
      </c>
      <c r="AS60" s="80" t="s">
        <v>2</v>
      </c>
      <c r="AT60" s="80" t="str">
        <f>IF(OR(F60="",AI60=""),"",IF(AND((F60&lt;=85),(AI60&gt;=15)),"O","X"))</f>
        <v>X</v>
      </c>
      <c r="AU60" s="80" t="str">
        <f>IF(C60="","",IF(C60&gt;=$AU$1,"O","X"))</f>
        <v>O</v>
      </c>
      <c r="AV60" s="80" t="str">
        <f>IF(AO60="","",IF(AND(AO60="O",AP60="O",AR60="O",AT60="O",AU60="O"),"후보","X"))</f>
        <v/>
      </c>
    </row>
    <row r="61" spans="1:48" s="37" customFormat="1" ht="12" x14ac:dyDescent="0.3">
      <c r="A61" s="75" t="s">
        <v>1133</v>
      </c>
      <c r="B61" s="76" t="s">
        <v>1001</v>
      </c>
      <c r="C61" s="86">
        <v>411</v>
      </c>
      <c r="D61" s="87">
        <v>46.8</v>
      </c>
      <c r="E61" s="88">
        <v>14</v>
      </c>
      <c r="F61" s="87">
        <v>33.299999999999997</v>
      </c>
      <c r="G61" s="17">
        <v>10</v>
      </c>
      <c r="H61" s="89">
        <v>355</v>
      </c>
      <c r="I61" s="90">
        <v>4500</v>
      </c>
      <c r="J61" s="90" t="s">
        <v>67</v>
      </c>
      <c r="K61" s="90"/>
      <c r="L61" s="90"/>
      <c r="M61" s="91">
        <f>I61-K61</f>
        <v>4500</v>
      </c>
      <c r="N61" s="4">
        <f>IF(ISERROR(K61/I61),"",K61/I61)</f>
        <v>0</v>
      </c>
      <c r="O61" s="92">
        <f>I61/E61</f>
        <v>321.42857142857144</v>
      </c>
      <c r="P61" s="92">
        <f>K61/E61</f>
        <v>0</v>
      </c>
      <c r="Q61" s="80">
        <v>2</v>
      </c>
      <c r="R61" s="80">
        <v>1</v>
      </c>
      <c r="S61" s="80" t="s">
        <v>85</v>
      </c>
      <c r="T61" s="5">
        <v>46</v>
      </c>
      <c r="U61" s="9"/>
      <c r="W61" s="87">
        <f>D61</f>
        <v>46.8</v>
      </c>
      <c r="X61" s="88">
        <f>E61</f>
        <v>14</v>
      </c>
      <c r="Y61" s="93">
        <f>H61</f>
        <v>355</v>
      </c>
      <c r="Z61" s="91">
        <f>I61</f>
        <v>4500</v>
      </c>
      <c r="AA61" s="91">
        <f>K61</f>
        <v>0</v>
      </c>
      <c r="AB61" s="91">
        <f t="shared" si="37"/>
        <v>4500</v>
      </c>
      <c r="AC61" s="4">
        <f t="shared" si="37"/>
        <v>0</v>
      </c>
      <c r="AD61" s="92">
        <f t="shared" si="37"/>
        <v>321.42857142857144</v>
      </c>
      <c r="AE61" s="80" t="str">
        <f>S61</f>
        <v>복</v>
      </c>
      <c r="AF61" s="80" t="str">
        <f>Q61&amp;"/"&amp;R61</f>
        <v>2/1</v>
      </c>
      <c r="AH61" s="20" t="str">
        <f t="shared" si="1"/>
        <v>사천동 덕성그린</v>
      </c>
      <c r="AI61" s="88">
        <f t="shared" si="2"/>
        <v>14</v>
      </c>
      <c r="AJ61" s="80" t="str">
        <f>IF(AI61="","",$AJ$2)</f>
        <v>A-</v>
      </c>
      <c r="AK61" s="80" t="s">
        <v>13</v>
      </c>
      <c r="AL61" s="80" t="s">
        <v>62</v>
      </c>
      <c r="AM61" s="80" t="s">
        <v>63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O</v>
      </c>
      <c r="AQ61" s="80" t="str">
        <f>IF(O61="","",IF(O61&lt;=$AQ$1,"O","X"))</f>
        <v>O</v>
      </c>
      <c r="AR61" s="80" t="str">
        <f>IF(M61="","",IF(M61&lt;=$AR$1,"O","X"))</f>
        <v>O</v>
      </c>
      <c r="AS61" s="80" t="s">
        <v>2</v>
      </c>
      <c r="AT61" s="80" t="str">
        <f>IF(OR(F61="",AI61=""),"",IF(AND((F61&lt;=85),(AI61&gt;=15)),"O","X"))</f>
        <v>X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s="37" customFormat="1" ht="12" x14ac:dyDescent="0.3">
      <c r="A62" s="75" t="s">
        <v>1134</v>
      </c>
      <c r="B62" s="76" t="s">
        <v>1001</v>
      </c>
      <c r="C62" s="86">
        <v>411</v>
      </c>
      <c r="D62" s="87">
        <v>50.4</v>
      </c>
      <c r="E62" s="88">
        <v>15</v>
      </c>
      <c r="F62" s="87">
        <v>35.9</v>
      </c>
      <c r="G62" s="17">
        <v>11</v>
      </c>
      <c r="H62" s="89">
        <v>56</v>
      </c>
      <c r="I62" s="90">
        <v>4700</v>
      </c>
      <c r="J62" s="90" t="s">
        <v>80</v>
      </c>
      <c r="K62" s="90"/>
      <c r="L62" s="90"/>
      <c r="M62" s="91">
        <f>I62-K62</f>
        <v>4700</v>
      </c>
      <c r="N62" s="4">
        <f>IF(ISERROR(K62/I62),"",K62/I62)</f>
        <v>0</v>
      </c>
      <c r="O62" s="92">
        <f>I62/E62</f>
        <v>313.33333333333331</v>
      </c>
      <c r="P62" s="92">
        <f>K62/E62</f>
        <v>0</v>
      </c>
      <c r="Q62" s="80">
        <v>2</v>
      </c>
      <c r="R62" s="80">
        <v>1</v>
      </c>
      <c r="S62" s="80" t="s">
        <v>85</v>
      </c>
      <c r="T62" s="5">
        <v>50</v>
      </c>
      <c r="U62" s="9"/>
      <c r="W62" s="87">
        <f>D62</f>
        <v>50.4</v>
      </c>
      <c r="X62" s="88">
        <f>E62</f>
        <v>15</v>
      </c>
      <c r="Y62" s="93">
        <f>H62</f>
        <v>56</v>
      </c>
      <c r="Z62" s="91">
        <f>I62</f>
        <v>4700</v>
      </c>
      <c r="AA62" s="91">
        <f>K62</f>
        <v>0</v>
      </c>
      <c r="AB62" s="91">
        <f t="shared" si="37"/>
        <v>4700</v>
      </c>
      <c r="AC62" s="4">
        <f t="shared" si="37"/>
        <v>0</v>
      </c>
      <c r="AD62" s="92">
        <f t="shared" si="37"/>
        <v>313.33333333333331</v>
      </c>
      <c r="AE62" s="80" t="str">
        <f>S62</f>
        <v>복</v>
      </c>
      <c r="AF62" s="80" t="str">
        <f>Q62&amp;"/"&amp;R62</f>
        <v>2/1</v>
      </c>
      <c r="AH62" s="20" t="str">
        <f t="shared" si="1"/>
        <v>사천동 덕성그린</v>
      </c>
      <c r="AI62" s="88">
        <f t="shared" si="2"/>
        <v>15</v>
      </c>
      <c r="AJ62" s="80" t="str">
        <f>IF(AI62="","",$AJ$2)</f>
        <v>A-</v>
      </c>
      <c r="AK62" s="80" t="s">
        <v>13</v>
      </c>
      <c r="AL62" s="80" t="s">
        <v>62</v>
      </c>
      <c r="AM62" s="80" t="s">
        <v>63</v>
      </c>
      <c r="AN62" s="80" t="str">
        <f>IF(AI62="","",$AN$2)</f>
        <v>C</v>
      </c>
      <c r="AO62" s="80" t="str">
        <f>IF(N62="","",IF(N62&gt;=$AO$1/100,"O","X"))</f>
        <v>X</v>
      </c>
      <c r="AP62" s="80" t="str">
        <f>IF(I62="","",IF(I62&lt;=$AP$1,"O","X"))</f>
        <v>O</v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O</v>
      </c>
      <c r="AV62" s="80" t="str">
        <f>IF(AO62="","",IF(AND(AO62="O",AP62="O",AR62="O",AT62="O",AU62="O"),"후보","X"))</f>
        <v>X</v>
      </c>
    </row>
    <row r="63" spans="1:48" s="37" customFormat="1" ht="12" x14ac:dyDescent="0.3">
      <c r="A63" s="75" t="s">
        <v>1003</v>
      </c>
      <c r="B63" s="76" t="s">
        <v>1135</v>
      </c>
      <c r="C63" s="86">
        <v>398</v>
      </c>
      <c r="D63" s="87">
        <v>53.4</v>
      </c>
      <c r="E63" s="88">
        <v>16</v>
      </c>
      <c r="F63" s="87">
        <v>43.4</v>
      </c>
      <c r="G63" s="17">
        <v>13</v>
      </c>
      <c r="H63" s="89">
        <v>8</v>
      </c>
      <c r="I63" s="90"/>
      <c r="J63" s="90"/>
      <c r="K63" s="90"/>
      <c r="L63" s="90"/>
      <c r="M63" s="91">
        <f>I63-K63</f>
        <v>0</v>
      </c>
      <c r="N63" s="4" t="str">
        <f>IF(ISERROR(K63/I63),"",K63/I63)</f>
        <v/>
      </c>
      <c r="O63" s="92">
        <f>I63/E63</f>
        <v>0</v>
      </c>
      <c r="P63" s="92">
        <f>K63/E63</f>
        <v>0</v>
      </c>
      <c r="Q63" s="80">
        <v>2</v>
      </c>
      <c r="R63" s="80">
        <v>1</v>
      </c>
      <c r="S63" s="80" t="s">
        <v>61</v>
      </c>
      <c r="T63" s="5">
        <v>53</v>
      </c>
      <c r="U63" s="9"/>
      <c r="W63" s="87">
        <f t="shared" ref="W63:X76" si="49">D63</f>
        <v>53.4</v>
      </c>
      <c r="X63" s="88">
        <f t="shared" si="49"/>
        <v>16</v>
      </c>
      <c r="Y63" s="93">
        <f t="shared" ref="Y63:Z76" si="50">H63</f>
        <v>8</v>
      </c>
      <c r="Z63" s="91">
        <f t="shared" si="50"/>
        <v>0</v>
      </c>
      <c r="AA63" s="91">
        <f>K63</f>
        <v>0</v>
      </c>
      <c r="AB63" s="91">
        <f t="shared" si="37"/>
        <v>0</v>
      </c>
      <c r="AC63" s="4" t="str">
        <f t="shared" si="37"/>
        <v/>
      </c>
      <c r="AD63" s="92">
        <f t="shared" si="37"/>
        <v>0</v>
      </c>
      <c r="AE63" s="80" t="str">
        <f>S63</f>
        <v>계</v>
      </c>
      <c r="AF63" s="80" t="str">
        <f>Q63&amp;"/"&amp;R63</f>
        <v>2/1</v>
      </c>
      <c r="AH63" s="20" t="str">
        <f t="shared" si="1"/>
        <v>사천동 사천동아2차</v>
      </c>
      <c r="AI63" s="88">
        <f t="shared" si="2"/>
        <v>16</v>
      </c>
      <c r="AJ63" s="80" t="str">
        <f>IF(AI63="","",$AJ$2)</f>
        <v>A-</v>
      </c>
      <c r="AK63" s="80" t="s">
        <v>13</v>
      </c>
      <c r="AL63" s="80" t="s">
        <v>62</v>
      </c>
      <c r="AM63" s="80" t="s">
        <v>63</v>
      </c>
      <c r="AN63" s="80" t="str">
        <f>IF(AI63="","",$AN$2)</f>
        <v>C</v>
      </c>
      <c r="AO63" s="80" t="str">
        <f>IF(N63="","",IF(N63&gt;=$AO$1/100,"O","X"))</f>
        <v/>
      </c>
      <c r="AP63" s="80" t="str">
        <f>IF(I63="","",IF(I63&lt;=$AP$1,"O","X"))</f>
        <v/>
      </c>
      <c r="AQ63" s="80" t="str">
        <f>IF(O63="","",IF(O63&lt;=$AQ$1,"O","X"))</f>
        <v>O</v>
      </c>
      <c r="AR63" s="80" t="str">
        <f>IF(M63="","",IF(M63&lt;=$AR$1,"O","X"))</f>
        <v>O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/>
      </c>
    </row>
    <row r="64" spans="1:48" s="37" customFormat="1" ht="12" x14ac:dyDescent="0.3">
      <c r="A64" s="75" t="s">
        <v>1003</v>
      </c>
      <c r="B64" s="76" t="s">
        <v>1135</v>
      </c>
      <c r="C64" s="86">
        <v>398</v>
      </c>
      <c r="D64" s="87">
        <v>61.9</v>
      </c>
      <c r="E64" s="88">
        <v>19</v>
      </c>
      <c r="F64" s="87">
        <v>51.3</v>
      </c>
      <c r="G64" s="17">
        <v>16</v>
      </c>
      <c r="H64" s="89">
        <v>20</v>
      </c>
      <c r="I64" s="90">
        <v>8000</v>
      </c>
      <c r="J64" s="90" t="s">
        <v>59</v>
      </c>
      <c r="K64" s="90">
        <v>6000</v>
      </c>
      <c r="L64" s="90" t="s">
        <v>59</v>
      </c>
      <c r="M64" s="91">
        <f>I64-K64</f>
        <v>2000</v>
      </c>
      <c r="N64" s="4">
        <f>IF(ISERROR(K64/I64),"",K64/I64)</f>
        <v>0.75</v>
      </c>
      <c r="O64" s="92">
        <f>I64/E64</f>
        <v>421.05263157894734</v>
      </c>
      <c r="P64" s="92">
        <f>K64/E64</f>
        <v>315.78947368421052</v>
      </c>
      <c r="Q64" s="80">
        <v>2</v>
      </c>
      <c r="R64" s="80">
        <v>1</v>
      </c>
      <c r="S64" s="80" t="s">
        <v>61</v>
      </c>
      <c r="T64" s="5">
        <v>61</v>
      </c>
      <c r="U64" s="9"/>
      <c r="W64" s="87">
        <f t="shared" si="49"/>
        <v>61.9</v>
      </c>
      <c r="X64" s="88">
        <f t="shared" si="49"/>
        <v>19</v>
      </c>
      <c r="Y64" s="93">
        <f t="shared" si="50"/>
        <v>20</v>
      </c>
      <c r="Z64" s="91">
        <f t="shared" si="50"/>
        <v>8000</v>
      </c>
      <c r="AA64" s="91">
        <f>K64</f>
        <v>6000</v>
      </c>
      <c r="AB64" s="91">
        <f t="shared" si="37"/>
        <v>2000</v>
      </c>
      <c r="AC64" s="4">
        <f t="shared" si="37"/>
        <v>0.75</v>
      </c>
      <c r="AD64" s="92">
        <f t="shared" si="37"/>
        <v>421.05263157894734</v>
      </c>
      <c r="AE64" s="80" t="str">
        <f>S64</f>
        <v>계</v>
      </c>
      <c r="AF64" s="80" t="str">
        <f>Q64&amp;"/"&amp;R64</f>
        <v>2/1</v>
      </c>
      <c r="AH64" s="20" t="str">
        <f t="shared" si="1"/>
        <v>사천동 사천동아2차</v>
      </c>
      <c r="AI64" s="88">
        <f t="shared" si="2"/>
        <v>19</v>
      </c>
      <c r="AJ64" s="80" t="str">
        <f>IF(AI64="","",$AJ$2)</f>
        <v>A-</v>
      </c>
      <c r="AK64" s="80" t="s">
        <v>13</v>
      </c>
      <c r="AL64" s="80" t="s">
        <v>62</v>
      </c>
      <c r="AM64" s="80" t="s">
        <v>63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O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48" s="37" customFormat="1" ht="12" x14ac:dyDescent="0.3">
      <c r="A65" s="75" t="s">
        <v>1003</v>
      </c>
      <c r="B65" s="76" t="s">
        <v>1135</v>
      </c>
      <c r="C65" s="86">
        <v>398</v>
      </c>
      <c r="D65" s="87">
        <v>76.599999999999994</v>
      </c>
      <c r="E65" s="88">
        <v>23</v>
      </c>
      <c r="F65" s="87">
        <v>60</v>
      </c>
      <c r="G65" s="17">
        <v>18</v>
      </c>
      <c r="H65" s="89">
        <v>131</v>
      </c>
      <c r="I65" s="90"/>
      <c r="J65" s="90"/>
      <c r="K65" s="90"/>
      <c r="L65" s="90"/>
      <c r="M65" s="91">
        <f>I65-K65</f>
        <v>0</v>
      </c>
      <c r="N65" s="4" t="str">
        <f>IF(ISERROR(K65/I65),"",K65/I65)</f>
        <v/>
      </c>
      <c r="O65" s="92">
        <f>I65/E65</f>
        <v>0</v>
      </c>
      <c r="P65" s="92">
        <f>K65/E65</f>
        <v>0</v>
      </c>
      <c r="Q65" s="80">
        <v>3</v>
      </c>
      <c r="R65" s="80">
        <v>1</v>
      </c>
      <c r="S65" s="80" t="s">
        <v>61</v>
      </c>
      <c r="T65" s="5">
        <v>76</v>
      </c>
      <c r="U65" s="9"/>
      <c r="W65" s="87">
        <f t="shared" si="49"/>
        <v>76.599999999999994</v>
      </c>
      <c r="X65" s="88">
        <f t="shared" si="49"/>
        <v>23</v>
      </c>
      <c r="Y65" s="93">
        <f t="shared" si="50"/>
        <v>131</v>
      </c>
      <c r="Z65" s="91">
        <f t="shared" si="50"/>
        <v>0</v>
      </c>
      <c r="AA65" s="91">
        <f>K65</f>
        <v>0</v>
      </c>
      <c r="AB65" s="91">
        <f t="shared" si="37"/>
        <v>0</v>
      </c>
      <c r="AC65" s="4" t="str">
        <f t="shared" si="37"/>
        <v/>
      </c>
      <c r="AD65" s="92">
        <f t="shared" si="37"/>
        <v>0</v>
      </c>
      <c r="AE65" s="80" t="str">
        <f>S65</f>
        <v>계</v>
      </c>
      <c r="AF65" s="80" t="str">
        <f>Q65&amp;"/"&amp;R65</f>
        <v>3/1</v>
      </c>
      <c r="AH65" s="20" t="str">
        <f t="shared" si="1"/>
        <v>사천동 사천동아2차</v>
      </c>
      <c r="AI65" s="88">
        <f t="shared" si="2"/>
        <v>23</v>
      </c>
      <c r="AJ65" s="80" t="str">
        <f>IF(AI65="","",$AJ$2)</f>
        <v>A-</v>
      </c>
      <c r="AK65" s="80" t="s">
        <v>13</v>
      </c>
      <c r="AL65" s="80" t="s">
        <v>62</v>
      </c>
      <c r="AM65" s="80" t="s">
        <v>63</v>
      </c>
      <c r="AN65" s="80" t="str">
        <f>IF(AI65="","",$AN$2)</f>
        <v>C</v>
      </c>
      <c r="AO65" s="80" t="str">
        <f>IF(N65="","",IF(N65&gt;=$AO$1/100,"O","X"))</f>
        <v/>
      </c>
      <c r="AP65" s="80" t="str">
        <f>IF(I65="","",IF(I65&lt;=$AP$1,"O","X"))</f>
        <v/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/>
      </c>
    </row>
    <row r="66" spans="1:48" s="37" customFormat="1" ht="12" x14ac:dyDescent="0.3">
      <c r="A66" s="75" t="s">
        <v>1003</v>
      </c>
      <c r="B66" s="76" t="s">
        <v>1135</v>
      </c>
      <c r="C66" s="86">
        <v>398</v>
      </c>
      <c r="D66" s="87">
        <v>104</v>
      </c>
      <c r="E66" s="88">
        <v>31</v>
      </c>
      <c r="F66" s="87">
        <v>85</v>
      </c>
      <c r="G66" s="17">
        <v>26</v>
      </c>
      <c r="H66" s="89">
        <v>239</v>
      </c>
      <c r="I66" s="90">
        <v>18200</v>
      </c>
      <c r="J66" s="90" t="s">
        <v>60</v>
      </c>
      <c r="K66" s="90"/>
      <c r="L66" s="90"/>
      <c r="M66" s="91">
        <f>I66-K66</f>
        <v>18200</v>
      </c>
      <c r="N66" s="4">
        <f>IF(ISERROR(K66/I66),"",K66/I66)</f>
        <v>0</v>
      </c>
      <c r="O66" s="92">
        <f>I66/E66</f>
        <v>587.09677419354841</v>
      </c>
      <c r="P66" s="92">
        <f>K66/E66</f>
        <v>0</v>
      </c>
      <c r="Q66" s="80">
        <v>3</v>
      </c>
      <c r="R66" s="80">
        <v>2</v>
      </c>
      <c r="S66" s="80" t="s">
        <v>61</v>
      </c>
      <c r="T66" s="5">
        <v>104</v>
      </c>
      <c r="U66" s="9"/>
      <c r="W66" s="87">
        <f t="shared" si="49"/>
        <v>104</v>
      </c>
      <c r="X66" s="88">
        <f t="shared" si="49"/>
        <v>31</v>
      </c>
      <c r="Y66" s="93">
        <f t="shared" si="50"/>
        <v>239</v>
      </c>
      <c r="Z66" s="91">
        <f t="shared" si="50"/>
        <v>18200</v>
      </c>
      <c r="AA66" s="91">
        <f>K66</f>
        <v>0</v>
      </c>
      <c r="AB66" s="91">
        <f t="shared" si="37"/>
        <v>18200</v>
      </c>
      <c r="AC66" s="4">
        <f t="shared" si="37"/>
        <v>0</v>
      </c>
      <c r="AD66" s="92">
        <f t="shared" si="37"/>
        <v>587.09677419354841</v>
      </c>
      <c r="AE66" s="80" t="str">
        <f>S66</f>
        <v>계</v>
      </c>
      <c r="AF66" s="80" t="str">
        <f>Q66&amp;"/"&amp;R66</f>
        <v>3/2</v>
      </c>
      <c r="AH66" s="20" t="str">
        <f t="shared" si="1"/>
        <v>사천동 사천동아2차</v>
      </c>
      <c r="AI66" s="88">
        <f t="shared" si="2"/>
        <v>31</v>
      </c>
      <c r="AJ66" s="80" t="str">
        <f>IF(AI66="","",$AJ$2)</f>
        <v>A-</v>
      </c>
      <c r="AK66" s="80" t="s">
        <v>13</v>
      </c>
      <c r="AL66" s="80" t="s">
        <v>62</v>
      </c>
      <c r="AM66" s="80" t="s">
        <v>63</v>
      </c>
      <c r="AN66" s="80" t="str">
        <f>IF(AI66="","",$AN$2)</f>
        <v>C</v>
      </c>
      <c r="AO66" s="80" t="str">
        <f>IF(N66="","",IF(N66&gt;=$AO$1/100,"O","X"))</f>
        <v>X</v>
      </c>
      <c r="AP66" s="80" t="str">
        <f>IF(I66="","",IF(I66&lt;=$AP$1,"O","X"))</f>
        <v>O</v>
      </c>
      <c r="AQ66" s="80" t="str">
        <f>IF(O66="","",IF(O66&lt;=$AQ$1,"O","X"))</f>
        <v>O</v>
      </c>
      <c r="AR66" s="80" t="str">
        <f>IF(M66="","",IF(M66&lt;=$AR$1,"O","X"))</f>
        <v>X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>X</v>
      </c>
    </row>
    <row r="67" spans="1:48" s="37" customFormat="1" ht="12" x14ac:dyDescent="0.3">
      <c r="A67" s="75" t="s">
        <v>1006</v>
      </c>
      <c r="B67" s="76" t="s">
        <v>1009</v>
      </c>
      <c r="C67" s="86">
        <v>729</v>
      </c>
      <c r="D67" s="87">
        <v>84.8</v>
      </c>
      <c r="E67" s="88">
        <v>26</v>
      </c>
      <c r="F67" s="87">
        <v>60</v>
      </c>
      <c r="G67" s="17">
        <v>18</v>
      </c>
      <c r="H67" s="89">
        <v>204</v>
      </c>
      <c r="I67" s="90">
        <v>40000</v>
      </c>
      <c r="J67" s="90" t="s">
        <v>909</v>
      </c>
      <c r="K67" s="90">
        <v>29000</v>
      </c>
      <c r="L67" s="90" t="s">
        <v>89</v>
      </c>
      <c r="M67" s="91">
        <f>I67-K67</f>
        <v>11000</v>
      </c>
      <c r="N67" s="4">
        <f>IF(ISERROR(K67/I67),"",K67/I67)</f>
        <v>0.72499999999999998</v>
      </c>
      <c r="O67" s="92">
        <f>I67/E67</f>
        <v>1538.4615384615386</v>
      </c>
      <c r="P67" s="92">
        <f>K67/E67</f>
        <v>1115.3846153846155</v>
      </c>
      <c r="Q67" s="80">
        <v>3</v>
      </c>
      <c r="R67" s="80">
        <v>2</v>
      </c>
      <c r="S67" s="80" t="s">
        <v>61</v>
      </c>
      <c r="T67" s="5">
        <v>84</v>
      </c>
      <c r="U67" s="9"/>
      <c r="W67" s="87">
        <f t="shared" si="49"/>
        <v>84.8</v>
      </c>
      <c r="X67" s="88">
        <f t="shared" si="49"/>
        <v>26</v>
      </c>
      <c r="Y67" s="93">
        <f t="shared" si="50"/>
        <v>204</v>
      </c>
      <c r="Z67" s="91">
        <f t="shared" si="50"/>
        <v>40000</v>
      </c>
      <c r="AA67" s="91">
        <f>K67</f>
        <v>29000</v>
      </c>
      <c r="AB67" s="91">
        <f t="shared" ref="AB67:AD76" si="51">M67</f>
        <v>11000</v>
      </c>
      <c r="AC67" s="4">
        <f t="shared" si="51"/>
        <v>0.72499999999999998</v>
      </c>
      <c r="AD67" s="92">
        <f t="shared" si="51"/>
        <v>1538.4615384615386</v>
      </c>
      <c r="AE67" s="80" t="str">
        <f>S67</f>
        <v>계</v>
      </c>
      <c r="AF67" s="80" t="str">
        <f>Q67&amp;"/"&amp;R67</f>
        <v>3/2</v>
      </c>
      <c r="AH67" s="20" t="str">
        <f t="shared" si="1"/>
        <v>사천동 청주사천푸르지오</v>
      </c>
      <c r="AI67" s="88">
        <f t="shared" si="2"/>
        <v>26</v>
      </c>
      <c r="AJ67" s="80" t="str">
        <f>IF(AI67="","",$AJ$2)</f>
        <v>A-</v>
      </c>
      <c r="AK67" s="80" t="s">
        <v>13</v>
      </c>
      <c r="AL67" s="80" t="s">
        <v>62</v>
      </c>
      <c r="AM67" s="80" t="s">
        <v>63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O</v>
      </c>
      <c r="AQ67" s="80" t="str">
        <f>IF(O67="","",IF(O67&lt;=$AQ$1,"O","X"))</f>
        <v>X</v>
      </c>
      <c r="AR67" s="80" t="str">
        <f>IF(M67="","",IF(M67&lt;=$AR$1,"O","X"))</f>
        <v>X</v>
      </c>
      <c r="AS67" s="80" t="s">
        <v>2</v>
      </c>
      <c r="AT67" s="80" t="str">
        <f>IF(OR(F67="",AI67=""),"",IF(AND((F67&lt;=85),(AI67&gt;=15)),"O","X"))</f>
        <v>O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s="37" customFormat="1" ht="12" x14ac:dyDescent="0.3">
      <c r="A68" s="75" t="s">
        <v>1006</v>
      </c>
      <c r="B68" s="76" t="s">
        <v>1009</v>
      </c>
      <c r="C68" s="86">
        <v>729</v>
      </c>
      <c r="D68" s="87">
        <v>99</v>
      </c>
      <c r="E68" s="88">
        <v>30</v>
      </c>
      <c r="F68" s="87">
        <v>74.400000000000006</v>
      </c>
      <c r="G68" s="17">
        <v>23</v>
      </c>
      <c r="H68" s="89">
        <v>119</v>
      </c>
      <c r="I68" s="90">
        <v>48000</v>
      </c>
      <c r="J68" s="90" t="s">
        <v>104</v>
      </c>
      <c r="K68" s="90"/>
      <c r="L68" s="90"/>
      <c r="M68" s="91">
        <f>I68-K68</f>
        <v>48000</v>
      </c>
      <c r="N68" s="4">
        <f>IF(ISERROR(K68/I68),"",K68/I68)</f>
        <v>0</v>
      </c>
      <c r="O68" s="92">
        <f>I68/E68</f>
        <v>1600</v>
      </c>
      <c r="P68" s="92">
        <f>K68/E68</f>
        <v>0</v>
      </c>
      <c r="Q68" s="80">
        <v>3</v>
      </c>
      <c r="R68" s="80">
        <v>2</v>
      </c>
      <c r="S68" s="80" t="s">
        <v>61</v>
      </c>
      <c r="T68" s="5">
        <v>98</v>
      </c>
      <c r="U68" s="9"/>
      <c r="W68" s="87">
        <f t="shared" si="49"/>
        <v>99</v>
      </c>
      <c r="X68" s="88">
        <f t="shared" si="49"/>
        <v>30</v>
      </c>
      <c r="Y68" s="93">
        <f t="shared" si="50"/>
        <v>119</v>
      </c>
      <c r="Z68" s="91">
        <f t="shared" si="50"/>
        <v>48000</v>
      </c>
      <c r="AA68" s="91">
        <f>K68</f>
        <v>0</v>
      </c>
      <c r="AB68" s="91">
        <f t="shared" si="51"/>
        <v>48000</v>
      </c>
      <c r="AC68" s="4">
        <f t="shared" si="51"/>
        <v>0</v>
      </c>
      <c r="AD68" s="92">
        <f t="shared" si="51"/>
        <v>1600</v>
      </c>
      <c r="AE68" s="80" t="str">
        <f>S68</f>
        <v>계</v>
      </c>
      <c r="AF68" s="80" t="str">
        <f>Q68&amp;"/"&amp;R68</f>
        <v>3/2</v>
      </c>
      <c r="AH68" s="20" t="str">
        <f t="shared" ref="AH68:AH131" si="52">IF(A68="","",A68)</f>
        <v>사천동 청주사천푸르지오</v>
      </c>
      <c r="AI68" s="88">
        <f t="shared" ref="AI68:AI131" si="53">IF(E68="","",E68)</f>
        <v>30</v>
      </c>
      <c r="AJ68" s="80" t="str">
        <f>IF(AI68="","",$AJ$2)</f>
        <v>A-</v>
      </c>
      <c r="AK68" s="80" t="s">
        <v>13</v>
      </c>
      <c r="AL68" s="80" t="s">
        <v>62</v>
      </c>
      <c r="AM68" s="80" t="s">
        <v>63</v>
      </c>
      <c r="AN68" s="80" t="str">
        <f>IF(AI68="","",$AN$2)</f>
        <v>C</v>
      </c>
      <c r="AO68" s="80" t="str">
        <f>IF(N68="","",IF(N68&gt;=$AO$1/100,"O","X"))</f>
        <v>X</v>
      </c>
      <c r="AP68" s="80" t="str">
        <f>IF(I68="","",IF(I68&lt;=$AP$1,"O","X"))</f>
        <v>X</v>
      </c>
      <c r="AQ68" s="80" t="str">
        <f>IF(O68="","",IF(O68&lt;=$AQ$1,"O","X"))</f>
        <v>X</v>
      </c>
      <c r="AR68" s="80" t="str">
        <f>IF(M68="","",IF(M68&lt;=$AR$1,"O","X"))</f>
        <v>X</v>
      </c>
      <c r="AS68" s="80" t="s">
        <v>2</v>
      </c>
      <c r="AT68" s="80" t="str">
        <f>IF(OR(F68="",AI68=""),"",IF(AND((F68&lt;=85),(AI68&gt;=15)),"O","X"))</f>
        <v>O</v>
      </c>
      <c r="AU68" s="80" t="str">
        <f>IF(C68="","",IF(C68&gt;=$AU$1,"O","X"))</f>
        <v>O</v>
      </c>
      <c r="AV68" s="80" t="str">
        <f>IF(AO68="","",IF(AND(AO68="O",AP68="O",AR68="O",AT68="O",AU68="O"),"후보","X"))</f>
        <v>X</v>
      </c>
    </row>
    <row r="69" spans="1:48" s="37" customFormat="1" ht="12" x14ac:dyDescent="0.3">
      <c r="A69" s="75" t="s">
        <v>1006</v>
      </c>
      <c r="B69" s="76" t="s">
        <v>1009</v>
      </c>
      <c r="C69" s="86">
        <v>729</v>
      </c>
      <c r="D69" s="87">
        <v>112.1</v>
      </c>
      <c r="E69" s="88">
        <v>34</v>
      </c>
      <c r="F69" s="87">
        <v>85</v>
      </c>
      <c r="G69" s="17">
        <v>26</v>
      </c>
      <c r="H69" s="89">
        <v>406</v>
      </c>
      <c r="I69" s="90"/>
      <c r="J69" s="90"/>
      <c r="K69" s="90"/>
      <c r="L69" s="90"/>
      <c r="M69" s="91">
        <f>I69-K69</f>
        <v>0</v>
      </c>
      <c r="N69" s="4" t="str">
        <f>IF(ISERROR(K69/I69),"",K69/I69)</f>
        <v/>
      </c>
      <c r="O69" s="92">
        <f>I69/E69</f>
        <v>0</v>
      </c>
      <c r="P69" s="92">
        <f>K69/E69</f>
        <v>0</v>
      </c>
      <c r="Q69" s="80">
        <v>4</v>
      </c>
      <c r="R69" s="80">
        <v>2</v>
      </c>
      <c r="S69" s="80" t="s">
        <v>61</v>
      </c>
      <c r="T69" s="5">
        <v>112</v>
      </c>
      <c r="U69" s="9"/>
      <c r="W69" s="87">
        <f t="shared" si="49"/>
        <v>112.1</v>
      </c>
      <c r="X69" s="88">
        <f t="shared" si="49"/>
        <v>34</v>
      </c>
      <c r="Y69" s="93">
        <f t="shared" si="50"/>
        <v>406</v>
      </c>
      <c r="Z69" s="91">
        <f t="shared" si="50"/>
        <v>0</v>
      </c>
      <c r="AA69" s="91">
        <f>K69</f>
        <v>0</v>
      </c>
      <c r="AB69" s="91">
        <f t="shared" si="51"/>
        <v>0</v>
      </c>
      <c r="AC69" s="4" t="str">
        <f t="shared" si="51"/>
        <v/>
      </c>
      <c r="AD69" s="92">
        <f t="shared" si="51"/>
        <v>0</v>
      </c>
      <c r="AE69" s="80" t="str">
        <f>S69</f>
        <v>계</v>
      </c>
      <c r="AF69" s="80" t="str">
        <f>Q69&amp;"/"&amp;R69</f>
        <v>4/2</v>
      </c>
      <c r="AH69" s="20" t="str">
        <f t="shared" si="52"/>
        <v>사천동 청주사천푸르지오</v>
      </c>
      <c r="AI69" s="88">
        <f t="shared" si="53"/>
        <v>34</v>
      </c>
      <c r="AJ69" s="80" t="str">
        <f>IF(AI69="","",$AJ$2)</f>
        <v>A-</v>
      </c>
      <c r="AK69" s="80" t="s">
        <v>13</v>
      </c>
      <c r="AL69" s="80" t="s">
        <v>62</v>
      </c>
      <c r="AM69" s="80" t="s">
        <v>63</v>
      </c>
      <c r="AN69" s="80" t="str">
        <f>IF(AI69="","",$AN$2)</f>
        <v>C</v>
      </c>
      <c r="AO69" s="80" t="str">
        <f>IF(N69="","",IF(N69&gt;=$AO$1/100,"O","X"))</f>
        <v/>
      </c>
      <c r="AP69" s="80" t="str">
        <f>IF(I69="","",IF(I69&lt;=$AP$1,"O","X"))</f>
        <v/>
      </c>
      <c r="AQ69" s="80" t="str">
        <f>IF(O69="","",IF(O69&lt;=$AQ$1,"O","X"))</f>
        <v>O</v>
      </c>
      <c r="AR69" s="80" t="str">
        <f>IF(M69="","",IF(M69&lt;=$AR$1,"O","X"))</f>
        <v>O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/>
      </c>
    </row>
    <row r="70" spans="1:48" s="37" customFormat="1" ht="12" x14ac:dyDescent="0.3">
      <c r="A70" s="75" t="s">
        <v>1136</v>
      </c>
      <c r="B70" s="76" t="s">
        <v>1137</v>
      </c>
      <c r="C70" s="86">
        <v>356</v>
      </c>
      <c r="D70" s="87">
        <v>60.4</v>
      </c>
      <c r="E70" s="88">
        <v>18</v>
      </c>
      <c r="F70" s="87">
        <v>44.2</v>
      </c>
      <c r="G70" s="17">
        <v>13</v>
      </c>
      <c r="H70" s="89">
        <v>25</v>
      </c>
      <c r="I70" s="90"/>
      <c r="J70" s="90"/>
      <c r="K70" s="90"/>
      <c r="L70" s="90"/>
      <c r="M70" s="91">
        <f>I70-K70</f>
        <v>0</v>
      </c>
      <c r="N70" s="4" t="str">
        <f>IF(ISERROR(K70/I70),"",K70/I70)</f>
        <v/>
      </c>
      <c r="O70" s="92">
        <f>I70/E70</f>
        <v>0</v>
      </c>
      <c r="P70" s="92">
        <f>K70/E70</f>
        <v>0</v>
      </c>
      <c r="Q70" s="80">
        <v>2</v>
      </c>
      <c r="R70" s="80">
        <v>1</v>
      </c>
      <c r="S70" s="80" t="s">
        <v>61</v>
      </c>
      <c r="T70" s="5">
        <v>60</v>
      </c>
      <c r="U70" s="9"/>
      <c r="W70" s="87">
        <f t="shared" si="49"/>
        <v>60.4</v>
      </c>
      <c r="X70" s="88">
        <f t="shared" si="49"/>
        <v>18</v>
      </c>
      <c r="Y70" s="93">
        <f t="shared" si="50"/>
        <v>25</v>
      </c>
      <c r="Z70" s="91">
        <f t="shared" si="50"/>
        <v>0</v>
      </c>
      <c r="AA70" s="91">
        <f>K70</f>
        <v>0</v>
      </c>
      <c r="AB70" s="91">
        <f t="shared" si="51"/>
        <v>0</v>
      </c>
      <c r="AC70" s="4" t="str">
        <f t="shared" si="51"/>
        <v/>
      </c>
      <c r="AD70" s="92">
        <f t="shared" si="51"/>
        <v>0</v>
      </c>
      <c r="AE70" s="80" t="str">
        <f>S70</f>
        <v>계</v>
      </c>
      <c r="AF70" s="80" t="str">
        <f>Q70&amp;"/"&amp;R70</f>
        <v>2/1</v>
      </c>
      <c r="AH70" s="20" t="str">
        <f t="shared" si="52"/>
        <v>사천동 대창1차</v>
      </c>
      <c r="AI70" s="88">
        <f t="shared" si="53"/>
        <v>18</v>
      </c>
      <c r="AJ70" s="80" t="str">
        <f>IF(AI70="","",$AJ$2)</f>
        <v>A-</v>
      </c>
      <c r="AK70" s="80" t="s">
        <v>13</v>
      </c>
      <c r="AL70" s="80" t="s">
        <v>62</v>
      </c>
      <c r="AM70" s="80" t="s">
        <v>63</v>
      </c>
      <c r="AN70" s="80" t="str">
        <f>IF(AI70="","",$AN$2)</f>
        <v>C</v>
      </c>
      <c r="AO70" s="80" t="str">
        <f>IF(N70="","",IF(N70&gt;=$AO$1/100,"O","X"))</f>
        <v/>
      </c>
      <c r="AP70" s="80" t="str">
        <f>IF(I70="","",IF(I70&lt;=$AP$1,"O","X"))</f>
        <v/>
      </c>
      <c r="AQ70" s="80" t="str">
        <f>IF(O70="","",IF(O70&lt;=$AQ$1,"O","X"))</f>
        <v>O</v>
      </c>
      <c r="AR70" s="80" t="str">
        <f>IF(M70="","",IF(M70&lt;=$AR$1,"O","X"))</f>
        <v>O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/>
      </c>
    </row>
    <row r="71" spans="1:48" s="37" customFormat="1" ht="12" x14ac:dyDescent="0.3">
      <c r="A71" s="75" t="s">
        <v>1012</v>
      </c>
      <c r="B71" s="76" t="s">
        <v>1082</v>
      </c>
      <c r="C71" s="86">
        <v>356</v>
      </c>
      <c r="D71" s="87">
        <v>67.7</v>
      </c>
      <c r="E71" s="88">
        <v>20</v>
      </c>
      <c r="F71" s="87">
        <v>49.5</v>
      </c>
      <c r="G71" s="17">
        <v>15</v>
      </c>
      <c r="H71" s="89">
        <v>105</v>
      </c>
      <c r="I71" s="90">
        <v>9700</v>
      </c>
      <c r="J71" s="90" t="s">
        <v>68</v>
      </c>
      <c r="K71" s="90"/>
      <c r="L71" s="90"/>
      <c r="M71" s="91">
        <f>I71-K71</f>
        <v>9700</v>
      </c>
      <c r="N71" s="4">
        <f>IF(ISERROR(K71/I71),"",K71/I71)</f>
        <v>0</v>
      </c>
      <c r="O71" s="92">
        <f>I71/E71</f>
        <v>485</v>
      </c>
      <c r="P71" s="92">
        <f>K71/E71</f>
        <v>0</v>
      </c>
      <c r="Q71" s="80">
        <v>2</v>
      </c>
      <c r="R71" s="80">
        <v>1</v>
      </c>
      <c r="S71" s="80" t="s">
        <v>61</v>
      </c>
      <c r="T71" s="5">
        <v>67</v>
      </c>
      <c r="U71" s="9"/>
      <c r="W71" s="87">
        <f t="shared" si="49"/>
        <v>67.7</v>
      </c>
      <c r="X71" s="88">
        <f t="shared" si="49"/>
        <v>20</v>
      </c>
      <c r="Y71" s="93">
        <f t="shared" si="50"/>
        <v>105</v>
      </c>
      <c r="Z71" s="91">
        <f t="shared" si="50"/>
        <v>9700</v>
      </c>
      <c r="AA71" s="91">
        <f>K71</f>
        <v>0</v>
      </c>
      <c r="AB71" s="91">
        <f t="shared" si="51"/>
        <v>9700</v>
      </c>
      <c r="AC71" s="4">
        <f t="shared" si="51"/>
        <v>0</v>
      </c>
      <c r="AD71" s="92">
        <f t="shared" si="51"/>
        <v>485</v>
      </c>
      <c r="AE71" s="80" t="str">
        <f>S71</f>
        <v>계</v>
      </c>
      <c r="AF71" s="80" t="str">
        <f>Q71&amp;"/"&amp;R71</f>
        <v>2/1</v>
      </c>
      <c r="AH71" s="20" t="str">
        <f t="shared" si="52"/>
        <v>사천동 대창1차</v>
      </c>
      <c r="AI71" s="88">
        <f t="shared" si="53"/>
        <v>20</v>
      </c>
      <c r="AJ71" s="80" t="str">
        <f>IF(AI71="","",$AJ$2)</f>
        <v>A-</v>
      </c>
      <c r="AK71" s="80" t="s">
        <v>13</v>
      </c>
      <c r="AL71" s="80" t="s">
        <v>62</v>
      </c>
      <c r="AM71" s="80" t="s">
        <v>63</v>
      </c>
      <c r="AN71" s="80" t="str">
        <f>IF(AI71="","",$AN$2)</f>
        <v>C</v>
      </c>
      <c r="AO71" s="80" t="str">
        <f>IF(N71="","",IF(N71&gt;=$AO$1/100,"O","X"))</f>
        <v>X</v>
      </c>
      <c r="AP71" s="80" t="str">
        <f>IF(I71="","",IF(I71&lt;=$AP$1,"O","X"))</f>
        <v>O</v>
      </c>
      <c r="AQ71" s="80" t="str">
        <f>IF(O71="","",IF(O71&lt;=$AQ$1,"O","X"))</f>
        <v>O</v>
      </c>
      <c r="AR71" s="80" t="str">
        <f>IF(M71="","",IF(M71&lt;=$AR$1,"O","X"))</f>
        <v>X</v>
      </c>
      <c r="AS71" s="80" t="s">
        <v>2</v>
      </c>
      <c r="AT71" s="80" t="str">
        <f>IF(OR(F71="",AI71=""),"",IF(AND((F71&lt;=85),(AI71&gt;=15)),"O","X"))</f>
        <v>O</v>
      </c>
      <c r="AU71" s="80" t="str">
        <f>IF(C71="","",IF(C71&gt;=$AU$1,"O","X"))</f>
        <v>O</v>
      </c>
      <c r="AV71" s="80" t="str">
        <f>IF(AO71="","",IF(AND(AO71="O",AP71="O",AR71="O",AT71="O",AU71="O"),"후보","X"))</f>
        <v>X</v>
      </c>
    </row>
    <row r="72" spans="1:48" s="37" customFormat="1" ht="12" x14ac:dyDescent="0.3">
      <c r="A72" s="75" t="s">
        <v>1138</v>
      </c>
      <c r="B72" s="76" t="s">
        <v>1082</v>
      </c>
      <c r="C72" s="86">
        <v>356</v>
      </c>
      <c r="D72" s="87">
        <v>81.3</v>
      </c>
      <c r="E72" s="88">
        <v>25</v>
      </c>
      <c r="F72" s="87">
        <v>59.5</v>
      </c>
      <c r="G72" s="17">
        <v>18</v>
      </c>
      <c r="H72" s="89">
        <v>226</v>
      </c>
      <c r="I72" s="90">
        <v>11800</v>
      </c>
      <c r="J72" s="90" t="s">
        <v>59</v>
      </c>
      <c r="K72" s="90">
        <v>11500</v>
      </c>
      <c r="L72" s="90" t="s">
        <v>59</v>
      </c>
      <c r="M72" s="91">
        <f>I72-K72</f>
        <v>300</v>
      </c>
      <c r="N72" s="4">
        <f>IF(ISERROR(K72/I72),"",K72/I72)</f>
        <v>0.97457627118644063</v>
      </c>
      <c r="O72" s="92">
        <f>I72/E72</f>
        <v>472</v>
      </c>
      <c r="P72" s="92">
        <f>K72/E72</f>
        <v>460</v>
      </c>
      <c r="Q72" s="80">
        <v>3</v>
      </c>
      <c r="R72" s="80">
        <v>1</v>
      </c>
      <c r="S72" s="80" t="s">
        <v>61</v>
      </c>
      <c r="T72" s="5">
        <v>81</v>
      </c>
      <c r="U72" s="9"/>
      <c r="W72" s="87">
        <f t="shared" si="49"/>
        <v>81.3</v>
      </c>
      <c r="X72" s="88">
        <f t="shared" si="49"/>
        <v>25</v>
      </c>
      <c r="Y72" s="93">
        <f t="shared" si="50"/>
        <v>226</v>
      </c>
      <c r="Z72" s="91">
        <f t="shared" si="50"/>
        <v>11800</v>
      </c>
      <c r="AA72" s="91">
        <f>K72</f>
        <v>11500</v>
      </c>
      <c r="AB72" s="91">
        <f t="shared" si="51"/>
        <v>300</v>
      </c>
      <c r="AC72" s="4">
        <f t="shared" si="51"/>
        <v>0.97457627118644063</v>
      </c>
      <c r="AD72" s="92">
        <f t="shared" si="51"/>
        <v>472</v>
      </c>
      <c r="AE72" s="80" t="str">
        <f>S72</f>
        <v>계</v>
      </c>
      <c r="AF72" s="80" t="str">
        <f>Q72&amp;"/"&amp;R72</f>
        <v>3/1</v>
      </c>
      <c r="AH72" s="20" t="str">
        <f t="shared" si="52"/>
        <v>사천동 대창1차</v>
      </c>
      <c r="AI72" s="88">
        <f t="shared" si="53"/>
        <v>25</v>
      </c>
      <c r="AJ72" s="80" t="str">
        <f>IF(AI72="","",$AJ$2)</f>
        <v>A-</v>
      </c>
      <c r="AK72" s="80" t="s">
        <v>13</v>
      </c>
      <c r="AL72" s="80" t="s">
        <v>62</v>
      </c>
      <c r="AM72" s="80" t="s">
        <v>63</v>
      </c>
      <c r="AN72" s="80" t="str">
        <f>IF(AI72="","",$AN$2)</f>
        <v>C</v>
      </c>
      <c r="AO72" s="80" t="str">
        <f>IF(N72="","",IF(N72&gt;=$AO$1/100,"O","X"))</f>
        <v>O</v>
      </c>
      <c r="AP72" s="80" t="str">
        <f>IF(I72="","",IF(I72&lt;=$AP$1,"O","X"))</f>
        <v>O</v>
      </c>
      <c r="AQ72" s="80" t="str">
        <f>IF(O72="","",IF(O72&lt;=$AQ$1,"O","X"))</f>
        <v>O</v>
      </c>
      <c r="AR72" s="80" t="str">
        <f>IF(M72="","",IF(M72&lt;=$AR$1,"O","X"))</f>
        <v>O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O</v>
      </c>
      <c r="AV72" s="80" t="str">
        <f>IF(AO72="","",IF(AND(AO72="O",AP72="O",AR72="O",AT72="O",AU72="O"),"후보","X"))</f>
        <v>후보</v>
      </c>
    </row>
    <row r="73" spans="1:48" s="37" customFormat="1" ht="12" x14ac:dyDescent="0.3">
      <c r="A73" s="75" t="s">
        <v>1139</v>
      </c>
      <c r="B73" s="76" t="s">
        <v>1015</v>
      </c>
      <c r="C73" s="86">
        <v>958</v>
      </c>
      <c r="D73" s="87">
        <v>87.8</v>
      </c>
      <c r="E73" s="88">
        <v>27</v>
      </c>
      <c r="F73" s="87">
        <v>72.3</v>
      </c>
      <c r="G73" s="17">
        <v>22</v>
      </c>
      <c r="H73" s="89">
        <v>45</v>
      </c>
      <c r="I73" s="90">
        <v>16000</v>
      </c>
      <c r="J73" s="90" t="s">
        <v>80</v>
      </c>
      <c r="K73" s="90"/>
      <c r="L73" s="90"/>
      <c r="M73" s="91">
        <f>I73-K73</f>
        <v>16000</v>
      </c>
      <c r="N73" s="4">
        <f>IF(ISERROR(K73/I73),"",K73/I73)</f>
        <v>0</v>
      </c>
      <c r="O73" s="92">
        <f>I73/E73</f>
        <v>592.59259259259261</v>
      </c>
      <c r="P73" s="92">
        <f>K73/E73</f>
        <v>0</v>
      </c>
      <c r="Q73" s="80">
        <v>3</v>
      </c>
      <c r="R73" s="80">
        <v>1</v>
      </c>
      <c r="S73" s="80" t="s">
        <v>61</v>
      </c>
      <c r="T73" s="5" t="s">
        <v>406</v>
      </c>
      <c r="U73" s="9"/>
      <c r="W73" s="87">
        <f t="shared" si="49"/>
        <v>87.8</v>
      </c>
      <c r="X73" s="88">
        <f t="shared" si="49"/>
        <v>27</v>
      </c>
      <c r="Y73" s="93">
        <f t="shared" si="50"/>
        <v>45</v>
      </c>
      <c r="Z73" s="91">
        <f t="shared" si="50"/>
        <v>16000</v>
      </c>
      <c r="AA73" s="91">
        <f>K73</f>
        <v>0</v>
      </c>
      <c r="AB73" s="91">
        <f t="shared" si="51"/>
        <v>16000</v>
      </c>
      <c r="AC73" s="4">
        <f t="shared" si="51"/>
        <v>0</v>
      </c>
      <c r="AD73" s="92">
        <f t="shared" si="51"/>
        <v>592.59259259259261</v>
      </c>
      <c r="AE73" s="80" t="str">
        <f>S73</f>
        <v>계</v>
      </c>
      <c r="AF73" s="80" t="str">
        <f>Q73&amp;"/"&amp;R73</f>
        <v>3/1</v>
      </c>
      <c r="AH73" s="20" t="str">
        <f t="shared" si="52"/>
        <v>사천동 신동아</v>
      </c>
      <c r="AI73" s="88">
        <f t="shared" si="53"/>
        <v>27</v>
      </c>
      <c r="AJ73" s="80" t="str">
        <f>IF(AI73="","",$AJ$2)</f>
        <v>A-</v>
      </c>
      <c r="AK73" s="80" t="s">
        <v>13</v>
      </c>
      <c r="AL73" s="80" t="s">
        <v>62</v>
      </c>
      <c r="AM73" s="80" t="s">
        <v>63</v>
      </c>
      <c r="AN73" s="80" t="str">
        <f>IF(AI73="","",$AN$2)</f>
        <v>C</v>
      </c>
      <c r="AO73" s="80" t="str">
        <f>IF(N73="","",IF(N73&gt;=$AO$1/100,"O","X"))</f>
        <v>X</v>
      </c>
      <c r="AP73" s="80" t="str">
        <f>IF(I73="","",IF(I73&lt;=$AP$1,"O","X"))</f>
        <v>O</v>
      </c>
      <c r="AQ73" s="80" t="str">
        <f>IF(O73="","",IF(O73&lt;=$AQ$1,"O","X"))</f>
        <v>O</v>
      </c>
      <c r="AR73" s="80" t="str">
        <f>IF(M73="","",IF(M73&lt;=$AR$1,"O","X"))</f>
        <v>X</v>
      </c>
      <c r="AS73" s="80" t="s">
        <v>2</v>
      </c>
      <c r="AT73" s="80" t="str">
        <f>IF(OR(F73="",AI73=""),"",IF(AND((F73&lt;=85),(AI73&gt;=15)),"O","X"))</f>
        <v>O</v>
      </c>
      <c r="AU73" s="80" t="str">
        <f>IF(C73="","",IF(C73&gt;=$AU$1,"O","X"))</f>
        <v>O</v>
      </c>
      <c r="AV73" s="80" t="str">
        <f>IF(AO73="","",IF(AND(AO73="O",AP73="O",AR73="O",AT73="O",AU73="O"),"후보","X"))</f>
        <v>X</v>
      </c>
    </row>
    <row r="74" spans="1:48" s="37" customFormat="1" ht="12" x14ac:dyDescent="0.3">
      <c r="A74" s="75" t="s">
        <v>1140</v>
      </c>
      <c r="B74" s="76" t="s">
        <v>1015</v>
      </c>
      <c r="C74" s="86">
        <v>958</v>
      </c>
      <c r="D74" s="87">
        <v>88.7</v>
      </c>
      <c r="E74" s="88">
        <v>27</v>
      </c>
      <c r="F74" s="87">
        <v>72.8</v>
      </c>
      <c r="G74" s="17">
        <v>22</v>
      </c>
      <c r="H74" s="89">
        <v>191</v>
      </c>
      <c r="I74" s="90">
        <v>15500</v>
      </c>
      <c r="J74" s="90" t="s">
        <v>77</v>
      </c>
      <c r="K74" s="90"/>
      <c r="L74" s="90"/>
      <c r="M74" s="91">
        <f>I74-K74</f>
        <v>15500</v>
      </c>
      <c r="N74" s="4">
        <f>IF(ISERROR(K74/I74),"",K74/I74)</f>
        <v>0</v>
      </c>
      <c r="O74" s="92">
        <f>I74/E74</f>
        <v>574.07407407407402</v>
      </c>
      <c r="P74" s="92">
        <f>K74/E74</f>
        <v>0</v>
      </c>
      <c r="Q74" s="80">
        <v>3</v>
      </c>
      <c r="R74" s="80">
        <v>1</v>
      </c>
      <c r="S74" s="80" t="s">
        <v>61</v>
      </c>
      <c r="T74" s="5" t="s">
        <v>118</v>
      </c>
      <c r="U74" s="9"/>
      <c r="W74" s="87">
        <f t="shared" si="49"/>
        <v>88.7</v>
      </c>
      <c r="X74" s="88">
        <f t="shared" si="49"/>
        <v>27</v>
      </c>
      <c r="Y74" s="93">
        <f t="shared" si="50"/>
        <v>191</v>
      </c>
      <c r="Z74" s="91">
        <f t="shared" si="50"/>
        <v>15500</v>
      </c>
      <c r="AA74" s="91">
        <f>K74</f>
        <v>0</v>
      </c>
      <c r="AB74" s="91">
        <f t="shared" si="51"/>
        <v>15500</v>
      </c>
      <c r="AC74" s="4">
        <f t="shared" si="51"/>
        <v>0</v>
      </c>
      <c r="AD74" s="92">
        <f t="shared" si="51"/>
        <v>574.07407407407402</v>
      </c>
      <c r="AE74" s="80" t="str">
        <f>S74</f>
        <v>계</v>
      </c>
      <c r="AF74" s="80" t="str">
        <f>Q74&amp;"/"&amp;R74</f>
        <v>3/1</v>
      </c>
      <c r="AH74" s="20" t="str">
        <f t="shared" si="52"/>
        <v>사천동 신동아</v>
      </c>
      <c r="AI74" s="88">
        <f t="shared" si="53"/>
        <v>27</v>
      </c>
      <c r="AJ74" s="80" t="str">
        <f>IF(AI74="","",$AJ$2)</f>
        <v>A-</v>
      </c>
      <c r="AK74" s="80" t="s">
        <v>13</v>
      </c>
      <c r="AL74" s="80" t="s">
        <v>62</v>
      </c>
      <c r="AM74" s="80" t="s">
        <v>63</v>
      </c>
      <c r="AN74" s="80" t="str">
        <f>IF(AI74="","",$AN$2)</f>
        <v>C</v>
      </c>
      <c r="AO74" s="80" t="str">
        <f>IF(N74="","",IF(N74&gt;=$AO$1/100,"O","X"))</f>
        <v>X</v>
      </c>
      <c r="AP74" s="80" t="str">
        <f>IF(I74="","",IF(I74&lt;=$AP$1,"O","X"))</f>
        <v>O</v>
      </c>
      <c r="AQ74" s="80" t="str">
        <f>IF(O74="","",IF(O74&lt;=$AQ$1,"O","X"))</f>
        <v>O</v>
      </c>
      <c r="AR74" s="80" t="str">
        <f>IF(M74="","",IF(M74&lt;=$AR$1,"O","X"))</f>
        <v>X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O</v>
      </c>
      <c r="AV74" s="80" t="str">
        <f>IF(AO74="","",IF(AND(AO74="O",AP74="O",AR74="O",AT74="O",AU74="O"),"후보","X"))</f>
        <v>X</v>
      </c>
    </row>
    <row r="75" spans="1:48" s="37" customFormat="1" ht="12" x14ac:dyDescent="0.3">
      <c r="A75" s="75" t="s">
        <v>1141</v>
      </c>
      <c r="B75" s="76" t="s">
        <v>1015</v>
      </c>
      <c r="C75" s="86">
        <v>958</v>
      </c>
      <c r="D75" s="87">
        <v>103</v>
      </c>
      <c r="E75" s="88">
        <v>31</v>
      </c>
      <c r="F75" s="87">
        <v>84.8</v>
      </c>
      <c r="G75" s="17">
        <v>26</v>
      </c>
      <c r="H75" s="89">
        <v>544</v>
      </c>
      <c r="I75" s="90">
        <v>16900</v>
      </c>
      <c r="J75" s="90" t="s">
        <v>59</v>
      </c>
      <c r="K75" s="90"/>
      <c r="L75" s="90"/>
      <c r="M75" s="91">
        <f>I75-K75</f>
        <v>16900</v>
      </c>
      <c r="N75" s="4">
        <f>IF(ISERROR(K75/I75),"",K75/I75)</f>
        <v>0</v>
      </c>
      <c r="O75" s="92">
        <f>I75/E75</f>
        <v>545.16129032258061</v>
      </c>
      <c r="P75" s="92">
        <f>K75/E75</f>
        <v>0</v>
      </c>
      <c r="Q75" s="80">
        <v>3</v>
      </c>
      <c r="R75" s="80">
        <v>2</v>
      </c>
      <c r="S75" s="80" t="s">
        <v>61</v>
      </c>
      <c r="T75" s="5">
        <v>103</v>
      </c>
      <c r="U75" s="9"/>
      <c r="W75" s="87">
        <f t="shared" si="49"/>
        <v>103</v>
      </c>
      <c r="X75" s="88">
        <f t="shared" si="49"/>
        <v>31</v>
      </c>
      <c r="Y75" s="93">
        <f t="shared" si="50"/>
        <v>544</v>
      </c>
      <c r="Z75" s="91">
        <f t="shared" si="50"/>
        <v>16900</v>
      </c>
      <c r="AA75" s="91">
        <f>K75</f>
        <v>0</v>
      </c>
      <c r="AB75" s="91">
        <f t="shared" si="51"/>
        <v>16900</v>
      </c>
      <c r="AC75" s="4">
        <f t="shared" si="51"/>
        <v>0</v>
      </c>
      <c r="AD75" s="92">
        <f t="shared" si="51"/>
        <v>545.16129032258061</v>
      </c>
      <c r="AE75" s="80" t="str">
        <f>S75</f>
        <v>계</v>
      </c>
      <c r="AF75" s="80" t="str">
        <f>Q75&amp;"/"&amp;R75</f>
        <v>3/2</v>
      </c>
      <c r="AH75" s="20" t="str">
        <f t="shared" si="52"/>
        <v>사천동 신동아</v>
      </c>
      <c r="AI75" s="88">
        <f t="shared" si="53"/>
        <v>31</v>
      </c>
      <c r="AJ75" s="80" t="str">
        <f>IF(AI75="","",$AJ$2)</f>
        <v>A-</v>
      </c>
      <c r="AK75" s="80" t="s">
        <v>13</v>
      </c>
      <c r="AL75" s="80" t="s">
        <v>62</v>
      </c>
      <c r="AM75" s="80" t="s">
        <v>63</v>
      </c>
      <c r="AN75" s="80" t="str">
        <f>IF(AI75="","",$AN$2)</f>
        <v>C</v>
      </c>
      <c r="AO75" s="80" t="str">
        <f>IF(N75="","",IF(N75&gt;=$AO$1/100,"O","X"))</f>
        <v>X</v>
      </c>
      <c r="AP75" s="80" t="str">
        <f>IF(I75="","",IF(I75&lt;=$AP$1,"O","X"))</f>
        <v>O</v>
      </c>
      <c r="AQ75" s="80" t="str">
        <f>IF(O75="","",IF(O75&lt;=$AQ$1,"O","X"))</f>
        <v>O</v>
      </c>
      <c r="AR75" s="80" t="str">
        <f>IF(M75="","",IF(M75&lt;=$AR$1,"O","X"))</f>
        <v>X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O</v>
      </c>
      <c r="AV75" s="80" t="str">
        <f>IF(AO75="","",IF(AND(AO75="O",AP75="O",AR75="O",AT75="O",AU75="O"),"후보","X"))</f>
        <v>X</v>
      </c>
    </row>
    <row r="76" spans="1:48" s="37" customFormat="1" ht="12" x14ac:dyDescent="0.3">
      <c r="A76" s="75" t="s">
        <v>1142</v>
      </c>
      <c r="B76" s="76" t="s">
        <v>1015</v>
      </c>
      <c r="C76" s="86">
        <v>958</v>
      </c>
      <c r="D76" s="87">
        <v>146</v>
      </c>
      <c r="E76" s="88">
        <v>44</v>
      </c>
      <c r="F76" s="87">
        <v>123.8</v>
      </c>
      <c r="G76" s="17">
        <v>37</v>
      </c>
      <c r="H76" s="89">
        <v>178</v>
      </c>
      <c r="I76" s="90"/>
      <c r="J76" s="90"/>
      <c r="K76" s="90"/>
      <c r="L76" s="90"/>
      <c r="M76" s="91">
        <f>I76-K76</f>
        <v>0</v>
      </c>
      <c r="N76" s="4" t="str">
        <f>IF(ISERROR(K76/I76),"",K76/I76)</f>
        <v/>
      </c>
      <c r="O76" s="92">
        <f>I76/E76</f>
        <v>0</v>
      </c>
      <c r="P76" s="92">
        <f>K76/E76</f>
        <v>0</v>
      </c>
      <c r="Q76" s="80">
        <v>4</v>
      </c>
      <c r="R76" s="80">
        <v>2</v>
      </c>
      <c r="S76" s="80" t="s">
        <v>61</v>
      </c>
      <c r="T76" s="5">
        <v>145</v>
      </c>
      <c r="U76" s="9"/>
      <c r="W76" s="87">
        <f t="shared" si="49"/>
        <v>146</v>
      </c>
      <c r="X76" s="88">
        <f t="shared" si="49"/>
        <v>44</v>
      </c>
      <c r="Y76" s="93">
        <f t="shared" si="50"/>
        <v>178</v>
      </c>
      <c r="Z76" s="91">
        <f t="shared" si="50"/>
        <v>0</v>
      </c>
      <c r="AA76" s="91">
        <f>K76</f>
        <v>0</v>
      </c>
      <c r="AB76" s="91">
        <f t="shared" si="51"/>
        <v>0</v>
      </c>
      <c r="AC76" s="4" t="str">
        <f t="shared" si="51"/>
        <v/>
      </c>
      <c r="AD76" s="92">
        <f t="shared" si="51"/>
        <v>0</v>
      </c>
      <c r="AE76" s="80" t="str">
        <f>S76</f>
        <v>계</v>
      </c>
      <c r="AF76" s="80" t="str">
        <f>Q76&amp;"/"&amp;R76</f>
        <v>4/2</v>
      </c>
      <c r="AH76" s="20" t="str">
        <f t="shared" si="52"/>
        <v>사천동 신동아</v>
      </c>
      <c r="AI76" s="88">
        <f t="shared" si="53"/>
        <v>44</v>
      </c>
      <c r="AJ76" s="80" t="str">
        <f>IF(AI76="","",$AJ$2)</f>
        <v>A-</v>
      </c>
      <c r="AK76" s="80" t="s">
        <v>13</v>
      </c>
      <c r="AL76" s="80" t="s">
        <v>62</v>
      </c>
      <c r="AM76" s="80" t="s">
        <v>63</v>
      </c>
      <c r="AN76" s="80" t="str">
        <f>IF(AI76="","",$AN$2)</f>
        <v>C</v>
      </c>
      <c r="AO76" s="80" t="str">
        <f>IF(N76="","",IF(N76&gt;=$AO$1/100,"O","X"))</f>
        <v/>
      </c>
      <c r="AP76" s="80" t="str">
        <f>IF(I76="","",IF(I76&lt;=$AP$1,"O","X"))</f>
        <v/>
      </c>
      <c r="AQ76" s="80" t="str">
        <f>IF(O76="","",IF(O76&lt;=$AQ$1,"O","X"))</f>
        <v>O</v>
      </c>
      <c r="AR76" s="80" t="str">
        <f>IF(M76="","",IF(M76&lt;=$AR$1,"O","X"))</f>
        <v>O</v>
      </c>
      <c r="AS76" s="80" t="s">
        <v>2</v>
      </c>
      <c r="AT76" s="80" t="str">
        <f>IF(OR(F76="",AI76=""),"",IF(AND((F76&lt;=85),(AI76&gt;=15)),"O","X"))</f>
        <v>X</v>
      </c>
      <c r="AU76" s="80" t="str">
        <f>IF(C76="","",IF(C76&gt;=$AU$1,"O","X"))</f>
        <v>O</v>
      </c>
      <c r="AV76" s="80" t="str">
        <f>IF(AO76="","",IF(AND(AO76="O",AP76="O",AR76="O",AT76="O",AU76="O"),"후보","X"))</f>
        <v/>
      </c>
    </row>
    <row r="77" spans="1:48" s="37" customFormat="1" ht="12" x14ac:dyDescent="0.3">
      <c r="A77" s="75" t="s">
        <v>1143</v>
      </c>
      <c r="B77" s="76" t="s">
        <v>1017</v>
      </c>
      <c r="C77" s="86">
        <v>499</v>
      </c>
      <c r="D77" s="87">
        <v>41.1</v>
      </c>
      <c r="E77" s="88">
        <v>12</v>
      </c>
      <c r="F77" s="87">
        <v>29.9</v>
      </c>
      <c r="G77" s="17">
        <v>9</v>
      </c>
      <c r="H77" s="89">
        <v>499</v>
      </c>
      <c r="I77" s="90">
        <v>4600</v>
      </c>
      <c r="J77" s="90" t="s">
        <v>68</v>
      </c>
      <c r="K77" s="90"/>
      <c r="L77" s="90"/>
      <c r="M77" s="91">
        <f>I77-K77</f>
        <v>4600</v>
      </c>
      <c r="N77" s="4">
        <f>IF(ISERROR(K77/I77),"",K77/I77)</f>
        <v>0</v>
      </c>
      <c r="O77" s="92">
        <f>I77/E77</f>
        <v>383.33333333333331</v>
      </c>
      <c r="P77" s="92">
        <f>K77/E77</f>
        <v>0</v>
      </c>
      <c r="Q77" s="80">
        <v>1</v>
      </c>
      <c r="R77" s="80">
        <v>1</v>
      </c>
      <c r="S77" s="80" t="s">
        <v>85</v>
      </c>
      <c r="T77" s="5">
        <v>41</v>
      </c>
      <c r="U77" s="9"/>
      <c r="W77" s="87">
        <f>D77</f>
        <v>41.1</v>
      </c>
      <c r="X77" s="88">
        <f>E77</f>
        <v>12</v>
      </c>
      <c r="Y77" s="93">
        <f>H77</f>
        <v>499</v>
      </c>
      <c r="Z77" s="91">
        <f>I77</f>
        <v>4600</v>
      </c>
      <c r="AA77" s="91">
        <f>K77</f>
        <v>0</v>
      </c>
      <c r="AB77" s="91">
        <f>M77</f>
        <v>4600</v>
      </c>
      <c r="AC77" s="4">
        <f>N77</f>
        <v>0</v>
      </c>
      <c r="AD77" s="92">
        <f>O77</f>
        <v>383.33333333333331</v>
      </c>
      <c r="AE77" s="80" t="str">
        <f>S77</f>
        <v>복</v>
      </c>
      <c r="AF77" s="80" t="str">
        <f>Q77&amp;"/"&amp;R77</f>
        <v>1/1</v>
      </c>
      <c r="AH77" s="20" t="str">
        <f t="shared" si="52"/>
        <v>사천동 정도드림-빌</v>
      </c>
      <c r="AI77" s="88">
        <f t="shared" si="53"/>
        <v>12</v>
      </c>
      <c r="AJ77" s="80" t="str">
        <f>IF(AI77="","",$AJ$2)</f>
        <v>A-</v>
      </c>
      <c r="AK77" s="80" t="s">
        <v>13</v>
      </c>
      <c r="AL77" s="80" t="s">
        <v>62</v>
      </c>
      <c r="AM77" s="80" t="s">
        <v>63</v>
      </c>
      <c r="AN77" s="80" t="str">
        <f>IF(AI77="","",$AN$2)</f>
        <v>C</v>
      </c>
      <c r="AO77" s="80" t="str">
        <f>IF(N77="","",IF(N77&gt;=$AO$1/100,"O","X"))</f>
        <v>X</v>
      </c>
      <c r="AP77" s="80" t="str">
        <f>IF(I77="","",IF(I77&lt;=$AP$1,"O","X"))</f>
        <v>O</v>
      </c>
      <c r="AQ77" s="80" t="str">
        <f>IF(O77="","",IF(O77&lt;=$AQ$1,"O","X"))</f>
        <v>O</v>
      </c>
      <c r="AR77" s="80" t="str">
        <f>IF(M77="","",IF(M77&lt;=$AR$1,"O","X"))</f>
        <v>O</v>
      </c>
      <c r="AS77" s="80" t="s">
        <v>2</v>
      </c>
      <c r="AT77" s="80" t="str">
        <f>IF(OR(F77="",AI77=""),"",IF(AND((F77&lt;=85),(AI77&gt;=15)),"O","X"))</f>
        <v>X</v>
      </c>
      <c r="AU77" s="80" t="str">
        <f>IF(C77="","",IF(C77&gt;=$AU$1,"O","X"))</f>
        <v>O</v>
      </c>
      <c r="AV77" s="80" t="str">
        <f>IF(AO77="","",IF(AND(AO77="O",AP77="O",AR77="O",AT77="O",AU77="O"),"후보","X"))</f>
        <v>X</v>
      </c>
    </row>
    <row r="78" spans="1:48" s="37" customFormat="1" ht="12" x14ac:dyDescent="0.3">
      <c r="A78" s="75" t="s">
        <v>1019</v>
      </c>
      <c r="B78" s="76" t="s">
        <v>995</v>
      </c>
      <c r="C78" s="86">
        <v>478</v>
      </c>
      <c r="D78" s="87">
        <v>112.8</v>
      </c>
      <c r="E78" s="88">
        <v>34</v>
      </c>
      <c r="F78" s="87">
        <v>84.5</v>
      </c>
      <c r="G78" s="17">
        <v>26</v>
      </c>
      <c r="H78" s="89">
        <v>155</v>
      </c>
      <c r="I78" s="90"/>
      <c r="J78" s="90"/>
      <c r="K78" s="90"/>
      <c r="L78" s="90"/>
      <c r="M78" s="91">
        <f t="shared" ref="M78:M83" si="54">I78-K78</f>
        <v>0</v>
      </c>
      <c r="N78" s="4" t="str">
        <f t="shared" ref="N78:N83" si="55">IF(ISERROR(K78/I78),"",K78/I78)</f>
        <v/>
      </c>
      <c r="O78" s="92">
        <f t="shared" ref="O78:O83" si="56">I78/E78</f>
        <v>0</v>
      </c>
      <c r="P78" s="92">
        <f t="shared" ref="P78:P83" si="57">K78/E78</f>
        <v>0</v>
      </c>
      <c r="Q78" s="80">
        <v>3</v>
      </c>
      <c r="R78" s="80">
        <v>2</v>
      </c>
      <c r="S78" s="80" t="s">
        <v>61</v>
      </c>
      <c r="T78" s="5" t="s">
        <v>87</v>
      </c>
      <c r="U78" s="9"/>
      <c r="W78" s="87">
        <f t="shared" ref="W78:X86" si="58">D78</f>
        <v>112.8</v>
      </c>
      <c r="X78" s="88">
        <f t="shared" si="58"/>
        <v>34</v>
      </c>
      <c r="Y78" s="93">
        <f t="shared" ref="Y78:Z86" si="59">H78</f>
        <v>155</v>
      </c>
      <c r="Z78" s="91">
        <f t="shared" si="59"/>
        <v>0</v>
      </c>
      <c r="AA78" s="91">
        <f t="shared" ref="AA78:AA83" si="60">K78</f>
        <v>0</v>
      </c>
      <c r="AB78" s="91">
        <f t="shared" ref="AB78:AD93" si="61">M78</f>
        <v>0</v>
      </c>
      <c r="AC78" s="4" t="str">
        <f t="shared" si="61"/>
        <v/>
      </c>
      <c r="AD78" s="92">
        <f t="shared" si="61"/>
        <v>0</v>
      </c>
      <c r="AE78" s="80" t="str">
        <f t="shared" ref="AE78:AE83" si="62">S78</f>
        <v>계</v>
      </c>
      <c r="AF78" s="80" t="str">
        <f t="shared" ref="AF78:AF83" si="63">Q78&amp;"/"&amp;R78</f>
        <v>3/2</v>
      </c>
      <c r="AH78" s="20" t="str">
        <f t="shared" si="52"/>
        <v>사천동 남광하우스토리B단지</v>
      </c>
      <c r="AI78" s="88">
        <f t="shared" si="53"/>
        <v>34</v>
      </c>
      <c r="AJ78" s="80" t="str">
        <f t="shared" ref="AJ78:AJ83" si="64">IF(AI78="","",$AJ$2)</f>
        <v>A-</v>
      </c>
      <c r="AK78" s="80" t="s">
        <v>13</v>
      </c>
      <c r="AL78" s="80" t="s">
        <v>62</v>
      </c>
      <c r="AM78" s="80" t="s">
        <v>63</v>
      </c>
      <c r="AN78" s="80" t="str">
        <f t="shared" ref="AN78:AN83" si="65">IF(AI78="","",$AN$2)</f>
        <v>C</v>
      </c>
      <c r="AO78" s="80" t="str">
        <f t="shared" ref="AO78:AO83" si="66">IF(N78="","",IF(N78&gt;=$AO$1/100,"O","X"))</f>
        <v/>
      </c>
      <c r="AP78" s="80" t="str">
        <f t="shared" ref="AP78:AP83" si="67">IF(I78="","",IF(I78&lt;=$AP$1,"O","X"))</f>
        <v/>
      </c>
      <c r="AQ78" s="80" t="str">
        <f t="shared" ref="AQ78:AQ83" si="68">IF(O78="","",IF(O78&lt;=$AQ$1,"O","X"))</f>
        <v>O</v>
      </c>
      <c r="AR78" s="80" t="str">
        <f t="shared" ref="AR78:AR83" si="69">IF(M78="","",IF(M78&lt;=$AR$1,"O","X"))</f>
        <v>O</v>
      </c>
      <c r="AS78" s="80" t="s">
        <v>2</v>
      </c>
      <c r="AT78" s="80" t="str">
        <f t="shared" ref="AT78:AT83" si="70">IF(OR(F78="",AI78=""),"",IF(AND((F78&lt;=85),(AI78&gt;=15)),"O","X"))</f>
        <v>O</v>
      </c>
      <c r="AU78" s="80" t="str">
        <f t="shared" ref="AU78:AU83" si="71">IF(C78="","",IF(C78&gt;=$AU$1,"O","X"))</f>
        <v>O</v>
      </c>
      <c r="AV78" s="80" t="str">
        <f t="shared" ref="AV78:AV83" si="72">IF(AO78="","",IF(AND(AO78="O",AP78="O",AR78="O",AT78="O",AU78="O"),"후보","X"))</f>
        <v/>
      </c>
    </row>
    <row r="79" spans="1:48" s="37" customFormat="1" ht="12" x14ac:dyDescent="0.3">
      <c r="A79" s="75" t="s">
        <v>1018</v>
      </c>
      <c r="B79" s="76" t="s">
        <v>995</v>
      </c>
      <c r="C79" s="86">
        <v>478</v>
      </c>
      <c r="D79" s="87">
        <v>114.3</v>
      </c>
      <c r="E79" s="88">
        <v>35</v>
      </c>
      <c r="F79" s="87">
        <v>84.1</v>
      </c>
      <c r="G79" s="17">
        <v>25</v>
      </c>
      <c r="H79" s="89">
        <v>49</v>
      </c>
      <c r="I79" s="90"/>
      <c r="J79" s="90"/>
      <c r="K79" s="90"/>
      <c r="L79" s="90"/>
      <c r="M79" s="91">
        <f t="shared" si="54"/>
        <v>0</v>
      </c>
      <c r="N79" s="4" t="str">
        <f t="shared" si="55"/>
        <v/>
      </c>
      <c r="O79" s="92">
        <f t="shared" si="56"/>
        <v>0</v>
      </c>
      <c r="P79" s="92">
        <f t="shared" si="57"/>
        <v>0</v>
      </c>
      <c r="Q79" s="80">
        <v>3</v>
      </c>
      <c r="R79" s="80">
        <v>2</v>
      </c>
      <c r="S79" s="80" t="s">
        <v>61</v>
      </c>
      <c r="T79" s="5" t="s">
        <v>78</v>
      </c>
      <c r="U79" s="9"/>
      <c r="W79" s="87">
        <f t="shared" si="58"/>
        <v>114.3</v>
      </c>
      <c r="X79" s="88">
        <f t="shared" si="58"/>
        <v>35</v>
      </c>
      <c r="Y79" s="93">
        <f t="shared" si="59"/>
        <v>49</v>
      </c>
      <c r="Z79" s="91">
        <f t="shared" si="59"/>
        <v>0</v>
      </c>
      <c r="AA79" s="91">
        <f t="shared" si="60"/>
        <v>0</v>
      </c>
      <c r="AB79" s="91">
        <f t="shared" si="61"/>
        <v>0</v>
      </c>
      <c r="AC79" s="4" t="str">
        <f t="shared" si="61"/>
        <v/>
      </c>
      <c r="AD79" s="92">
        <f t="shared" si="61"/>
        <v>0</v>
      </c>
      <c r="AE79" s="80" t="str">
        <f t="shared" si="62"/>
        <v>계</v>
      </c>
      <c r="AF79" s="80" t="str">
        <f t="shared" si="63"/>
        <v>3/2</v>
      </c>
      <c r="AH79" s="20" t="str">
        <f t="shared" si="52"/>
        <v>사천동 남광하우스토리B단지</v>
      </c>
      <c r="AI79" s="88">
        <f t="shared" si="53"/>
        <v>35</v>
      </c>
      <c r="AJ79" s="80" t="str">
        <f t="shared" si="64"/>
        <v>A-</v>
      </c>
      <c r="AK79" s="80" t="s">
        <v>13</v>
      </c>
      <c r="AL79" s="80" t="s">
        <v>62</v>
      </c>
      <c r="AM79" s="80" t="s">
        <v>63</v>
      </c>
      <c r="AN79" s="80" t="str">
        <f t="shared" si="65"/>
        <v>C</v>
      </c>
      <c r="AO79" s="80" t="str">
        <f t="shared" si="66"/>
        <v/>
      </c>
      <c r="AP79" s="80" t="str">
        <f t="shared" si="67"/>
        <v/>
      </c>
      <c r="AQ79" s="80" t="str">
        <f t="shared" si="68"/>
        <v>O</v>
      </c>
      <c r="AR79" s="80" t="str">
        <f t="shared" si="69"/>
        <v>O</v>
      </c>
      <c r="AS79" s="80" t="s">
        <v>2</v>
      </c>
      <c r="AT79" s="80" t="str">
        <f t="shared" si="70"/>
        <v>O</v>
      </c>
      <c r="AU79" s="80" t="str">
        <f t="shared" si="71"/>
        <v>O</v>
      </c>
      <c r="AV79" s="80" t="str">
        <f t="shared" si="72"/>
        <v/>
      </c>
    </row>
    <row r="80" spans="1:48" s="37" customFormat="1" ht="12" x14ac:dyDescent="0.3">
      <c r="A80" s="75" t="s">
        <v>1018</v>
      </c>
      <c r="B80" s="76" t="s">
        <v>996</v>
      </c>
      <c r="C80" s="86">
        <v>478</v>
      </c>
      <c r="D80" s="87">
        <v>130</v>
      </c>
      <c r="E80" s="88">
        <v>39</v>
      </c>
      <c r="F80" s="87">
        <v>102.2</v>
      </c>
      <c r="G80" s="17">
        <v>31</v>
      </c>
      <c r="H80" s="89">
        <v>108</v>
      </c>
      <c r="I80" s="90"/>
      <c r="J80" s="90"/>
      <c r="K80" s="90"/>
      <c r="L80" s="90"/>
      <c r="M80" s="91">
        <f t="shared" si="54"/>
        <v>0</v>
      </c>
      <c r="N80" s="4" t="str">
        <f t="shared" si="55"/>
        <v/>
      </c>
      <c r="O80" s="92">
        <f t="shared" si="56"/>
        <v>0</v>
      </c>
      <c r="P80" s="92">
        <f t="shared" si="57"/>
        <v>0</v>
      </c>
      <c r="Q80" s="80">
        <v>3</v>
      </c>
      <c r="R80" s="80">
        <v>2</v>
      </c>
      <c r="S80" s="80" t="s">
        <v>61</v>
      </c>
      <c r="T80" s="5">
        <v>130</v>
      </c>
      <c r="U80" s="9"/>
      <c r="W80" s="87">
        <f t="shared" si="58"/>
        <v>130</v>
      </c>
      <c r="X80" s="88">
        <f t="shared" si="58"/>
        <v>39</v>
      </c>
      <c r="Y80" s="93">
        <f t="shared" si="59"/>
        <v>108</v>
      </c>
      <c r="Z80" s="91">
        <f t="shared" si="59"/>
        <v>0</v>
      </c>
      <c r="AA80" s="91">
        <f t="shared" si="60"/>
        <v>0</v>
      </c>
      <c r="AB80" s="91">
        <f t="shared" si="61"/>
        <v>0</v>
      </c>
      <c r="AC80" s="4" t="str">
        <f t="shared" si="61"/>
        <v/>
      </c>
      <c r="AD80" s="92">
        <f t="shared" si="61"/>
        <v>0</v>
      </c>
      <c r="AE80" s="80" t="str">
        <f t="shared" si="62"/>
        <v>계</v>
      </c>
      <c r="AF80" s="80" t="str">
        <f t="shared" si="63"/>
        <v>3/2</v>
      </c>
      <c r="AH80" s="20" t="str">
        <f t="shared" si="52"/>
        <v>사천동 남광하우스토리B단지</v>
      </c>
      <c r="AI80" s="88">
        <f t="shared" si="53"/>
        <v>39</v>
      </c>
      <c r="AJ80" s="80" t="str">
        <f t="shared" si="64"/>
        <v>A-</v>
      </c>
      <c r="AK80" s="80" t="s">
        <v>13</v>
      </c>
      <c r="AL80" s="80" t="s">
        <v>62</v>
      </c>
      <c r="AM80" s="80" t="s">
        <v>63</v>
      </c>
      <c r="AN80" s="80" t="str">
        <f t="shared" si="65"/>
        <v>C</v>
      </c>
      <c r="AO80" s="80" t="str">
        <f t="shared" si="66"/>
        <v/>
      </c>
      <c r="AP80" s="80" t="str">
        <f t="shared" si="67"/>
        <v/>
      </c>
      <c r="AQ80" s="80" t="str">
        <f t="shared" si="68"/>
        <v>O</v>
      </c>
      <c r="AR80" s="80" t="str">
        <f t="shared" si="69"/>
        <v>O</v>
      </c>
      <c r="AS80" s="80" t="s">
        <v>2</v>
      </c>
      <c r="AT80" s="80" t="str">
        <f t="shared" si="70"/>
        <v>X</v>
      </c>
      <c r="AU80" s="80" t="str">
        <f t="shared" si="71"/>
        <v>O</v>
      </c>
      <c r="AV80" s="80" t="str">
        <f t="shared" si="72"/>
        <v/>
      </c>
    </row>
    <row r="81" spans="1:48" s="37" customFormat="1" ht="12" x14ac:dyDescent="0.3">
      <c r="A81" s="75" t="s">
        <v>1144</v>
      </c>
      <c r="B81" s="76" t="s">
        <v>995</v>
      </c>
      <c r="C81" s="86">
        <v>478</v>
      </c>
      <c r="D81" s="87">
        <v>154.1</v>
      </c>
      <c r="E81" s="88">
        <v>47</v>
      </c>
      <c r="F81" s="87">
        <v>124.6</v>
      </c>
      <c r="G81" s="17">
        <v>38</v>
      </c>
      <c r="H81" s="89">
        <v>88</v>
      </c>
      <c r="I81" s="90">
        <v>47000</v>
      </c>
      <c r="J81" s="90" t="s">
        <v>69</v>
      </c>
      <c r="K81" s="90">
        <v>35000</v>
      </c>
      <c r="L81" s="90" t="s">
        <v>65</v>
      </c>
      <c r="M81" s="91">
        <f t="shared" si="54"/>
        <v>12000</v>
      </c>
      <c r="N81" s="4">
        <f t="shared" si="55"/>
        <v>0.74468085106382975</v>
      </c>
      <c r="O81" s="92">
        <f t="shared" si="56"/>
        <v>1000</v>
      </c>
      <c r="P81" s="92">
        <f t="shared" si="57"/>
        <v>744.68085106382978</v>
      </c>
      <c r="Q81" s="80">
        <v>4</v>
      </c>
      <c r="R81" s="80">
        <v>2</v>
      </c>
      <c r="S81" s="80" t="s">
        <v>61</v>
      </c>
      <c r="T81" s="5">
        <v>154</v>
      </c>
      <c r="U81" s="9"/>
      <c r="W81" s="87">
        <f t="shared" si="58"/>
        <v>154.1</v>
      </c>
      <c r="X81" s="88">
        <f t="shared" si="58"/>
        <v>47</v>
      </c>
      <c r="Y81" s="93">
        <f t="shared" si="59"/>
        <v>88</v>
      </c>
      <c r="Z81" s="91">
        <f t="shared" si="59"/>
        <v>47000</v>
      </c>
      <c r="AA81" s="91">
        <f t="shared" si="60"/>
        <v>35000</v>
      </c>
      <c r="AB81" s="91">
        <f t="shared" si="61"/>
        <v>12000</v>
      </c>
      <c r="AC81" s="4">
        <f t="shared" si="61"/>
        <v>0.74468085106382975</v>
      </c>
      <c r="AD81" s="92">
        <f t="shared" si="61"/>
        <v>1000</v>
      </c>
      <c r="AE81" s="80" t="str">
        <f t="shared" si="62"/>
        <v>계</v>
      </c>
      <c r="AF81" s="80" t="str">
        <f t="shared" si="63"/>
        <v>4/2</v>
      </c>
      <c r="AH81" s="20" t="str">
        <f t="shared" si="52"/>
        <v>사천동 남광하우스토리B단지</v>
      </c>
      <c r="AI81" s="88">
        <f t="shared" si="53"/>
        <v>47</v>
      </c>
      <c r="AJ81" s="80" t="str">
        <f t="shared" si="64"/>
        <v>A-</v>
      </c>
      <c r="AK81" s="80" t="s">
        <v>13</v>
      </c>
      <c r="AL81" s="80" t="s">
        <v>62</v>
      </c>
      <c r="AM81" s="80" t="s">
        <v>63</v>
      </c>
      <c r="AN81" s="80" t="str">
        <f t="shared" si="65"/>
        <v>C</v>
      </c>
      <c r="AO81" s="80" t="str">
        <f t="shared" si="66"/>
        <v>X</v>
      </c>
      <c r="AP81" s="80" t="str">
        <f t="shared" si="67"/>
        <v>X</v>
      </c>
      <c r="AQ81" s="80" t="str">
        <f t="shared" si="68"/>
        <v>O</v>
      </c>
      <c r="AR81" s="80" t="str">
        <f t="shared" si="69"/>
        <v>X</v>
      </c>
      <c r="AS81" s="80" t="s">
        <v>2</v>
      </c>
      <c r="AT81" s="80" t="str">
        <f t="shared" si="70"/>
        <v>X</v>
      </c>
      <c r="AU81" s="80" t="str">
        <f t="shared" si="71"/>
        <v>O</v>
      </c>
      <c r="AV81" s="80" t="str">
        <f t="shared" si="72"/>
        <v>X</v>
      </c>
    </row>
    <row r="82" spans="1:48" s="37" customFormat="1" ht="12" x14ac:dyDescent="0.3">
      <c r="A82" s="75" t="s">
        <v>1019</v>
      </c>
      <c r="B82" s="76" t="s">
        <v>995</v>
      </c>
      <c r="C82" s="86">
        <v>478</v>
      </c>
      <c r="D82" s="87">
        <v>193.7</v>
      </c>
      <c r="E82" s="88">
        <v>59</v>
      </c>
      <c r="F82" s="87">
        <v>157.4</v>
      </c>
      <c r="G82" s="17">
        <v>48</v>
      </c>
      <c r="H82" s="89">
        <v>72</v>
      </c>
      <c r="I82" s="90">
        <v>60000</v>
      </c>
      <c r="J82" s="90" t="s">
        <v>86</v>
      </c>
      <c r="K82" s="90"/>
      <c r="L82" s="90"/>
      <c r="M82" s="91">
        <f t="shared" si="54"/>
        <v>60000</v>
      </c>
      <c r="N82" s="4">
        <f t="shared" si="55"/>
        <v>0</v>
      </c>
      <c r="O82" s="92">
        <f t="shared" si="56"/>
        <v>1016.9491525423729</v>
      </c>
      <c r="P82" s="92">
        <f t="shared" si="57"/>
        <v>0</v>
      </c>
      <c r="Q82" s="80">
        <v>4</v>
      </c>
      <c r="R82" s="80">
        <v>2</v>
      </c>
      <c r="S82" s="80" t="s">
        <v>61</v>
      </c>
      <c r="T82" s="5">
        <v>193</v>
      </c>
      <c r="U82" s="9"/>
      <c r="W82" s="87">
        <f t="shared" si="58"/>
        <v>193.7</v>
      </c>
      <c r="X82" s="88">
        <f t="shared" si="58"/>
        <v>59</v>
      </c>
      <c r="Y82" s="93">
        <f t="shared" si="59"/>
        <v>72</v>
      </c>
      <c r="Z82" s="91">
        <f t="shared" si="59"/>
        <v>60000</v>
      </c>
      <c r="AA82" s="91">
        <f t="shared" si="60"/>
        <v>0</v>
      </c>
      <c r="AB82" s="91">
        <f t="shared" si="61"/>
        <v>60000</v>
      </c>
      <c r="AC82" s="4">
        <f t="shared" si="61"/>
        <v>0</v>
      </c>
      <c r="AD82" s="92">
        <f t="shared" si="61"/>
        <v>1016.9491525423729</v>
      </c>
      <c r="AE82" s="80" t="str">
        <f t="shared" si="62"/>
        <v>계</v>
      </c>
      <c r="AF82" s="80" t="str">
        <f t="shared" si="63"/>
        <v>4/2</v>
      </c>
      <c r="AH82" s="20" t="str">
        <f t="shared" si="52"/>
        <v>사천동 남광하우스토리B단지</v>
      </c>
      <c r="AI82" s="88">
        <f t="shared" si="53"/>
        <v>59</v>
      </c>
      <c r="AJ82" s="80" t="str">
        <f t="shared" si="64"/>
        <v>A-</v>
      </c>
      <c r="AK82" s="80" t="s">
        <v>13</v>
      </c>
      <c r="AL82" s="80" t="s">
        <v>62</v>
      </c>
      <c r="AM82" s="80" t="s">
        <v>63</v>
      </c>
      <c r="AN82" s="80" t="str">
        <f t="shared" si="65"/>
        <v>C</v>
      </c>
      <c r="AO82" s="80" t="str">
        <f t="shared" si="66"/>
        <v>X</v>
      </c>
      <c r="AP82" s="80" t="str">
        <f t="shared" si="67"/>
        <v>X</v>
      </c>
      <c r="AQ82" s="80" t="str">
        <f t="shared" si="68"/>
        <v>X</v>
      </c>
      <c r="AR82" s="80" t="str">
        <f t="shared" si="69"/>
        <v>X</v>
      </c>
      <c r="AS82" s="80" t="s">
        <v>2</v>
      </c>
      <c r="AT82" s="80" t="str">
        <f t="shared" si="70"/>
        <v>X</v>
      </c>
      <c r="AU82" s="80" t="str">
        <f t="shared" si="71"/>
        <v>O</v>
      </c>
      <c r="AV82" s="80" t="str">
        <f t="shared" si="72"/>
        <v>X</v>
      </c>
    </row>
    <row r="83" spans="1:48" s="37" customFormat="1" ht="12" x14ac:dyDescent="0.3">
      <c r="A83" s="75" t="s">
        <v>1019</v>
      </c>
      <c r="B83" s="76" t="s">
        <v>1145</v>
      </c>
      <c r="C83" s="86">
        <v>478</v>
      </c>
      <c r="D83" s="87">
        <v>229.7</v>
      </c>
      <c r="E83" s="88">
        <v>69</v>
      </c>
      <c r="F83" s="87">
        <v>183.3</v>
      </c>
      <c r="G83" s="17">
        <v>55</v>
      </c>
      <c r="H83" s="89">
        <v>6</v>
      </c>
      <c r="I83" s="90"/>
      <c r="J83" s="90"/>
      <c r="K83" s="90"/>
      <c r="L83" s="90"/>
      <c r="M83" s="91">
        <f t="shared" si="54"/>
        <v>0</v>
      </c>
      <c r="N83" s="4" t="str">
        <f t="shared" si="55"/>
        <v/>
      </c>
      <c r="O83" s="92">
        <f t="shared" si="56"/>
        <v>0</v>
      </c>
      <c r="P83" s="92">
        <f t="shared" si="57"/>
        <v>0</v>
      </c>
      <c r="Q83" s="80">
        <v>5</v>
      </c>
      <c r="R83" s="80">
        <v>3</v>
      </c>
      <c r="S83" s="80" t="s">
        <v>61</v>
      </c>
      <c r="T83" s="5">
        <v>229</v>
      </c>
      <c r="U83" s="9"/>
      <c r="W83" s="87">
        <f t="shared" si="58"/>
        <v>229.7</v>
      </c>
      <c r="X83" s="88">
        <f t="shared" si="58"/>
        <v>69</v>
      </c>
      <c r="Y83" s="93">
        <f t="shared" si="59"/>
        <v>6</v>
      </c>
      <c r="Z83" s="91">
        <f t="shared" si="59"/>
        <v>0</v>
      </c>
      <c r="AA83" s="91">
        <f t="shared" si="60"/>
        <v>0</v>
      </c>
      <c r="AB83" s="91">
        <f t="shared" si="61"/>
        <v>0</v>
      </c>
      <c r="AC83" s="4" t="str">
        <f t="shared" si="61"/>
        <v/>
      </c>
      <c r="AD83" s="92">
        <f t="shared" si="61"/>
        <v>0</v>
      </c>
      <c r="AE83" s="80" t="str">
        <f t="shared" si="62"/>
        <v>계</v>
      </c>
      <c r="AF83" s="80" t="str">
        <f t="shared" si="63"/>
        <v>5/3</v>
      </c>
      <c r="AH83" s="20" t="str">
        <f t="shared" si="52"/>
        <v>사천동 남광하우스토리B단지</v>
      </c>
      <c r="AI83" s="88">
        <f t="shared" si="53"/>
        <v>69</v>
      </c>
      <c r="AJ83" s="80" t="str">
        <f t="shared" si="64"/>
        <v>A-</v>
      </c>
      <c r="AK83" s="80" t="s">
        <v>13</v>
      </c>
      <c r="AL83" s="80" t="s">
        <v>62</v>
      </c>
      <c r="AM83" s="80" t="s">
        <v>63</v>
      </c>
      <c r="AN83" s="80" t="str">
        <f t="shared" si="65"/>
        <v>C</v>
      </c>
      <c r="AO83" s="80" t="str">
        <f t="shared" si="66"/>
        <v/>
      </c>
      <c r="AP83" s="80" t="str">
        <f t="shared" si="67"/>
        <v/>
      </c>
      <c r="AQ83" s="80" t="str">
        <f t="shared" si="68"/>
        <v>O</v>
      </c>
      <c r="AR83" s="80" t="str">
        <f t="shared" si="69"/>
        <v>O</v>
      </c>
      <c r="AS83" s="80" t="s">
        <v>2</v>
      </c>
      <c r="AT83" s="80" t="str">
        <f t="shared" si="70"/>
        <v>X</v>
      </c>
      <c r="AU83" s="80" t="str">
        <f t="shared" si="71"/>
        <v>O</v>
      </c>
      <c r="AV83" s="80" t="str">
        <f t="shared" si="72"/>
        <v/>
      </c>
    </row>
    <row r="84" spans="1:48" s="37" customFormat="1" ht="12" x14ac:dyDescent="0.3">
      <c r="A84" s="75" t="s">
        <v>1146</v>
      </c>
      <c r="B84" s="76" t="s">
        <v>1022</v>
      </c>
      <c r="C84" s="86">
        <v>592</v>
      </c>
      <c r="D84" s="87">
        <v>98.6</v>
      </c>
      <c r="E84" s="88">
        <v>30</v>
      </c>
      <c r="F84" s="87">
        <v>75.3</v>
      </c>
      <c r="G84" s="17">
        <v>23</v>
      </c>
      <c r="H84" s="89">
        <v>126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80">
        <v>3</v>
      </c>
      <c r="R84" s="80">
        <v>2</v>
      </c>
      <c r="S84" s="80" t="s">
        <v>61</v>
      </c>
      <c r="T84" s="5">
        <v>98</v>
      </c>
      <c r="U84" s="9"/>
      <c r="W84" s="87">
        <f t="shared" si="58"/>
        <v>98.6</v>
      </c>
      <c r="X84" s="88">
        <f t="shared" si="58"/>
        <v>30</v>
      </c>
      <c r="Y84" s="93">
        <f t="shared" si="59"/>
        <v>126</v>
      </c>
      <c r="Z84" s="91">
        <f t="shared" si="59"/>
        <v>0</v>
      </c>
      <c r="AA84" s="91">
        <f>K84</f>
        <v>0</v>
      </c>
      <c r="AB84" s="91">
        <f t="shared" si="61"/>
        <v>0</v>
      </c>
      <c r="AC84" s="4" t="str">
        <f t="shared" si="61"/>
        <v/>
      </c>
      <c r="AD84" s="92">
        <f t="shared" si="61"/>
        <v>0</v>
      </c>
      <c r="AE84" s="80" t="str">
        <f>S84</f>
        <v>계</v>
      </c>
      <c r="AF84" s="80" t="str">
        <f>Q84&amp;"/"&amp;R84</f>
        <v>3/2</v>
      </c>
      <c r="AH84" s="20" t="str">
        <f t="shared" si="52"/>
        <v>오창읍 대원칸타빌(2블럭)</v>
      </c>
      <c r="AI84" s="88">
        <f t="shared" si="53"/>
        <v>30</v>
      </c>
      <c r="AJ84" s="80" t="str">
        <f>IF(AI84="","",$AJ$2)</f>
        <v>A-</v>
      </c>
      <c r="AK84" s="80" t="s">
        <v>13</v>
      </c>
      <c r="AL84" s="80" t="s">
        <v>62</v>
      </c>
      <c r="AM84" s="80" t="s">
        <v>63</v>
      </c>
      <c r="AN84" s="80" t="str">
        <f>IF(AI84="","",$AN$2)</f>
        <v>C</v>
      </c>
      <c r="AO84" s="80" t="str">
        <f>IF(N84="","",IF(N84&gt;=$AO$1/100,"O","X"))</f>
        <v/>
      </c>
      <c r="AP84" s="80" t="str">
        <f>IF(I84="","",IF(I84&lt;=$AP$1,"O","X"))</f>
        <v/>
      </c>
      <c r="AQ84" s="80" t="str">
        <f>IF(O84="","",IF(O84&lt;=$AQ$1,"O","X"))</f>
        <v>O</v>
      </c>
      <c r="AR84" s="80" t="str">
        <f>IF(M84="","",IF(M84&lt;=$AR$1,"O","X"))</f>
        <v>O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/>
      </c>
    </row>
    <row r="85" spans="1:48" s="37" customFormat="1" ht="12" x14ac:dyDescent="0.3">
      <c r="A85" s="75" t="s">
        <v>1147</v>
      </c>
      <c r="B85" s="76" t="s">
        <v>1022</v>
      </c>
      <c r="C85" s="86">
        <v>592</v>
      </c>
      <c r="D85" s="87">
        <v>111.5</v>
      </c>
      <c r="E85" s="88">
        <v>34</v>
      </c>
      <c r="F85" s="87">
        <v>85</v>
      </c>
      <c r="G85" s="17">
        <v>26</v>
      </c>
      <c r="H85" s="89">
        <v>408</v>
      </c>
      <c r="I85" s="90">
        <v>39000</v>
      </c>
      <c r="J85" s="90" t="s">
        <v>70</v>
      </c>
      <c r="K85" s="90">
        <v>33000</v>
      </c>
      <c r="L85" s="90" t="s">
        <v>69</v>
      </c>
      <c r="M85" s="91">
        <f>I85-K85</f>
        <v>6000</v>
      </c>
      <c r="N85" s="4">
        <f>IF(ISERROR(K85/I85),"",K85/I85)</f>
        <v>0.84615384615384615</v>
      </c>
      <c r="O85" s="92">
        <f>I85/E85</f>
        <v>1147.0588235294117</v>
      </c>
      <c r="P85" s="92">
        <f>K85/E85</f>
        <v>970.58823529411768</v>
      </c>
      <c r="Q85" s="80">
        <v>3</v>
      </c>
      <c r="R85" s="80">
        <v>2</v>
      </c>
      <c r="S85" s="80" t="s">
        <v>61</v>
      </c>
      <c r="T85" s="5" t="s">
        <v>109</v>
      </c>
      <c r="U85" s="9"/>
      <c r="W85" s="87">
        <f t="shared" si="58"/>
        <v>111.5</v>
      </c>
      <c r="X85" s="88">
        <f t="shared" si="58"/>
        <v>34</v>
      </c>
      <c r="Y85" s="93">
        <f t="shared" si="59"/>
        <v>408</v>
      </c>
      <c r="Z85" s="91">
        <f t="shared" si="59"/>
        <v>39000</v>
      </c>
      <c r="AA85" s="91">
        <f>K85</f>
        <v>33000</v>
      </c>
      <c r="AB85" s="91">
        <f t="shared" si="61"/>
        <v>6000</v>
      </c>
      <c r="AC85" s="4">
        <f t="shared" si="61"/>
        <v>0.84615384615384615</v>
      </c>
      <c r="AD85" s="92">
        <f t="shared" si="61"/>
        <v>1147.0588235294117</v>
      </c>
      <c r="AE85" s="80" t="str">
        <f>S85</f>
        <v>계</v>
      </c>
      <c r="AF85" s="80" t="str">
        <f>Q85&amp;"/"&amp;R85</f>
        <v>3/2</v>
      </c>
      <c r="AH85" s="20" t="str">
        <f t="shared" si="52"/>
        <v>오창읍 대원칸타빌(2블럭)</v>
      </c>
      <c r="AI85" s="88">
        <f t="shared" si="53"/>
        <v>34</v>
      </c>
      <c r="AJ85" s="80" t="str">
        <f>IF(AI85="","",$AJ$2)</f>
        <v>A-</v>
      </c>
      <c r="AK85" s="80" t="s">
        <v>13</v>
      </c>
      <c r="AL85" s="80" t="s">
        <v>62</v>
      </c>
      <c r="AM85" s="80" t="s">
        <v>63</v>
      </c>
      <c r="AN85" s="80" t="str">
        <f>IF(AI85="","",$AN$2)</f>
        <v>C</v>
      </c>
      <c r="AO85" s="80" t="str">
        <f>IF(N85="","",IF(N85&gt;=$AO$1/100,"O","X"))</f>
        <v>O</v>
      </c>
      <c r="AP85" s="80" t="str">
        <f>IF(I85="","",IF(I85&lt;=$AP$1,"O","X"))</f>
        <v>O</v>
      </c>
      <c r="AQ85" s="80" t="str">
        <f>IF(O85="","",IF(O85&lt;=$AQ$1,"O","X"))</f>
        <v>X</v>
      </c>
      <c r="AR85" s="80" t="str">
        <f>IF(M85="","",IF(M85&lt;=$AR$1,"O","X"))</f>
        <v>O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>후보</v>
      </c>
    </row>
    <row r="86" spans="1:48" s="37" customFormat="1" ht="12" x14ac:dyDescent="0.3">
      <c r="A86" s="75" t="s">
        <v>1148</v>
      </c>
      <c r="B86" s="76" t="s">
        <v>1022</v>
      </c>
      <c r="C86" s="86">
        <v>592</v>
      </c>
      <c r="D86" s="87">
        <v>113</v>
      </c>
      <c r="E86" s="88">
        <v>34</v>
      </c>
      <c r="F86" s="87">
        <v>84.9</v>
      </c>
      <c r="G86" s="17">
        <v>26</v>
      </c>
      <c r="H86" s="89">
        <v>58</v>
      </c>
      <c r="I86" s="90">
        <v>42000</v>
      </c>
      <c r="J86" s="90" t="s">
        <v>69</v>
      </c>
      <c r="K86" s="90">
        <v>33000</v>
      </c>
      <c r="L86" s="90" t="s">
        <v>68</v>
      </c>
      <c r="M86" s="91">
        <f>I86-K86</f>
        <v>9000</v>
      </c>
      <c r="N86" s="4">
        <f>IF(ISERROR(K86/I86),"",K86/I86)</f>
        <v>0.7857142857142857</v>
      </c>
      <c r="O86" s="92">
        <f>I86/E86</f>
        <v>1235.2941176470588</v>
      </c>
      <c r="P86" s="92">
        <f>K86/E86</f>
        <v>970.58823529411768</v>
      </c>
      <c r="Q86" s="80">
        <v>3</v>
      </c>
      <c r="R86" s="80">
        <v>2</v>
      </c>
      <c r="S86" s="80" t="s">
        <v>61</v>
      </c>
      <c r="T86" s="5" t="s">
        <v>443</v>
      </c>
      <c r="U86" s="9"/>
      <c r="W86" s="87">
        <f t="shared" si="58"/>
        <v>113</v>
      </c>
      <c r="X86" s="88">
        <f t="shared" si="58"/>
        <v>34</v>
      </c>
      <c r="Y86" s="93">
        <f t="shared" si="59"/>
        <v>58</v>
      </c>
      <c r="Z86" s="91">
        <f t="shared" si="59"/>
        <v>42000</v>
      </c>
      <c r="AA86" s="91">
        <f>K86</f>
        <v>33000</v>
      </c>
      <c r="AB86" s="91">
        <f t="shared" si="61"/>
        <v>9000</v>
      </c>
      <c r="AC86" s="4">
        <f t="shared" si="61"/>
        <v>0.7857142857142857</v>
      </c>
      <c r="AD86" s="92">
        <f t="shared" si="61"/>
        <v>1235.2941176470588</v>
      </c>
      <c r="AE86" s="80" t="str">
        <f>S86</f>
        <v>계</v>
      </c>
      <c r="AF86" s="80" t="str">
        <f>Q86&amp;"/"&amp;R86</f>
        <v>3/2</v>
      </c>
      <c r="AH86" s="20" t="str">
        <f t="shared" si="52"/>
        <v>오창읍 대원칸타빌(2블럭)</v>
      </c>
      <c r="AI86" s="88">
        <f t="shared" si="53"/>
        <v>34</v>
      </c>
      <c r="AJ86" s="80" t="str">
        <f>IF(AI86="","",$AJ$2)</f>
        <v>A-</v>
      </c>
      <c r="AK86" s="80" t="s">
        <v>13</v>
      </c>
      <c r="AL86" s="80" t="s">
        <v>62</v>
      </c>
      <c r="AM86" s="80" t="s">
        <v>63</v>
      </c>
      <c r="AN86" s="80" t="str">
        <f>IF(AI86="","",$AN$2)</f>
        <v>C</v>
      </c>
      <c r="AO86" s="80" t="str">
        <f>IF(N86="","",IF(N86&gt;=$AO$1/100,"O","X"))</f>
        <v>X</v>
      </c>
      <c r="AP86" s="80" t="str">
        <f>IF(I86="","",IF(I86&lt;=$AP$1,"O","X"))</f>
        <v>O</v>
      </c>
      <c r="AQ86" s="80" t="str">
        <f>IF(O86="","",IF(O86&lt;=$AQ$1,"O","X"))</f>
        <v>X</v>
      </c>
      <c r="AR86" s="80" t="str">
        <f>IF(M86="","",IF(M86&lt;=$AR$1,"O","X"))</f>
        <v>X</v>
      </c>
      <c r="AS86" s="80" t="s">
        <v>2</v>
      </c>
      <c r="AT86" s="80" t="str">
        <f>IF(OR(F86="",AI86=""),"",IF(AND((F86&lt;=85),(AI86&gt;=15)),"O","X"))</f>
        <v>O</v>
      </c>
      <c r="AU86" s="80" t="str">
        <f>IF(C86="","",IF(C86&gt;=$AU$1,"O","X"))</f>
        <v>O</v>
      </c>
      <c r="AV86" s="80" t="str">
        <f>IF(AO86="","",IF(AND(AO86="O",AP86="O",AR86="O",AT86="O",AU86="O"),"후보","X"))</f>
        <v>X</v>
      </c>
    </row>
    <row r="87" spans="1:48" s="37" customFormat="1" ht="12" x14ac:dyDescent="0.3">
      <c r="A87" s="75" t="s">
        <v>1149</v>
      </c>
      <c r="B87" s="76" t="s">
        <v>1025</v>
      </c>
      <c r="C87" s="86">
        <v>472</v>
      </c>
      <c r="D87" s="87">
        <v>99.1</v>
      </c>
      <c r="E87" s="88">
        <v>30</v>
      </c>
      <c r="F87" s="87">
        <v>74.8</v>
      </c>
      <c r="G87" s="17">
        <v>23</v>
      </c>
      <c r="H87" s="89">
        <v>71</v>
      </c>
      <c r="I87" s="90">
        <v>34500</v>
      </c>
      <c r="J87" s="90" t="s">
        <v>70</v>
      </c>
      <c r="K87" s="90"/>
      <c r="L87" s="90"/>
      <c r="M87" s="91">
        <f>I87-K87</f>
        <v>34500</v>
      </c>
      <c r="N87" s="4">
        <f>IF(ISERROR(K87/I87),"",K87/I87)</f>
        <v>0</v>
      </c>
      <c r="O87" s="92">
        <f>I87/E87</f>
        <v>1150</v>
      </c>
      <c r="P87" s="92">
        <f>K87/E87</f>
        <v>0</v>
      </c>
      <c r="Q87" s="80">
        <v>3</v>
      </c>
      <c r="R87" s="80">
        <v>2</v>
      </c>
      <c r="S87" s="80" t="s">
        <v>61</v>
      </c>
      <c r="T87" s="5">
        <v>99</v>
      </c>
      <c r="U87" s="9"/>
      <c r="W87" s="87">
        <f>D87</f>
        <v>99.1</v>
      </c>
      <c r="X87" s="88">
        <f>E87</f>
        <v>30</v>
      </c>
      <c r="Y87" s="93">
        <f>H87</f>
        <v>71</v>
      </c>
      <c r="Z87" s="91">
        <f>I87</f>
        <v>34500</v>
      </c>
      <c r="AA87" s="91">
        <f>K87</f>
        <v>0</v>
      </c>
      <c r="AB87" s="91">
        <f t="shared" si="61"/>
        <v>34500</v>
      </c>
      <c r="AC87" s="4">
        <f t="shared" si="61"/>
        <v>0</v>
      </c>
      <c r="AD87" s="92">
        <f t="shared" si="61"/>
        <v>1150</v>
      </c>
      <c r="AE87" s="80" t="str">
        <f>S87</f>
        <v>계</v>
      </c>
      <c r="AF87" s="80" t="str">
        <f>Q87&amp;"/"&amp;R87</f>
        <v>3/2</v>
      </c>
      <c r="AH87" s="20" t="str">
        <f t="shared" si="52"/>
        <v>오창읍 오창모아미래도와이드시티</v>
      </c>
      <c r="AI87" s="88">
        <f t="shared" si="53"/>
        <v>30</v>
      </c>
      <c r="AJ87" s="80" t="str">
        <f>IF(AI87="","",$AJ$2)</f>
        <v>A-</v>
      </c>
      <c r="AK87" s="80" t="s">
        <v>13</v>
      </c>
      <c r="AL87" s="80" t="s">
        <v>62</v>
      </c>
      <c r="AM87" s="80" t="s">
        <v>63</v>
      </c>
      <c r="AN87" s="80" t="str">
        <f>IF(AI87="","",$AN$2)</f>
        <v>C</v>
      </c>
      <c r="AO87" s="80" t="str">
        <f>IF(N87="","",IF(N87&gt;=$AO$1/100,"O","X"))</f>
        <v>X</v>
      </c>
      <c r="AP87" s="80" t="str">
        <f>IF(I87="","",IF(I87&lt;=$AP$1,"O","X"))</f>
        <v>O</v>
      </c>
      <c r="AQ87" s="80" t="str">
        <f>IF(O87="","",IF(O87&lt;=$AQ$1,"O","X"))</f>
        <v>X</v>
      </c>
      <c r="AR87" s="80" t="str">
        <f>IF(M87="","",IF(M87&lt;=$AR$1,"O","X"))</f>
        <v>X</v>
      </c>
      <c r="AS87" s="80" t="s">
        <v>2</v>
      </c>
      <c r="AT87" s="80" t="str">
        <f>IF(OR(F87="",AI87=""),"",IF(AND((F87&lt;=85),(AI87&gt;=15)),"O","X"))</f>
        <v>O</v>
      </c>
      <c r="AU87" s="80" t="str">
        <f>IF(C87="","",IF(C87&gt;=$AU$1,"O","X"))</f>
        <v>O</v>
      </c>
      <c r="AV87" s="80" t="str">
        <f>IF(AO87="","",IF(AND(AO87="O",AP87="O",AR87="O",AT87="O",AU87="O"),"후보","X"))</f>
        <v>X</v>
      </c>
    </row>
    <row r="88" spans="1:48" s="37" customFormat="1" ht="12" x14ac:dyDescent="0.3">
      <c r="A88" s="75" t="s">
        <v>1150</v>
      </c>
      <c r="B88" s="76" t="s">
        <v>1025</v>
      </c>
      <c r="C88" s="86">
        <v>472</v>
      </c>
      <c r="D88" s="87">
        <v>110.5</v>
      </c>
      <c r="E88" s="88">
        <v>33</v>
      </c>
      <c r="F88" s="87">
        <v>85</v>
      </c>
      <c r="G88" s="17">
        <v>26</v>
      </c>
      <c r="H88" s="89">
        <v>401</v>
      </c>
      <c r="I88" s="90">
        <v>40000</v>
      </c>
      <c r="J88" s="90" t="s">
        <v>68</v>
      </c>
      <c r="K88" s="90">
        <v>32000</v>
      </c>
      <c r="L88" s="90" t="s">
        <v>68</v>
      </c>
      <c r="M88" s="91">
        <f>I88-K88</f>
        <v>8000</v>
      </c>
      <c r="N88" s="4">
        <f>IF(ISERROR(K88/I88),"",K88/I88)</f>
        <v>0.8</v>
      </c>
      <c r="O88" s="92">
        <f>I88/E88</f>
        <v>1212.121212121212</v>
      </c>
      <c r="P88" s="92">
        <f>K88/E88</f>
        <v>969.69696969696975</v>
      </c>
      <c r="Q88" s="80">
        <v>3</v>
      </c>
      <c r="R88" s="80">
        <v>2</v>
      </c>
      <c r="S88" s="80" t="s">
        <v>61</v>
      </c>
      <c r="T88" s="5">
        <v>110</v>
      </c>
      <c r="U88" s="9"/>
      <c r="W88" s="87">
        <f>D88</f>
        <v>110.5</v>
      </c>
      <c r="X88" s="88">
        <f>E88</f>
        <v>33</v>
      </c>
      <c r="Y88" s="93">
        <f>H88</f>
        <v>401</v>
      </c>
      <c r="Z88" s="91">
        <f>I88</f>
        <v>40000</v>
      </c>
      <c r="AA88" s="91">
        <f>K88</f>
        <v>32000</v>
      </c>
      <c r="AB88" s="91">
        <f t="shared" si="61"/>
        <v>8000</v>
      </c>
      <c r="AC88" s="4">
        <f t="shared" si="61"/>
        <v>0.8</v>
      </c>
      <c r="AD88" s="92">
        <f t="shared" si="61"/>
        <v>1212.121212121212</v>
      </c>
      <c r="AE88" s="80" t="str">
        <f>S88</f>
        <v>계</v>
      </c>
      <c r="AF88" s="80" t="str">
        <f>Q88&amp;"/"&amp;R88</f>
        <v>3/2</v>
      </c>
      <c r="AH88" s="20" t="str">
        <f t="shared" si="52"/>
        <v>오창읍 오창모아미래도와이드시티</v>
      </c>
      <c r="AI88" s="88">
        <f t="shared" si="53"/>
        <v>33</v>
      </c>
      <c r="AJ88" s="80" t="str">
        <f>IF(AI88="","",$AJ$2)</f>
        <v>A-</v>
      </c>
      <c r="AK88" s="80" t="s">
        <v>13</v>
      </c>
      <c r="AL88" s="80" t="s">
        <v>62</v>
      </c>
      <c r="AM88" s="80" t="s">
        <v>63</v>
      </c>
      <c r="AN88" s="80" t="str">
        <f>IF(AI88="","",$AN$2)</f>
        <v>C</v>
      </c>
      <c r="AO88" s="80" t="str">
        <f>IF(N88="","",IF(N88&gt;=$AO$1/100,"O","X"))</f>
        <v>O</v>
      </c>
      <c r="AP88" s="80" t="str">
        <f>IF(I88="","",IF(I88&lt;=$AP$1,"O","X"))</f>
        <v>O</v>
      </c>
      <c r="AQ88" s="80" t="str">
        <f>IF(O88="","",IF(O88&lt;=$AQ$1,"O","X"))</f>
        <v>X</v>
      </c>
      <c r="AR88" s="80" t="str">
        <f>IF(M88="","",IF(M88&lt;=$AR$1,"O","X"))</f>
        <v>X</v>
      </c>
      <c r="AS88" s="80" t="s">
        <v>2</v>
      </c>
      <c r="AT88" s="80" t="str">
        <f>IF(OR(F88="",AI88=""),"",IF(AND((F88&lt;=85),(AI88&gt;=15)),"O","X"))</f>
        <v>O</v>
      </c>
      <c r="AU88" s="80" t="str">
        <f>IF(C88="","",IF(C88&gt;=$AU$1,"O","X"))</f>
        <v>O</v>
      </c>
      <c r="AV88" s="80" t="str">
        <f>IF(AO88="","",IF(AND(AO88="O",AP88="O",AR88="O",AT88="O",AU88="O"),"후보","X"))</f>
        <v>X</v>
      </c>
    </row>
    <row r="89" spans="1:48" s="37" customFormat="1" ht="12" x14ac:dyDescent="0.3">
      <c r="A89" s="75" t="s">
        <v>1026</v>
      </c>
      <c r="B89" s="76" t="s">
        <v>1027</v>
      </c>
      <c r="C89" s="86">
        <v>622</v>
      </c>
      <c r="D89" s="87">
        <v>83.8</v>
      </c>
      <c r="E89" s="88">
        <v>25</v>
      </c>
      <c r="F89" s="87">
        <v>59.9</v>
      </c>
      <c r="G89" s="17">
        <v>18</v>
      </c>
      <c r="H89" s="89">
        <v>172</v>
      </c>
      <c r="I89" s="90">
        <v>22000</v>
      </c>
      <c r="J89" s="90" t="s">
        <v>66</v>
      </c>
      <c r="K89" s="90">
        <v>22000</v>
      </c>
      <c r="L89" s="90" t="s">
        <v>67</v>
      </c>
      <c r="M89" s="91">
        <f>I89-K89</f>
        <v>0</v>
      </c>
      <c r="N89" s="4">
        <f>IF(ISERROR(K89/I89),"",K89/I89)</f>
        <v>1</v>
      </c>
      <c r="O89" s="92">
        <f>I89/E89</f>
        <v>880</v>
      </c>
      <c r="P89" s="92">
        <f>K89/E89</f>
        <v>880</v>
      </c>
      <c r="Q89" s="80">
        <v>3</v>
      </c>
      <c r="R89" s="80">
        <v>2</v>
      </c>
      <c r="S89" s="80" t="s">
        <v>61</v>
      </c>
      <c r="T89" s="5">
        <v>83</v>
      </c>
      <c r="U89" s="9"/>
      <c r="W89" s="87">
        <f t="shared" ref="W89:X97" si="73">D89</f>
        <v>83.8</v>
      </c>
      <c r="X89" s="88">
        <f t="shared" si="73"/>
        <v>25</v>
      </c>
      <c r="Y89" s="93">
        <f t="shared" ref="Y89:Z97" si="74">H89</f>
        <v>172</v>
      </c>
      <c r="Z89" s="91">
        <f t="shared" si="74"/>
        <v>22000</v>
      </c>
      <c r="AA89" s="91">
        <f>K89</f>
        <v>22000</v>
      </c>
      <c r="AB89" s="91">
        <f t="shared" si="61"/>
        <v>0</v>
      </c>
      <c r="AC89" s="4">
        <f t="shared" si="61"/>
        <v>1</v>
      </c>
      <c r="AD89" s="92">
        <f t="shared" si="61"/>
        <v>880</v>
      </c>
      <c r="AE89" s="80" t="str">
        <f>S89</f>
        <v>계</v>
      </c>
      <c r="AF89" s="80" t="str">
        <f>Q89&amp;"/"&amp;R89</f>
        <v>3/2</v>
      </c>
      <c r="AH89" s="20" t="str">
        <f t="shared" si="52"/>
        <v>오창읍 오창쌍용스윗닷홈예가</v>
      </c>
      <c r="AI89" s="88">
        <f t="shared" si="53"/>
        <v>25</v>
      </c>
      <c r="AJ89" s="80" t="str">
        <f>IF(AI89="","",$AJ$2)</f>
        <v>A-</v>
      </c>
      <c r="AK89" s="80" t="s">
        <v>13</v>
      </c>
      <c r="AL89" s="80" t="s">
        <v>62</v>
      </c>
      <c r="AM89" s="80" t="s">
        <v>63</v>
      </c>
      <c r="AN89" s="80" t="str">
        <f>IF(AI89="","",$AN$2)</f>
        <v>C</v>
      </c>
      <c r="AO89" s="80" t="str">
        <f>IF(N89="","",IF(N89&gt;=$AO$1/100,"O","X"))</f>
        <v>O</v>
      </c>
      <c r="AP89" s="80" t="str">
        <f>IF(I89="","",IF(I89&lt;=$AP$1,"O","X"))</f>
        <v>O</v>
      </c>
      <c r="AQ89" s="80" t="str">
        <f>IF(O89="","",IF(O89&lt;=$AQ$1,"O","X"))</f>
        <v>O</v>
      </c>
      <c r="AR89" s="80" t="str">
        <f>IF(M89="","",IF(M89&lt;=$AR$1,"O","X"))</f>
        <v>O</v>
      </c>
      <c r="AS89" s="80" t="s">
        <v>2</v>
      </c>
      <c r="AT89" s="80" t="str">
        <f>IF(OR(F89="",AI89=""),"",IF(AND((F89&lt;=85),(AI89&gt;=15)),"O","X"))</f>
        <v>O</v>
      </c>
      <c r="AU89" s="80" t="str">
        <f>IF(C89="","",IF(C89&gt;=$AU$1,"O","X"))</f>
        <v>O</v>
      </c>
      <c r="AV89" s="80" t="str">
        <f>IF(AO89="","",IF(AND(AO89="O",AP89="O",AR89="O",AT89="O",AU89="O"),"후보","X"))</f>
        <v>후보</v>
      </c>
    </row>
    <row r="90" spans="1:48" s="37" customFormat="1" ht="12" x14ac:dyDescent="0.3">
      <c r="A90" s="75" t="s">
        <v>1026</v>
      </c>
      <c r="B90" s="76" t="s">
        <v>1027</v>
      </c>
      <c r="C90" s="86">
        <v>622</v>
      </c>
      <c r="D90" s="87">
        <v>109.7</v>
      </c>
      <c r="E90" s="88">
        <v>33</v>
      </c>
      <c r="F90" s="87">
        <v>85</v>
      </c>
      <c r="G90" s="17">
        <v>26</v>
      </c>
      <c r="H90" s="89">
        <v>270</v>
      </c>
      <c r="I90" s="90">
        <v>31000</v>
      </c>
      <c r="J90" s="90" t="s">
        <v>79</v>
      </c>
      <c r="K90" s="90">
        <v>28000</v>
      </c>
      <c r="L90" s="90" t="s">
        <v>77</v>
      </c>
      <c r="M90" s="91">
        <f>I90-K90</f>
        <v>3000</v>
      </c>
      <c r="N90" s="4">
        <f>IF(ISERROR(K90/I90),"",K90/I90)</f>
        <v>0.90322580645161288</v>
      </c>
      <c r="O90" s="92">
        <f>I90/E90</f>
        <v>939.39393939393938</v>
      </c>
      <c r="P90" s="92">
        <f>K90/E90</f>
        <v>848.4848484848485</v>
      </c>
      <c r="Q90" s="80">
        <v>3</v>
      </c>
      <c r="R90" s="80">
        <v>2</v>
      </c>
      <c r="S90" s="80" t="s">
        <v>61</v>
      </c>
      <c r="T90" s="5">
        <v>109</v>
      </c>
      <c r="U90" s="9"/>
      <c r="W90" s="87">
        <f t="shared" si="73"/>
        <v>109.7</v>
      </c>
      <c r="X90" s="88">
        <f t="shared" si="73"/>
        <v>33</v>
      </c>
      <c r="Y90" s="93">
        <f t="shared" si="74"/>
        <v>270</v>
      </c>
      <c r="Z90" s="91">
        <f t="shared" si="74"/>
        <v>31000</v>
      </c>
      <c r="AA90" s="91">
        <f>K90</f>
        <v>28000</v>
      </c>
      <c r="AB90" s="91">
        <f t="shared" si="61"/>
        <v>3000</v>
      </c>
      <c r="AC90" s="4">
        <f t="shared" si="61"/>
        <v>0.90322580645161288</v>
      </c>
      <c r="AD90" s="92">
        <f t="shared" si="61"/>
        <v>939.39393939393938</v>
      </c>
      <c r="AE90" s="80" t="str">
        <f>S90</f>
        <v>계</v>
      </c>
      <c r="AF90" s="80" t="str">
        <f>Q90&amp;"/"&amp;R90</f>
        <v>3/2</v>
      </c>
      <c r="AH90" s="20" t="str">
        <f t="shared" si="52"/>
        <v>오창읍 오창쌍용스윗닷홈예가</v>
      </c>
      <c r="AI90" s="88">
        <f t="shared" si="53"/>
        <v>33</v>
      </c>
      <c r="AJ90" s="80" t="str">
        <f>IF(AI90="","",$AJ$2)</f>
        <v>A-</v>
      </c>
      <c r="AK90" s="80" t="s">
        <v>13</v>
      </c>
      <c r="AL90" s="80" t="s">
        <v>62</v>
      </c>
      <c r="AM90" s="80" t="s">
        <v>63</v>
      </c>
      <c r="AN90" s="80" t="str">
        <f>IF(AI90="","",$AN$2)</f>
        <v>C</v>
      </c>
      <c r="AO90" s="80" t="str">
        <f>IF(N90="","",IF(N90&gt;=$AO$1/100,"O","X"))</f>
        <v>O</v>
      </c>
      <c r="AP90" s="80" t="str">
        <f>IF(I90="","",IF(I90&lt;=$AP$1,"O","X"))</f>
        <v>O</v>
      </c>
      <c r="AQ90" s="80" t="str">
        <f>IF(O90="","",IF(O90&lt;=$AQ$1,"O","X"))</f>
        <v>O</v>
      </c>
      <c r="AR90" s="80" t="str">
        <f>IF(M90="","",IF(M90&lt;=$AR$1,"O","X"))</f>
        <v>O</v>
      </c>
      <c r="AS90" s="80" t="s">
        <v>2</v>
      </c>
      <c r="AT90" s="80" t="str">
        <f>IF(OR(F90="",AI90=""),"",IF(AND((F90&lt;=85),(AI90&gt;=15)),"O","X"))</f>
        <v>O</v>
      </c>
      <c r="AU90" s="80" t="str">
        <f>IF(C90="","",IF(C90&gt;=$AU$1,"O","X"))</f>
        <v>O</v>
      </c>
      <c r="AV90" s="80" t="str">
        <f>IF(AO90="","",IF(AND(AO90="O",AP90="O",AR90="O",AT90="O",AU90="O"),"후보","X"))</f>
        <v>후보</v>
      </c>
    </row>
    <row r="91" spans="1:48" s="37" customFormat="1" ht="12" x14ac:dyDescent="0.3">
      <c r="A91" s="75" t="s">
        <v>1026</v>
      </c>
      <c r="B91" s="76" t="s">
        <v>1027</v>
      </c>
      <c r="C91" s="86">
        <v>622</v>
      </c>
      <c r="D91" s="87">
        <v>151.69999999999999</v>
      </c>
      <c r="E91" s="88">
        <v>46</v>
      </c>
      <c r="F91" s="87">
        <v>121.5</v>
      </c>
      <c r="G91" s="17">
        <v>37</v>
      </c>
      <c r="H91" s="89">
        <v>180</v>
      </c>
      <c r="I91" s="90">
        <v>37000</v>
      </c>
      <c r="J91" s="90" t="s">
        <v>70</v>
      </c>
      <c r="K91" s="90">
        <v>35000</v>
      </c>
      <c r="L91" s="90" t="s">
        <v>70</v>
      </c>
      <c r="M91" s="91">
        <f>I91-K91</f>
        <v>2000</v>
      </c>
      <c r="N91" s="4">
        <f>IF(ISERROR(K91/I91),"",K91/I91)</f>
        <v>0.94594594594594594</v>
      </c>
      <c r="O91" s="92">
        <f>I91/E91</f>
        <v>804.3478260869565</v>
      </c>
      <c r="P91" s="92">
        <f>K91/E91</f>
        <v>760.86956521739125</v>
      </c>
      <c r="Q91" s="80">
        <v>4</v>
      </c>
      <c r="R91" s="80">
        <v>2</v>
      </c>
      <c r="S91" s="80" t="s">
        <v>61</v>
      </c>
      <c r="T91" s="5">
        <v>151</v>
      </c>
      <c r="U91" s="9"/>
      <c r="W91" s="87">
        <f t="shared" si="73"/>
        <v>151.69999999999999</v>
      </c>
      <c r="X91" s="88">
        <f t="shared" si="73"/>
        <v>46</v>
      </c>
      <c r="Y91" s="93">
        <f t="shared" si="74"/>
        <v>180</v>
      </c>
      <c r="Z91" s="91">
        <f t="shared" si="74"/>
        <v>37000</v>
      </c>
      <c r="AA91" s="91">
        <f>K91</f>
        <v>35000</v>
      </c>
      <c r="AB91" s="91">
        <f t="shared" si="61"/>
        <v>2000</v>
      </c>
      <c r="AC91" s="4">
        <f t="shared" si="61"/>
        <v>0.94594594594594594</v>
      </c>
      <c r="AD91" s="92">
        <f t="shared" si="61"/>
        <v>804.3478260869565</v>
      </c>
      <c r="AE91" s="80" t="str">
        <f>S91</f>
        <v>계</v>
      </c>
      <c r="AF91" s="80" t="str">
        <f>Q91&amp;"/"&amp;R91</f>
        <v>4/2</v>
      </c>
      <c r="AH91" s="20" t="str">
        <f t="shared" si="52"/>
        <v>오창읍 오창쌍용스윗닷홈예가</v>
      </c>
      <c r="AI91" s="88">
        <f t="shared" si="53"/>
        <v>46</v>
      </c>
      <c r="AJ91" s="80" t="str">
        <f>IF(AI91="","",$AJ$2)</f>
        <v>A-</v>
      </c>
      <c r="AK91" s="80" t="s">
        <v>13</v>
      </c>
      <c r="AL91" s="80" t="s">
        <v>62</v>
      </c>
      <c r="AM91" s="80" t="s">
        <v>63</v>
      </c>
      <c r="AN91" s="80" t="str">
        <f>IF(AI91="","",$AN$2)</f>
        <v>C</v>
      </c>
      <c r="AO91" s="80" t="str">
        <f>IF(N91="","",IF(N91&gt;=$AO$1/100,"O","X"))</f>
        <v>O</v>
      </c>
      <c r="AP91" s="80" t="str">
        <f>IF(I91="","",IF(I91&lt;=$AP$1,"O","X"))</f>
        <v>O</v>
      </c>
      <c r="AQ91" s="80" t="str">
        <f>IF(O91="","",IF(O91&lt;=$AQ$1,"O","X"))</f>
        <v>O</v>
      </c>
      <c r="AR91" s="80" t="str">
        <f>IF(M91="","",IF(M91&lt;=$AR$1,"O","X"))</f>
        <v>O</v>
      </c>
      <c r="AS91" s="80" t="s">
        <v>2</v>
      </c>
      <c r="AT91" s="80" t="str">
        <f>IF(OR(F91="",AI91=""),"",IF(AND((F91&lt;=85),(AI91&gt;=15)),"O","X"))</f>
        <v>X</v>
      </c>
      <c r="AU91" s="80" t="str">
        <f>IF(C91="","",IF(C91&gt;=$AU$1,"O","X"))</f>
        <v>O</v>
      </c>
      <c r="AV91" s="80" t="str">
        <f>IF(AO91="","",IF(AND(AO91="O",AP91="O",AR91="O",AT91="O",AU91="O"),"후보","X"))</f>
        <v>X</v>
      </c>
    </row>
    <row r="92" spans="1:48" s="37" customFormat="1" ht="12" x14ac:dyDescent="0.3">
      <c r="A92" s="75" t="s">
        <v>1151</v>
      </c>
      <c r="B92" s="76" t="s">
        <v>1027</v>
      </c>
      <c r="C92" s="86">
        <v>1338</v>
      </c>
      <c r="D92" s="87">
        <v>85.7</v>
      </c>
      <c r="E92" s="88">
        <v>26</v>
      </c>
      <c r="F92" s="87">
        <v>59.9</v>
      </c>
      <c r="G92" s="17">
        <v>18</v>
      </c>
      <c r="H92" s="89">
        <v>396</v>
      </c>
      <c r="I92" s="90">
        <v>24000</v>
      </c>
      <c r="J92" s="90" t="s">
        <v>70</v>
      </c>
      <c r="K92" s="90">
        <v>23000</v>
      </c>
      <c r="L92" s="90" t="s">
        <v>101</v>
      </c>
      <c r="M92" s="91">
        <f t="shared" ref="M92:M97" si="75">I92-K92</f>
        <v>1000</v>
      </c>
      <c r="N92" s="4">
        <f t="shared" ref="N92:N97" si="76">IF(ISERROR(K92/I92),"",K92/I92)</f>
        <v>0.95833333333333337</v>
      </c>
      <c r="O92" s="92">
        <f t="shared" ref="O92:O97" si="77">I92/E92</f>
        <v>923.07692307692309</v>
      </c>
      <c r="P92" s="92">
        <f t="shared" ref="P92:P97" si="78">K92/E92</f>
        <v>884.61538461538464</v>
      </c>
      <c r="Q92" s="80">
        <v>3</v>
      </c>
      <c r="R92" s="80">
        <v>2</v>
      </c>
      <c r="S92" s="80" t="s">
        <v>61</v>
      </c>
      <c r="T92" s="5">
        <v>85</v>
      </c>
      <c r="U92" s="9"/>
      <c r="W92" s="87">
        <f t="shared" si="73"/>
        <v>85.7</v>
      </c>
      <c r="X92" s="88">
        <f t="shared" si="73"/>
        <v>26</v>
      </c>
      <c r="Y92" s="93">
        <f t="shared" si="74"/>
        <v>396</v>
      </c>
      <c r="Z92" s="91">
        <f t="shared" si="74"/>
        <v>24000</v>
      </c>
      <c r="AA92" s="91">
        <f t="shared" ref="AA92:AA97" si="79">K92</f>
        <v>23000</v>
      </c>
      <c r="AB92" s="91">
        <f t="shared" si="61"/>
        <v>1000</v>
      </c>
      <c r="AC92" s="4">
        <f t="shared" si="61"/>
        <v>0.95833333333333337</v>
      </c>
      <c r="AD92" s="92">
        <f t="shared" si="61"/>
        <v>923.07692307692309</v>
      </c>
      <c r="AE92" s="80" t="str">
        <f t="shared" ref="AE92:AE97" si="80">S92</f>
        <v>계</v>
      </c>
      <c r="AF92" s="80" t="str">
        <f t="shared" ref="AF92:AF97" si="81">Q92&amp;"/"&amp;R92</f>
        <v>3/2</v>
      </c>
      <c r="AH92" s="20" t="str">
        <f t="shared" si="52"/>
        <v>오창읍 중앙하이츠빌</v>
      </c>
      <c r="AI92" s="88">
        <f t="shared" si="53"/>
        <v>26</v>
      </c>
      <c r="AJ92" s="80" t="str">
        <f t="shared" ref="AJ92:AJ97" si="82">IF(AI92="","",$AJ$2)</f>
        <v>A-</v>
      </c>
      <c r="AK92" s="80" t="s">
        <v>13</v>
      </c>
      <c r="AL92" s="80" t="s">
        <v>62</v>
      </c>
      <c r="AM92" s="80" t="s">
        <v>63</v>
      </c>
      <c r="AN92" s="80" t="str">
        <f t="shared" ref="AN92:AN97" si="83">IF(AI92="","",$AN$2)</f>
        <v>C</v>
      </c>
      <c r="AO92" s="80" t="str">
        <f t="shared" ref="AO92:AO97" si="84">IF(N92="","",IF(N92&gt;=$AO$1/100,"O","X"))</f>
        <v>O</v>
      </c>
      <c r="AP92" s="80" t="str">
        <f t="shared" ref="AP92:AP97" si="85">IF(I92="","",IF(I92&lt;=$AP$1,"O","X"))</f>
        <v>O</v>
      </c>
      <c r="AQ92" s="80" t="str">
        <f t="shared" ref="AQ92:AQ97" si="86">IF(O92="","",IF(O92&lt;=$AQ$1,"O","X"))</f>
        <v>O</v>
      </c>
      <c r="AR92" s="80" t="str">
        <f t="shared" ref="AR92:AR97" si="87">IF(M92="","",IF(M92&lt;=$AR$1,"O","X"))</f>
        <v>O</v>
      </c>
      <c r="AS92" s="80" t="s">
        <v>2</v>
      </c>
      <c r="AT92" s="80" t="str">
        <f t="shared" ref="AT92:AT97" si="88">IF(OR(F92="",AI92=""),"",IF(AND((F92&lt;=85),(AI92&gt;=15)),"O","X"))</f>
        <v>O</v>
      </c>
      <c r="AU92" s="80" t="str">
        <f t="shared" ref="AU92:AU97" si="89">IF(C92="","",IF(C92&gt;=$AU$1,"O","X"))</f>
        <v>O</v>
      </c>
      <c r="AV92" s="80" t="str">
        <f t="shared" ref="AV92:AV97" si="90">IF(AO92="","",IF(AND(AO92="O",AP92="O",AR92="O",AT92="O",AU92="O"),"후보","X"))</f>
        <v>후보</v>
      </c>
    </row>
    <row r="93" spans="1:48" s="37" customFormat="1" ht="12" x14ac:dyDescent="0.3">
      <c r="A93" s="75" t="s">
        <v>1028</v>
      </c>
      <c r="B93" s="76" t="s">
        <v>1027</v>
      </c>
      <c r="C93" s="86">
        <v>1338</v>
      </c>
      <c r="D93" s="87">
        <v>115.5</v>
      </c>
      <c r="E93" s="88">
        <v>35</v>
      </c>
      <c r="F93" s="87">
        <v>84.7</v>
      </c>
      <c r="G93" s="17">
        <v>26</v>
      </c>
      <c r="H93" s="89">
        <v>498</v>
      </c>
      <c r="I93" s="90">
        <v>31000</v>
      </c>
      <c r="J93" s="90" t="s">
        <v>66</v>
      </c>
      <c r="K93" s="90">
        <v>28000</v>
      </c>
      <c r="L93" s="90" t="s">
        <v>86</v>
      </c>
      <c r="M93" s="91">
        <f t="shared" si="75"/>
        <v>3000</v>
      </c>
      <c r="N93" s="4">
        <f t="shared" si="76"/>
        <v>0.90322580645161288</v>
      </c>
      <c r="O93" s="92">
        <f t="shared" si="77"/>
        <v>885.71428571428567</v>
      </c>
      <c r="P93" s="92">
        <f t="shared" si="78"/>
        <v>800</v>
      </c>
      <c r="Q93" s="80">
        <v>3</v>
      </c>
      <c r="R93" s="80">
        <v>2</v>
      </c>
      <c r="S93" s="80" t="s">
        <v>61</v>
      </c>
      <c r="T93" s="5" t="s">
        <v>71</v>
      </c>
      <c r="U93" s="9"/>
      <c r="W93" s="87">
        <f t="shared" si="73"/>
        <v>115.5</v>
      </c>
      <c r="X93" s="88">
        <f t="shared" si="73"/>
        <v>35</v>
      </c>
      <c r="Y93" s="93">
        <f t="shared" si="74"/>
        <v>498</v>
      </c>
      <c r="Z93" s="91">
        <f t="shared" si="74"/>
        <v>31000</v>
      </c>
      <c r="AA93" s="91">
        <f t="shared" si="79"/>
        <v>28000</v>
      </c>
      <c r="AB93" s="91">
        <f t="shared" si="61"/>
        <v>3000</v>
      </c>
      <c r="AC93" s="4">
        <f t="shared" si="61"/>
        <v>0.90322580645161288</v>
      </c>
      <c r="AD93" s="92">
        <f t="shared" si="61"/>
        <v>885.71428571428567</v>
      </c>
      <c r="AE93" s="80" t="str">
        <f t="shared" si="80"/>
        <v>계</v>
      </c>
      <c r="AF93" s="80" t="str">
        <f t="shared" si="81"/>
        <v>3/2</v>
      </c>
      <c r="AH93" s="20" t="str">
        <f t="shared" si="52"/>
        <v>오창읍 중앙하이츠빌</v>
      </c>
      <c r="AI93" s="88">
        <f t="shared" si="53"/>
        <v>35</v>
      </c>
      <c r="AJ93" s="80" t="str">
        <f t="shared" si="82"/>
        <v>A-</v>
      </c>
      <c r="AK93" s="80" t="s">
        <v>13</v>
      </c>
      <c r="AL93" s="80" t="s">
        <v>62</v>
      </c>
      <c r="AM93" s="80" t="s">
        <v>63</v>
      </c>
      <c r="AN93" s="80" t="str">
        <f t="shared" si="83"/>
        <v>C</v>
      </c>
      <c r="AO93" s="80" t="str">
        <f t="shared" si="84"/>
        <v>O</v>
      </c>
      <c r="AP93" s="80" t="str">
        <f t="shared" si="85"/>
        <v>O</v>
      </c>
      <c r="AQ93" s="80" t="str">
        <f t="shared" si="86"/>
        <v>O</v>
      </c>
      <c r="AR93" s="80" t="str">
        <f t="shared" si="87"/>
        <v>O</v>
      </c>
      <c r="AS93" s="80" t="s">
        <v>2</v>
      </c>
      <c r="AT93" s="80" t="str">
        <f t="shared" si="88"/>
        <v>O</v>
      </c>
      <c r="AU93" s="80" t="str">
        <f t="shared" si="89"/>
        <v>O</v>
      </c>
      <c r="AV93" s="80" t="str">
        <f t="shared" si="90"/>
        <v>후보</v>
      </c>
    </row>
    <row r="94" spans="1:48" s="37" customFormat="1" ht="12" x14ac:dyDescent="0.3">
      <c r="A94" s="75" t="s">
        <v>1028</v>
      </c>
      <c r="B94" s="76" t="s">
        <v>1027</v>
      </c>
      <c r="C94" s="86">
        <v>1338</v>
      </c>
      <c r="D94" s="87">
        <v>115.6</v>
      </c>
      <c r="E94" s="88">
        <v>35</v>
      </c>
      <c r="F94" s="87">
        <v>84.7</v>
      </c>
      <c r="G94" s="17">
        <v>26</v>
      </c>
      <c r="H94" s="89">
        <v>86</v>
      </c>
      <c r="I94" s="90">
        <v>34500</v>
      </c>
      <c r="J94" s="90" t="s">
        <v>68</v>
      </c>
      <c r="K94" s="90"/>
      <c r="L94" s="90"/>
      <c r="M94" s="91">
        <f t="shared" si="75"/>
        <v>34500</v>
      </c>
      <c r="N94" s="4">
        <f t="shared" si="76"/>
        <v>0</v>
      </c>
      <c r="O94" s="92">
        <f t="shared" si="77"/>
        <v>985.71428571428567</v>
      </c>
      <c r="P94" s="92">
        <f t="shared" si="78"/>
        <v>0</v>
      </c>
      <c r="Q94" s="80">
        <v>3</v>
      </c>
      <c r="R94" s="80">
        <v>2</v>
      </c>
      <c r="S94" s="80" t="s">
        <v>61</v>
      </c>
      <c r="T94" s="5" t="s">
        <v>119</v>
      </c>
      <c r="U94" s="9"/>
      <c r="W94" s="87">
        <f t="shared" si="73"/>
        <v>115.6</v>
      </c>
      <c r="X94" s="88">
        <f t="shared" si="73"/>
        <v>35</v>
      </c>
      <c r="Y94" s="93">
        <f t="shared" si="74"/>
        <v>86</v>
      </c>
      <c r="Z94" s="91">
        <f t="shared" si="74"/>
        <v>34500</v>
      </c>
      <c r="AA94" s="91">
        <f t="shared" si="79"/>
        <v>0</v>
      </c>
      <c r="AB94" s="91">
        <f t="shared" ref="AB94:AD109" si="91">M94</f>
        <v>34500</v>
      </c>
      <c r="AC94" s="4">
        <f t="shared" si="91"/>
        <v>0</v>
      </c>
      <c r="AD94" s="92">
        <f t="shared" si="91"/>
        <v>985.71428571428567</v>
      </c>
      <c r="AE94" s="80" t="str">
        <f t="shared" si="80"/>
        <v>계</v>
      </c>
      <c r="AF94" s="80" t="str">
        <f t="shared" si="81"/>
        <v>3/2</v>
      </c>
      <c r="AH94" s="20" t="str">
        <f t="shared" si="52"/>
        <v>오창읍 중앙하이츠빌</v>
      </c>
      <c r="AI94" s="88">
        <f t="shared" si="53"/>
        <v>35</v>
      </c>
      <c r="AJ94" s="80" t="str">
        <f t="shared" si="82"/>
        <v>A-</v>
      </c>
      <c r="AK94" s="80" t="s">
        <v>13</v>
      </c>
      <c r="AL94" s="80" t="s">
        <v>62</v>
      </c>
      <c r="AM94" s="80" t="s">
        <v>63</v>
      </c>
      <c r="AN94" s="80" t="str">
        <f t="shared" si="83"/>
        <v>C</v>
      </c>
      <c r="AO94" s="80" t="str">
        <f t="shared" si="84"/>
        <v>X</v>
      </c>
      <c r="AP94" s="80" t="str">
        <f t="shared" si="85"/>
        <v>O</v>
      </c>
      <c r="AQ94" s="80" t="str">
        <f t="shared" si="86"/>
        <v>O</v>
      </c>
      <c r="AR94" s="80" t="str">
        <f t="shared" si="87"/>
        <v>X</v>
      </c>
      <c r="AS94" s="80" t="s">
        <v>2</v>
      </c>
      <c r="AT94" s="80" t="str">
        <f t="shared" si="88"/>
        <v>O</v>
      </c>
      <c r="AU94" s="80" t="str">
        <f t="shared" si="89"/>
        <v>O</v>
      </c>
      <c r="AV94" s="80" t="str">
        <f t="shared" si="90"/>
        <v>X</v>
      </c>
    </row>
    <row r="95" spans="1:48" s="37" customFormat="1" ht="12" x14ac:dyDescent="0.3">
      <c r="A95" s="75" t="s">
        <v>1028</v>
      </c>
      <c r="B95" s="76" t="s">
        <v>1027</v>
      </c>
      <c r="C95" s="86">
        <v>1338</v>
      </c>
      <c r="D95" s="87">
        <v>130.6</v>
      </c>
      <c r="E95" s="88">
        <v>39</v>
      </c>
      <c r="F95" s="87">
        <v>102.2</v>
      </c>
      <c r="G95" s="17">
        <v>31</v>
      </c>
      <c r="H95" s="89">
        <v>142</v>
      </c>
      <c r="I95" s="90">
        <v>38000</v>
      </c>
      <c r="J95" s="90" t="s">
        <v>106</v>
      </c>
      <c r="K95" s="90"/>
      <c r="L95" s="90"/>
      <c r="M95" s="91">
        <f t="shared" si="75"/>
        <v>38000</v>
      </c>
      <c r="N95" s="4">
        <f t="shared" si="76"/>
        <v>0</v>
      </c>
      <c r="O95" s="92">
        <f t="shared" si="77"/>
        <v>974.35897435897436</v>
      </c>
      <c r="P95" s="92">
        <f t="shared" si="78"/>
        <v>0</v>
      </c>
      <c r="Q95" s="80">
        <v>3</v>
      </c>
      <c r="R95" s="80">
        <v>2</v>
      </c>
      <c r="S95" s="80" t="s">
        <v>61</v>
      </c>
      <c r="T95" s="5">
        <v>130</v>
      </c>
      <c r="U95" s="9"/>
      <c r="W95" s="87">
        <f t="shared" si="73"/>
        <v>130.6</v>
      </c>
      <c r="X95" s="88">
        <f t="shared" si="73"/>
        <v>39</v>
      </c>
      <c r="Y95" s="93">
        <f t="shared" si="74"/>
        <v>142</v>
      </c>
      <c r="Z95" s="91">
        <f t="shared" si="74"/>
        <v>38000</v>
      </c>
      <c r="AA95" s="91">
        <f t="shared" si="79"/>
        <v>0</v>
      </c>
      <c r="AB95" s="91">
        <f t="shared" si="91"/>
        <v>38000</v>
      </c>
      <c r="AC95" s="4">
        <f t="shared" si="91"/>
        <v>0</v>
      </c>
      <c r="AD95" s="92">
        <f t="shared" si="91"/>
        <v>974.35897435897436</v>
      </c>
      <c r="AE95" s="80" t="str">
        <f t="shared" si="80"/>
        <v>계</v>
      </c>
      <c r="AF95" s="80" t="str">
        <f t="shared" si="81"/>
        <v>3/2</v>
      </c>
      <c r="AH95" s="20" t="str">
        <f t="shared" si="52"/>
        <v>오창읍 중앙하이츠빌</v>
      </c>
      <c r="AI95" s="88">
        <f t="shared" si="53"/>
        <v>39</v>
      </c>
      <c r="AJ95" s="80" t="str">
        <f t="shared" si="82"/>
        <v>A-</v>
      </c>
      <c r="AK95" s="80" t="s">
        <v>13</v>
      </c>
      <c r="AL95" s="80" t="s">
        <v>62</v>
      </c>
      <c r="AM95" s="80" t="s">
        <v>63</v>
      </c>
      <c r="AN95" s="80" t="str">
        <f t="shared" si="83"/>
        <v>C</v>
      </c>
      <c r="AO95" s="80" t="str">
        <f t="shared" si="84"/>
        <v>X</v>
      </c>
      <c r="AP95" s="80" t="str">
        <f t="shared" si="85"/>
        <v>O</v>
      </c>
      <c r="AQ95" s="80" t="str">
        <f t="shared" si="86"/>
        <v>O</v>
      </c>
      <c r="AR95" s="80" t="str">
        <f t="shared" si="87"/>
        <v>X</v>
      </c>
      <c r="AS95" s="80" t="s">
        <v>2</v>
      </c>
      <c r="AT95" s="80" t="str">
        <f t="shared" si="88"/>
        <v>X</v>
      </c>
      <c r="AU95" s="80" t="str">
        <f t="shared" si="89"/>
        <v>O</v>
      </c>
      <c r="AV95" s="80" t="str">
        <f t="shared" si="90"/>
        <v>X</v>
      </c>
    </row>
    <row r="96" spans="1:48" s="37" customFormat="1" ht="12" x14ac:dyDescent="0.3">
      <c r="A96" s="75" t="s">
        <v>1028</v>
      </c>
      <c r="B96" s="76" t="s">
        <v>1027</v>
      </c>
      <c r="C96" s="86">
        <v>1338</v>
      </c>
      <c r="D96" s="87">
        <v>160.6</v>
      </c>
      <c r="E96" s="88">
        <v>49</v>
      </c>
      <c r="F96" s="87">
        <v>129.19999999999999</v>
      </c>
      <c r="G96" s="17">
        <v>39</v>
      </c>
      <c r="H96" s="89">
        <v>144</v>
      </c>
      <c r="I96" s="90">
        <v>50000</v>
      </c>
      <c r="J96" s="90" t="s">
        <v>67</v>
      </c>
      <c r="K96" s="90"/>
      <c r="L96" s="90"/>
      <c r="M96" s="91">
        <f t="shared" si="75"/>
        <v>50000</v>
      </c>
      <c r="N96" s="4">
        <f t="shared" si="76"/>
        <v>0</v>
      </c>
      <c r="O96" s="92">
        <f t="shared" si="77"/>
        <v>1020.4081632653061</v>
      </c>
      <c r="P96" s="92">
        <f t="shared" si="78"/>
        <v>0</v>
      </c>
      <c r="Q96" s="80">
        <v>4</v>
      </c>
      <c r="R96" s="80">
        <v>2</v>
      </c>
      <c r="S96" s="80" t="s">
        <v>61</v>
      </c>
      <c r="T96" s="5">
        <v>160</v>
      </c>
      <c r="U96" s="9"/>
      <c r="W96" s="87">
        <f t="shared" si="73"/>
        <v>160.6</v>
      </c>
      <c r="X96" s="88">
        <f t="shared" si="73"/>
        <v>49</v>
      </c>
      <c r="Y96" s="93">
        <f t="shared" si="74"/>
        <v>144</v>
      </c>
      <c r="Z96" s="91">
        <f t="shared" si="74"/>
        <v>50000</v>
      </c>
      <c r="AA96" s="91">
        <f t="shared" si="79"/>
        <v>0</v>
      </c>
      <c r="AB96" s="91">
        <f t="shared" si="91"/>
        <v>50000</v>
      </c>
      <c r="AC96" s="4">
        <f t="shared" si="91"/>
        <v>0</v>
      </c>
      <c r="AD96" s="92">
        <f t="shared" si="91"/>
        <v>1020.4081632653061</v>
      </c>
      <c r="AE96" s="80" t="str">
        <f t="shared" si="80"/>
        <v>계</v>
      </c>
      <c r="AF96" s="80" t="str">
        <f t="shared" si="81"/>
        <v>4/2</v>
      </c>
      <c r="AH96" s="20" t="str">
        <f t="shared" si="52"/>
        <v>오창읍 중앙하이츠빌</v>
      </c>
      <c r="AI96" s="88">
        <f t="shared" si="53"/>
        <v>49</v>
      </c>
      <c r="AJ96" s="80" t="str">
        <f t="shared" si="82"/>
        <v>A-</v>
      </c>
      <c r="AK96" s="80" t="s">
        <v>13</v>
      </c>
      <c r="AL96" s="80" t="s">
        <v>62</v>
      </c>
      <c r="AM96" s="80" t="s">
        <v>63</v>
      </c>
      <c r="AN96" s="80" t="str">
        <f t="shared" si="83"/>
        <v>C</v>
      </c>
      <c r="AO96" s="80" t="str">
        <f t="shared" si="84"/>
        <v>X</v>
      </c>
      <c r="AP96" s="80" t="str">
        <f t="shared" si="85"/>
        <v>X</v>
      </c>
      <c r="AQ96" s="80" t="str">
        <f t="shared" si="86"/>
        <v>X</v>
      </c>
      <c r="AR96" s="80" t="str">
        <f t="shared" si="87"/>
        <v>X</v>
      </c>
      <c r="AS96" s="80" t="s">
        <v>2</v>
      </c>
      <c r="AT96" s="80" t="str">
        <f t="shared" si="88"/>
        <v>X</v>
      </c>
      <c r="AU96" s="80" t="str">
        <f t="shared" si="89"/>
        <v>O</v>
      </c>
      <c r="AV96" s="80" t="str">
        <f t="shared" si="90"/>
        <v>X</v>
      </c>
    </row>
    <row r="97" spans="1:48" s="37" customFormat="1" ht="12" x14ac:dyDescent="0.3">
      <c r="A97" s="75" t="s">
        <v>1028</v>
      </c>
      <c r="B97" s="76" t="s">
        <v>1027</v>
      </c>
      <c r="C97" s="86">
        <v>1338</v>
      </c>
      <c r="D97" s="87">
        <v>186.1</v>
      </c>
      <c r="E97" s="88">
        <v>56</v>
      </c>
      <c r="F97" s="87">
        <v>147.80000000000001</v>
      </c>
      <c r="G97" s="17">
        <v>45</v>
      </c>
      <c r="H97" s="89">
        <v>72</v>
      </c>
      <c r="I97" s="90">
        <v>60000</v>
      </c>
      <c r="J97" s="90" t="s">
        <v>101</v>
      </c>
      <c r="K97" s="90"/>
      <c r="L97" s="90"/>
      <c r="M97" s="91">
        <f t="shared" si="75"/>
        <v>60000</v>
      </c>
      <c r="N97" s="4">
        <f t="shared" si="76"/>
        <v>0</v>
      </c>
      <c r="O97" s="92">
        <f t="shared" si="77"/>
        <v>1071.4285714285713</v>
      </c>
      <c r="P97" s="92">
        <f t="shared" si="78"/>
        <v>0</v>
      </c>
      <c r="Q97" s="80">
        <v>4</v>
      </c>
      <c r="R97" s="80">
        <v>2</v>
      </c>
      <c r="S97" s="80" t="s">
        <v>61</v>
      </c>
      <c r="T97" s="5">
        <v>186</v>
      </c>
      <c r="U97" s="9"/>
      <c r="W97" s="87">
        <f t="shared" si="73"/>
        <v>186.1</v>
      </c>
      <c r="X97" s="88">
        <f t="shared" si="73"/>
        <v>56</v>
      </c>
      <c r="Y97" s="93">
        <f t="shared" si="74"/>
        <v>72</v>
      </c>
      <c r="Z97" s="91">
        <f t="shared" si="74"/>
        <v>60000</v>
      </c>
      <c r="AA97" s="91">
        <f t="shared" si="79"/>
        <v>0</v>
      </c>
      <c r="AB97" s="91">
        <f t="shared" si="91"/>
        <v>60000</v>
      </c>
      <c r="AC97" s="4">
        <f t="shared" si="91"/>
        <v>0</v>
      </c>
      <c r="AD97" s="92">
        <f t="shared" si="91"/>
        <v>1071.4285714285713</v>
      </c>
      <c r="AE97" s="80" t="str">
        <f t="shared" si="80"/>
        <v>계</v>
      </c>
      <c r="AF97" s="80" t="str">
        <f t="shared" si="81"/>
        <v>4/2</v>
      </c>
      <c r="AH97" s="20" t="str">
        <f t="shared" si="52"/>
        <v>오창읍 중앙하이츠빌</v>
      </c>
      <c r="AI97" s="88">
        <f t="shared" si="53"/>
        <v>56</v>
      </c>
      <c r="AJ97" s="80" t="str">
        <f t="shared" si="82"/>
        <v>A-</v>
      </c>
      <c r="AK97" s="80" t="s">
        <v>13</v>
      </c>
      <c r="AL97" s="80" t="s">
        <v>62</v>
      </c>
      <c r="AM97" s="80" t="s">
        <v>63</v>
      </c>
      <c r="AN97" s="80" t="str">
        <f t="shared" si="83"/>
        <v>C</v>
      </c>
      <c r="AO97" s="80" t="str">
        <f t="shared" si="84"/>
        <v>X</v>
      </c>
      <c r="AP97" s="80" t="str">
        <f t="shared" si="85"/>
        <v>X</v>
      </c>
      <c r="AQ97" s="80" t="str">
        <f t="shared" si="86"/>
        <v>X</v>
      </c>
      <c r="AR97" s="80" t="str">
        <f t="shared" si="87"/>
        <v>X</v>
      </c>
      <c r="AS97" s="80" t="s">
        <v>2</v>
      </c>
      <c r="AT97" s="80" t="str">
        <f t="shared" si="88"/>
        <v>X</v>
      </c>
      <c r="AU97" s="80" t="str">
        <f t="shared" si="89"/>
        <v>O</v>
      </c>
      <c r="AV97" s="80" t="str">
        <f t="shared" si="90"/>
        <v>X</v>
      </c>
    </row>
    <row r="98" spans="1:48" s="37" customFormat="1" ht="24" x14ac:dyDescent="0.3">
      <c r="A98" s="75" t="s">
        <v>1029</v>
      </c>
      <c r="B98" s="76" t="s">
        <v>1025</v>
      </c>
      <c r="C98" s="86">
        <v>630</v>
      </c>
      <c r="D98" s="87">
        <v>84</v>
      </c>
      <c r="E98" s="88">
        <v>25</v>
      </c>
      <c r="F98" s="87">
        <v>60</v>
      </c>
      <c r="G98" s="17">
        <v>18</v>
      </c>
      <c r="H98" s="89">
        <v>506</v>
      </c>
      <c r="I98" s="90">
        <v>29000</v>
      </c>
      <c r="J98" s="90" t="s">
        <v>68</v>
      </c>
      <c r="K98" s="90">
        <v>26000</v>
      </c>
      <c r="L98" s="90" t="s">
        <v>68</v>
      </c>
      <c r="M98" s="91">
        <f>I98-K98</f>
        <v>3000</v>
      </c>
      <c r="N98" s="4">
        <f>IF(ISERROR(K98/I98),"",K98/I98)</f>
        <v>0.89655172413793105</v>
      </c>
      <c r="O98" s="92">
        <f>I98/E98</f>
        <v>1160</v>
      </c>
      <c r="P98" s="92">
        <f>K98/E98</f>
        <v>1040</v>
      </c>
      <c r="Q98" s="80">
        <v>3</v>
      </c>
      <c r="R98" s="80">
        <v>2</v>
      </c>
      <c r="S98" s="80" t="s">
        <v>61</v>
      </c>
      <c r="T98" s="5" t="s">
        <v>72</v>
      </c>
      <c r="U98" s="9"/>
      <c r="W98" s="87">
        <f>D98</f>
        <v>84</v>
      </c>
      <c r="X98" s="88">
        <f>E98</f>
        <v>25</v>
      </c>
      <c r="Y98" s="93">
        <f>H98</f>
        <v>506</v>
      </c>
      <c r="Z98" s="91">
        <f>I98</f>
        <v>29000</v>
      </c>
      <c r="AA98" s="91">
        <f>K98</f>
        <v>26000</v>
      </c>
      <c r="AB98" s="91">
        <f t="shared" si="91"/>
        <v>3000</v>
      </c>
      <c r="AC98" s="4">
        <f t="shared" si="91"/>
        <v>0.89655172413793105</v>
      </c>
      <c r="AD98" s="92">
        <f t="shared" si="91"/>
        <v>1160</v>
      </c>
      <c r="AE98" s="80" t="str">
        <f>S98</f>
        <v>계</v>
      </c>
      <c r="AF98" s="80" t="str">
        <f>Q98&amp;"/"&amp;R98</f>
        <v>3/2</v>
      </c>
      <c r="AH98" s="20" t="str">
        <f t="shared" si="52"/>
        <v>오창읍 오창모아미래도와이드파크(3블럭)</v>
      </c>
      <c r="AI98" s="88">
        <f t="shared" si="53"/>
        <v>25</v>
      </c>
      <c r="AJ98" s="80" t="str">
        <f>IF(AI98="","",$AJ$2)</f>
        <v>A-</v>
      </c>
      <c r="AK98" s="80" t="s">
        <v>13</v>
      </c>
      <c r="AL98" s="80" t="s">
        <v>62</v>
      </c>
      <c r="AM98" s="80" t="s">
        <v>63</v>
      </c>
      <c r="AN98" s="80" t="str">
        <f>IF(AI98="","",$AN$2)</f>
        <v>C</v>
      </c>
      <c r="AO98" s="80" t="str">
        <f>IF(N98="","",IF(N98&gt;=$AO$1/100,"O","X"))</f>
        <v>O</v>
      </c>
      <c r="AP98" s="80" t="str">
        <f>IF(I98="","",IF(I98&lt;=$AP$1,"O","X"))</f>
        <v>O</v>
      </c>
      <c r="AQ98" s="80" t="str">
        <f>IF(O98="","",IF(O98&lt;=$AQ$1,"O","X"))</f>
        <v>X</v>
      </c>
      <c r="AR98" s="80" t="str">
        <f>IF(M98="","",IF(M98&lt;=$AR$1,"O","X"))</f>
        <v>O</v>
      </c>
      <c r="AS98" s="80" t="s">
        <v>2</v>
      </c>
      <c r="AT98" s="80" t="str">
        <f>IF(OR(F98="",AI98=""),"",IF(AND((F98&lt;=85),(AI98&gt;=15)),"O","X"))</f>
        <v>O</v>
      </c>
      <c r="AU98" s="80" t="str">
        <f>IF(C98="","",IF(C98&gt;=$AU$1,"O","X"))</f>
        <v>O</v>
      </c>
      <c r="AV98" s="80" t="str">
        <f>IF(AO98="","",IF(AND(AO98="O",AP98="O",AR98="O",AT98="O",AU98="O"),"후보","X"))</f>
        <v>후보</v>
      </c>
    </row>
    <row r="99" spans="1:48" s="37" customFormat="1" ht="24" x14ac:dyDescent="0.3">
      <c r="A99" s="75" t="s">
        <v>1029</v>
      </c>
      <c r="B99" s="76" t="s">
        <v>1152</v>
      </c>
      <c r="C99" s="86">
        <v>630</v>
      </c>
      <c r="D99" s="87">
        <v>84.9</v>
      </c>
      <c r="E99" s="88">
        <v>26</v>
      </c>
      <c r="F99" s="87">
        <v>60</v>
      </c>
      <c r="G99" s="17">
        <v>18</v>
      </c>
      <c r="H99" s="89">
        <v>124</v>
      </c>
      <c r="I99" s="90">
        <v>29000</v>
      </c>
      <c r="J99" s="90" t="s">
        <v>101</v>
      </c>
      <c r="K99" s="90"/>
      <c r="L99" s="90"/>
      <c r="M99" s="91">
        <f>I99-K99</f>
        <v>29000</v>
      </c>
      <c r="N99" s="4">
        <f>IF(ISERROR(K99/I99),"",K99/I99)</f>
        <v>0</v>
      </c>
      <c r="O99" s="92">
        <f>I99/E99</f>
        <v>1115.3846153846155</v>
      </c>
      <c r="P99" s="92">
        <f>K99/E99</f>
        <v>0</v>
      </c>
      <c r="Q99" s="80">
        <v>3</v>
      </c>
      <c r="R99" s="80">
        <v>2</v>
      </c>
      <c r="S99" s="80" t="s">
        <v>61</v>
      </c>
      <c r="T99" s="5" t="s">
        <v>334</v>
      </c>
      <c r="U99" s="9"/>
      <c r="W99" s="87">
        <f>D99</f>
        <v>84.9</v>
      </c>
      <c r="X99" s="88">
        <f>E99</f>
        <v>26</v>
      </c>
      <c r="Y99" s="93">
        <f>H99</f>
        <v>124</v>
      </c>
      <c r="Z99" s="91">
        <f>I99</f>
        <v>29000</v>
      </c>
      <c r="AA99" s="91">
        <f>K99</f>
        <v>0</v>
      </c>
      <c r="AB99" s="91">
        <f t="shared" si="91"/>
        <v>29000</v>
      </c>
      <c r="AC99" s="4">
        <f t="shared" si="91"/>
        <v>0</v>
      </c>
      <c r="AD99" s="92">
        <f t="shared" si="91"/>
        <v>1115.3846153846155</v>
      </c>
      <c r="AE99" s="80" t="str">
        <f>S99</f>
        <v>계</v>
      </c>
      <c r="AF99" s="80" t="str">
        <f>Q99&amp;"/"&amp;R99</f>
        <v>3/2</v>
      </c>
      <c r="AH99" s="20" t="str">
        <f t="shared" si="52"/>
        <v>오창읍 오창모아미래도와이드파크(3블럭)</v>
      </c>
      <c r="AI99" s="88">
        <f t="shared" si="53"/>
        <v>26</v>
      </c>
      <c r="AJ99" s="80" t="str">
        <f>IF(AI99="","",$AJ$2)</f>
        <v>A-</v>
      </c>
      <c r="AK99" s="80" t="s">
        <v>13</v>
      </c>
      <c r="AL99" s="80" t="s">
        <v>62</v>
      </c>
      <c r="AM99" s="80" t="s">
        <v>63</v>
      </c>
      <c r="AN99" s="80" t="str">
        <f>IF(AI99="","",$AN$2)</f>
        <v>C</v>
      </c>
      <c r="AO99" s="80" t="str">
        <f>IF(N99="","",IF(N99&gt;=$AO$1/100,"O","X"))</f>
        <v>X</v>
      </c>
      <c r="AP99" s="80" t="str">
        <f>IF(I99="","",IF(I99&lt;=$AP$1,"O","X"))</f>
        <v>O</v>
      </c>
      <c r="AQ99" s="80" t="str">
        <f>IF(O99="","",IF(O99&lt;=$AQ$1,"O","X"))</f>
        <v>X</v>
      </c>
      <c r="AR99" s="80" t="str">
        <f>IF(M99="","",IF(M99&lt;=$AR$1,"O","X"))</f>
        <v>X</v>
      </c>
      <c r="AS99" s="80" t="s">
        <v>2</v>
      </c>
      <c r="AT99" s="80" t="str">
        <f>IF(OR(F99="",AI99=""),"",IF(AND((F99&lt;=85),(AI99&gt;=15)),"O","X"))</f>
        <v>O</v>
      </c>
      <c r="AU99" s="80" t="str">
        <f>IF(C99="","",IF(C99&gt;=$AU$1,"O","X"))</f>
        <v>O</v>
      </c>
      <c r="AV99" s="80" t="str">
        <f>IF(AO99="","",IF(AND(AO99="O",AP99="O",AR99="O",AT99="O",AU99="O"),"후보","X"))</f>
        <v>X</v>
      </c>
    </row>
    <row r="100" spans="1:48" s="37" customFormat="1" ht="12" x14ac:dyDescent="0.3">
      <c r="A100" s="75" t="s">
        <v>1153</v>
      </c>
      <c r="B100" s="76" t="s">
        <v>1030</v>
      </c>
      <c r="C100" s="86">
        <v>587</v>
      </c>
      <c r="D100" s="87">
        <v>97.8</v>
      </c>
      <c r="E100" s="88">
        <v>30</v>
      </c>
      <c r="F100" s="87">
        <v>72.900000000000006</v>
      </c>
      <c r="G100" s="17">
        <v>22</v>
      </c>
      <c r="H100" s="89">
        <v>132</v>
      </c>
      <c r="I100" s="90">
        <v>37500</v>
      </c>
      <c r="J100" s="90" t="s">
        <v>68</v>
      </c>
      <c r="K100" s="90"/>
      <c r="L100" s="90"/>
      <c r="M100" s="91">
        <f>I100-K100</f>
        <v>37500</v>
      </c>
      <c r="N100" s="4">
        <f>IF(ISERROR(K100/I100),"",K100/I100)</f>
        <v>0</v>
      </c>
      <c r="O100" s="92">
        <f>I100/E100</f>
        <v>1250</v>
      </c>
      <c r="P100" s="92">
        <f>K100/E100</f>
        <v>0</v>
      </c>
      <c r="Q100" s="80">
        <v>3</v>
      </c>
      <c r="R100" s="80">
        <v>2</v>
      </c>
      <c r="S100" s="80" t="s">
        <v>61</v>
      </c>
      <c r="T100" s="5">
        <v>97</v>
      </c>
      <c r="U100" s="9"/>
      <c r="W100" s="87">
        <f>D100</f>
        <v>97.8</v>
      </c>
      <c r="X100" s="88">
        <f>E100</f>
        <v>30</v>
      </c>
      <c r="Y100" s="93">
        <f>H100</f>
        <v>132</v>
      </c>
      <c r="Z100" s="91">
        <f>I100</f>
        <v>37500</v>
      </c>
      <c r="AA100" s="91">
        <f>K100</f>
        <v>0</v>
      </c>
      <c r="AB100" s="91">
        <f t="shared" si="91"/>
        <v>37500</v>
      </c>
      <c r="AC100" s="4">
        <f t="shared" si="91"/>
        <v>0</v>
      </c>
      <c r="AD100" s="92">
        <f t="shared" si="91"/>
        <v>1250</v>
      </c>
      <c r="AE100" s="80" t="str">
        <f>S100</f>
        <v>계</v>
      </c>
      <c r="AF100" s="80" t="str">
        <f>Q100&amp;"/"&amp;R100</f>
        <v>3/2</v>
      </c>
      <c r="AH100" s="20" t="str">
        <f t="shared" si="52"/>
        <v>오창읍 오창대성베르힐</v>
      </c>
      <c r="AI100" s="88">
        <f t="shared" si="53"/>
        <v>30</v>
      </c>
      <c r="AJ100" s="80" t="str">
        <f>IF(AI100="","",$AJ$2)</f>
        <v>A-</v>
      </c>
      <c r="AK100" s="80" t="s">
        <v>13</v>
      </c>
      <c r="AL100" s="80" t="s">
        <v>62</v>
      </c>
      <c r="AM100" s="80" t="s">
        <v>63</v>
      </c>
      <c r="AN100" s="80" t="str">
        <f>IF(AI100="","",$AN$2)</f>
        <v>C</v>
      </c>
      <c r="AO100" s="80" t="str">
        <f>IF(N100="","",IF(N100&gt;=$AO$1/100,"O","X"))</f>
        <v>X</v>
      </c>
      <c r="AP100" s="80" t="str">
        <f>IF(I100="","",IF(I100&lt;=$AP$1,"O","X"))</f>
        <v>O</v>
      </c>
      <c r="AQ100" s="80" t="str">
        <f>IF(O100="","",IF(O100&lt;=$AQ$1,"O","X"))</f>
        <v>X</v>
      </c>
      <c r="AR100" s="80" t="str">
        <f>IF(M100="","",IF(M100&lt;=$AR$1,"O","X"))</f>
        <v>X</v>
      </c>
      <c r="AS100" s="80" t="s">
        <v>2</v>
      </c>
      <c r="AT100" s="80" t="str">
        <f>IF(OR(F100="",AI100=""),"",IF(AND((F100&lt;=85),(AI100&gt;=15)),"O","X"))</f>
        <v>O</v>
      </c>
      <c r="AU100" s="80" t="str">
        <f>IF(C100="","",IF(C100&gt;=$AU$1,"O","X"))</f>
        <v>O</v>
      </c>
      <c r="AV100" s="80" t="str">
        <f>IF(AO100="","",IF(AND(AO100="O",AP100="O",AR100="O",AT100="O",AU100="O"),"후보","X"))</f>
        <v>X</v>
      </c>
    </row>
    <row r="101" spans="1:48" s="37" customFormat="1" ht="12" x14ac:dyDescent="0.3">
      <c r="A101" s="75" t="s">
        <v>1153</v>
      </c>
      <c r="B101" s="76" t="s">
        <v>1030</v>
      </c>
      <c r="C101" s="86">
        <v>587</v>
      </c>
      <c r="D101" s="87">
        <v>110.5</v>
      </c>
      <c r="E101" s="88">
        <v>33</v>
      </c>
      <c r="F101" s="87">
        <v>84.9</v>
      </c>
      <c r="G101" s="17">
        <v>26</v>
      </c>
      <c r="H101" s="89">
        <v>455</v>
      </c>
      <c r="I101" s="90"/>
      <c r="J101" s="90"/>
      <c r="K101" s="90"/>
      <c r="L101" s="90"/>
      <c r="M101" s="91">
        <f>I101-K101</f>
        <v>0</v>
      </c>
      <c r="N101" s="4" t="str">
        <f>IF(ISERROR(K101/I101),"",K101/I101)</f>
        <v/>
      </c>
      <c r="O101" s="92">
        <f>I101/E101</f>
        <v>0</v>
      </c>
      <c r="P101" s="92">
        <f>K101/E101</f>
        <v>0</v>
      </c>
      <c r="Q101" s="80">
        <v>4</v>
      </c>
      <c r="R101" s="80">
        <v>2</v>
      </c>
      <c r="S101" s="80" t="s">
        <v>61</v>
      </c>
      <c r="T101" s="5">
        <v>110</v>
      </c>
      <c r="U101" s="9"/>
      <c r="W101" s="87">
        <f>D101</f>
        <v>110.5</v>
      </c>
      <c r="X101" s="88">
        <f>E101</f>
        <v>33</v>
      </c>
      <c r="Y101" s="93">
        <f>H101</f>
        <v>455</v>
      </c>
      <c r="Z101" s="91">
        <f>I101</f>
        <v>0</v>
      </c>
      <c r="AA101" s="91">
        <f>K101</f>
        <v>0</v>
      </c>
      <c r="AB101" s="91">
        <f t="shared" si="91"/>
        <v>0</v>
      </c>
      <c r="AC101" s="4" t="str">
        <f t="shared" si="91"/>
        <v/>
      </c>
      <c r="AD101" s="92">
        <f t="shared" si="91"/>
        <v>0</v>
      </c>
      <c r="AE101" s="80" t="str">
        <f>S101</f>
        <v>계</v>
      </c>
      <c r="AF101" s="80" t="str">
        <f>Q101&amp;"/"&amp;R101</f>
        <v>4/2</v>
      </c>
      <c r="AH101" s="20" t="str">
        <f t="shared" si="52"/>
        <v>오창읍 오창대성베르힐</v>
      </c>
      <c r="AI101" s="88">
        <f t="shared" si="53"/>
        <v>33</v>
      </c>
      <c r="AJ101" s="80" t="str">
        <f>IF(AI101="","",$AJ$2)</f>
        <v>A-</v>
      </c>
      <c r="AK101" s="80" t="s">
        <v>13</v>
      </c>
      <c r="AL101" s="80" t="s">
        <v>62</v>
      </c>
      <c r="AM101" s="80" t="s">
        <v>63</v>
      </c>
      <c r="AN101" s="80" t="str">
        <f>IF(AI101="","",$AN$2)</f>
        <v>C</v>
      </c>
      <c r="AO101" s="80" t="str">
        <f>IF(N101="","",IF(N101&gt;=$AO$1/100,"O","X"))</f>
        <v/>
      </c>
      <c r="AP101" s="80" t="str">
        <f>IF(I101="","",IF(I101&lt;=$AP$1,"O","X"))</f>
        <v/>
      </c>
      <c r="AQ101" s="80" t="str">
        <f>IF(O101="","",IF(O101&lt;=$AQ$1,"O","X"))</f>
        <v>O</v>
      </c>
      <c r="AR101" s="80" t="str">
        <f>IF(M101="","",IF(M101&lt;=$AR$1,"O","X"))</f>
        <v>O</v>
      </c>
      <c r="AS101" s="80" t="s">
        <v>2</v>
      </c>
      <c r="AT101" s="80" t="str">
        <f>IF(OR(F101="",AI101=""),"",IF(AND((F101&lt;=85),(AI101&gt;=15)),"O","X"))</f>
        <v>O</v>
      </c>
      <c r="AU101" s="80" t="str">
        <f>IF(C101="","",IF(C101&gt;=$AU$1,"O","X"))</f>
        <v>O</v>
      </c>
      <c r="AV101" s="80" t="str">
        <f>IF(AO101="","",IF(AND(AO101="O",AP101="O",AR101="O",AT101="O",AU101="O"),"후보","X"))</f>
        <v/>
      </c>
    </row>
    <row r="102" spans="1:48" s="37" customFormat="1" ht="12" x14ac:dyDescent="0.3">
      <c r="A102" s="75" t="s">
        <v>1031</v>
      </c>
      <c r="B102" s="76" t="s">
        <v>1032</v>
      </c>
      <c r="C102" s="86">
        <v>1602</v>
      </c>
      <c r="D102" s="87">
        <v>86.6</v>
      </c>
      <c r="E102" s="88">
        <v>26</v>
      </c>
      <c r="F102" s="87">
        <v>59.9</v>
      </c>
      <c r="G102" s="17">
        <v>18</v>
      </c>
      <c r="H102" s="89">
        <v>391</v>
      </c>
      <c r="I102" s="90">
        <v>22500</v>
      </c>
      <c r="J102" s="90" t="s">
        <v>73</v>
      </c>
      <c r="K102" s="90">
        <v>22000</v>
      </c>
      <c r="L102" s="90" t="s">
        <v>67</v>
      </c>
      <c r="M102" s="91">
        <f t="shared" ref="M102:M131" si="92">I102-K102</f>
        <v>500</v>
      </c>
      <c r="N102" s="4">
        <f t="shared" ref="N102:N131" si="93">IF(ISERROR(K102/I102),"",K102/I102)</f>
        <v>0.97777777777777775</v>
      </c>
      <c r="O102" s="92">
        <f t="shared" ref="O102:O131" si="94">I102/E102</f>
        <v>865.38461538461536</v>
      </c>
      <c r="P102" s="92">
        <f t="shared" ref="P102:P131" si="95">K102/E102</f>
        <v>846.15384615384619</v>
      </c>
      <c r="Q102" s="80">
        <v>3</v>
      </c>
      <c r="R102" s="80">
        <v>2</v>
      </c>
      <c r="S102" s="80" t="s">
        <v>61</v>
      </c>
      <c r="T102" s="5" t="s">
        <v>74</v>
      </c>
      <c r="U102" s="9"/>
      <c r="W102" s="87">
        <f t="shared" ref="W102:X117" si="96">D102</f>
        <v>86.6</v>
      </c>
      <c r="X102" s="88">
        <f t="shared" si="96"/>
        <v>26</v>
      </c>
      <c r="Y102" s="93">
        <f t="shared" ref="Y102:Z117" si="97">H102</f>
        <v>391</v>
      </c>
      <c r="Z102" s="91">
        <f t="shared" si="97"/>
        <v>22500</v>
      </c>
      <c r="AA102" s="91">
        <f t="shared" ref="AA102:AA131" si="98">K102</f>
        <v>22000</v>
      </c>
      <c r="AB102" s="91">
        <f t="shared" si="91"/>
        <v>500</v>
      </c>
      <c r="AC102" s="4">
        <f t="shared" si="91"/>
        <v>0.97777777777777775</v>
      </c>
      <c r="AD102" s="92">
        <f t="shared" si="91"/>
        <v>865.38461538461536</v>
      </c>
      <c r="AE102" s="80" t="str">
        <f t="shared" ref="AE102:AE131" si="99">S102</f>
        <v>계</v>
      </c>
      <c r="AF102" s="80" t="str">
        <f t="shared" ref="AF102:AF131" si="100">Q102&amp;"/"&amp;R102</f>
        <v>3/2</v>
      </c>
      <c r="AH102" s="20" t="str">
        <f t="shared" si="52"/>
        <v>오창읍 우림필유2차</v>
      </c>
      <c r="AI102" s="88">
        <f t="shared" si="53"/>
        <v>26</v>
      </c>
      <c r="AJ102" s="80" t="str">
        <f t="shared" ref="AJ102:AJ131" si="101">IF(AI102="","",$AJ$2)</f>
        <v>A-</v>
      </c>
      <c r="AK102" s="80" t="s">
        <v>13</v>
      </c>
      <c r="AL102" s="80" t="s">
        <v>62</v>
      </c>
      <c r="AM102" s="80" t="s">
        <v>63</v>
      </c>
      <c r="AN102" s="80" t="str">
        <f t="shared" ref="AN102:AN131" si="102">IF(AI102="","",$AN$2)</f>
        <v>C</v>
      </c>
      <c r="AO102" s="80" t="str">
        <f t="shared" ref="AO102:AO131" si="103">IF(N102="","",IF(N102&gt;=$AO$1/100,"O","X"))</f>
        <v>O</v>
      </c>
      <c r="AP102" s="80" t="str">
        <f t="shared" ref="AP102:AP131" si="104">IF(I102="","",IF(I102&lt;=$AP$1,"O","X"))</f>
        <v>O</v>
      </c>
      <c r="AQ102" s="80" t="str">
        <f t="shared" ref="AQ102:AQ131" si="105">IF(O102="","",IF(O102&lt;=$AQ$1,"O","X"))</f>
        <v>O</v>
      </c>
      <c r="AR102" s="80" t="str">
        <f t="shared" ref="AR102:AR131" si="106">IF(M102="","",IF(M102&lt;=$AR$1,"O","X"))</f>
        <v>O</v>
      </c>
      <c r="AS102" s="80" t="s">
        <v>2</v>
      </c>
      <c r="AT102" s="80" t="str">
        <f t="shared" ref="AT102:AT131" si="107">IF(OR(F102="",AI102=""),"",IF(AND((F102&lt;=85),(AI102&gt;=15)),"O","X"))</f>
        <v>O</v>
      </c>
      <c r="AU102" s="80" t="str">
        <f t="shared" ref="AU102:AU131" si="108">IF(C102="","",IF(C102&gt;=$AU$1,"O","X"))</f>
        <v>O</v>
      </c>
      <c r="AV102" s="80" t="str">
        <f t="shared" ref="AV102:AV131" si="109">IF(AO102="","",IF(AND(AO102="O",AP102="O",AR102="O",AT102="O",AU102="O"),"후보","X"))</f>
        <v>후보</v>
      </c>
    </row>
    <row r="103" spans="1:48" s="37" customFormat="1" ht="12" x14ac:dyDescent="0.3">
      <c r="A103" s="75" t="s">
        <v>1031</v>
      </c>
      <c r="B103" s="76" t="s">
        <v>1032</v>
      </c>
      <c r="C103" s="86">
        <v>1602</v>
      </c>
      <c r="D103" s="87">
        <v>86.6</v>
      </c>
      <c r="E103" s="88">
        <v>26</v>
      </c>
      <c r="F103" s="87">
        <v>59.9</v>
      </c>
      <c r="G103" s="17">
        <v>18</v>
      </c>
      <c r="H103" s="89">
        <v>53</v>
      </c>
      <c r="I103" s="90">
        <v>22500</v>
      </c>
      <c r="J103" s="90" t="s">
        <v>73</v>
      </c>
      <c r="K103" s="90">
        <v>22000</v>
      </c>
      <c r="L103" s="90" t="s">
        <v>67</v>
      </c>
      <c r="M103" s="91">
        <f t="shared" si="92"/>
        <v>500</v>
      </c>
      <c r="N103" s="4">
        <f t="shared" si="93"/>
        <v>0.97777777777777775</v>
      </c>
      <c r="O103" s="92">
        <f t="shared" si="94"/>
        <v>865.38461538461536</v>
      </c>
      <c r="P103" s="92">
        <f t="shared" si="95"/>
        <v>846.15384615384619</v>
      </c>
      <c r="Q103" s="80">
        <v>3</v>
      </c>
      <c r="R103" s="80">
        <v>2</v>
      </c>
      <c r="S103" s="80" t="s">
        <v>61</v>
      </c>
      <c r="T103" s="5" t="s">
        <v>75</v>
      </c>
      <c r="U103" s="9"/>
      <c r="W103" s="87">
        <f t="shared" si="96"/>
        <v>86.6</v>
      </c>
      <c r="X103" s="88">
        <f t="shared" si="96"/>
        <v>26</v>
      </c>
      <c r="Y103" s="93">
        <f t="shared" si="97"/>
        <v>53</v>
      </c>
      <c r="Z103" s="91">
        <f t="shared" si="97"/>
        <v>22500</v>
      </c>
      <c r="AA103" s="91">
        <f t="shared" si="98"/>
        <v>22000</v>
      </c>
      <c r="AB103" s="91">
        <f t="shared" si="91"/>
        <v>500</v>
      </c>
      <c r="AC103" s="4">
        <f t="shared" si="91"/>
        <v>0.97777777777777775</v>
      </c>
      <c r="AD103" s="92">
        <f t="shared" si="91"/>
        <v>865.38461538461536</v>
      </c>
      <c r="AE103" s="80" t="str">
        <f t="shared" si="99"/>
        <v>계</v>
      </c>
      <c r="AF103" s="80" t="str">
        <f t="shared" si="100"/>
        <v>3/2</v>
      </c>
      <c r="AH103" s="20" t="str">
        <f t="shared" si="52"/>
        <v>오창읍 우림필유2차</v>
      </c>
      <c r="AI103" s="88">
        <f t="shared" si="53"/>
        <v>26</v>
      </c>
      <c r="AJ103" s="80" t="str">
        <f t="shared" si="101"/>
        <v>A-</v>
      </c>
      <c r="AK103" s="80" t="s">
        <v>13</v>
      </c>
      <c r="AL103" s="80" t="s">
        <v>62</v>
      </c>
      <c r="AM103" s="80" t="s">
        <v>63</v>
      </c>
      <c r="AN103" s="80" t="str">
        <f t="shared" si="102"/>
        <v>C</v>
      </c>
      <c r="AO103" s="80" t="str">
        <f t="shared" si="103"/>
        <v>O</v>
      </c>
      <c r="AP103" s="80" t="str">
        <f t="shared" si="104"/>
        <v>O</v>
      </c>
      <c r="AQ103" s="80" t="str">
        <f t="shared" si="105"/>
        <v>O</v>
      </c>
      <c r="AR103" s="80" t="str">
        <f t="shared" si="106"/>
        <v>O</v>
      </c>
      <c r="AS103" s="80" t="s">
        <v>2</v>
      </c>
      <c r="AT103" s="80" t="str">
        <f t="shared" si="107"/>
        <v>O</v>
      </c>
      <c r="AU103" s="80" t="str">
        <f t="shared" si="108"/>
        <v>O</v>
      </c>
      <c r="AV103" s="80" t="str">
        <f t="shared" si="109"/>
        <v>후보</v>
      </c>
    </row>
    <row r="104" spans="1:48" s="37" customFormat="1" ht="12" x14ac:dyDescent="0.3">
      <c r="A104" s="75" t="s">
        <v>1031</v>
      </c>
      <c r="B104" s="76" t="s">
        <v>1032</v>
      </c>
      <c r="C104" s="86">
        <v>1602</v>
      </c>
      <c r="D104" s="87">
        <v>113.1</v>
      </c>
      <c r="E104" s="88">
        <v>34</v>
      </c>
      <c r="F104" s="87">
        <v>85</v>
      </c>
      <c r="G104" s="17">
        <v>26</v>
      </c>
      <c r="H104" s="89">
        <v>685</v>
      </c>
      <c r="I104" s="90">
        <v>32000</v>
      </c>
      <c r="J104" s="90" t="s">
        <v>65</v>
      </c>
      <c r="K104" s="90">
        <v>27000</v>
      </c>
      <c r="L104" s="90" t="s">
        <v>59</v>
      </c>
      <c r="M104" s="91">
        <f t="shared" si="92"/>
        <v>5000</v>
      </c>
      <c r="N104" s="4">
        <f t="shared" si="93"/>
        <v>0.84375</v>
      </c>
      <c r="O104" s="92">
        <f t="shared" si="94"/>
        <v>941.17647058823525</v>
      </c>
      <c r="P104" s="92">
        <f t="shared" si="95"/>
        <v>794.11764705882354</v>
      </c>
      <c r="Q104" s="80">
        <v>3</v>
      </c>
      <c r="R104" s="80">
        <v>2</v>
      </c>
      <c r="S104" s="80" t="s">
        <v>61</v>
      </c>
      <c r="T104" s="5" t="s">
        <v>76</v>
      </c>
      <c r="U104" s="9"/>
      <c r="W104" s="87">
        <f t="shared" si="96"/>
        <v>113.1</v>
      </c>
      <c r="X104" s="88">
        <f t="shared" si="96"/>
        <v>34</v>
      </c>
      <c r="Y104" s="93">
        <f t="shared" si="97"/>
        <v>685</v>
      </c>
      <c r="Z104" s="91">
        <f t="shared" si="97"/>
        <v>32000</v>
      </c>
      <c r="AA104" s="91">
        <f t="shared" si="98"/>
        <v>27000</v>
      </c>
      <c r="AB104" s="91">
        <f t="shared" si="91"/>
        <v>5000</v>
      </c>
      <c r="AC104" s="4">
        <f t="shared" si="91"/>
        <v>0.84375</v>
      </c>
      <c r="AD104" s="92">
        <f t="shared" si="91"/>
        <v>941.17647058823525</v>
      </c>
      <c r="AE104" s="80" t="str">
        <f t="shared" si="99"/>
        <v>계</v>
      </c>
      <c r="AF104" s="80" t="str">
        <f t="shared" si="100"/>
        <v>3/2</v>
      </c>
      <c r="AH104" s="20" t="str">
        <f t="shared" si="52"/>
        <v>오창읍 우림필유2차</v>
      </c>
      <c r="AI104" s="88">
        <f t="shared" si="53"/>
        <v>34</v>
      </c>
      <c r="AJ104" s="80" t="str">
        <f t="shared" si="101"/>
        <v>A-</v>
      </c>
      <c r="AK104" s="80" t="s">
        <v>13</v>
      </c>
      <c r="AL104" s="80" t="s">
        <v>62</v>
      </c>
      <c r="AM104" s="80" t="s">
        <v>63</v>
      </c>
      <c r="AN104" s="80" t="str">
        <f t="shared" si="102"/>
        <v>C</v>
      </c>
      <c r="AO104" s="80" t="str">
        <f t="shared" si="103"/>
        <v>O</v>
      </c>
      <c r="AP104" s="80" t="str">
        <f t="shared" si="104"/>
        <v>O</v>
      </c>
      <c r="AQ104" s="80" t="str">
        <f t="shared" si="105"/>
        <v>O</v>
      </c>
      <c r="AR104" s="80" t="str">
        <f t="shared" si="106"/>
        <v>O</v>
      </c>
      <c r="AS104" s="80" t="s">
        <v>2</v>
      </c>
      <c r="AT104" s="80" t="str">
        <f t="shared" si="107"/>
        <v>O</v>
      </c>
      <c r="AU104" s="80" t="str">
        <f t="shared" si="108"/>
        <v>O</v>
      </c>
      <c r="AV104" s="80" t="str">
        <f t="shared" si="109"/>
        <v>후보</v>
      </c>
    </row>
    <row r="105" spans="1:48" s="37" customFormat="1" ht="12" x14ac:dyDescent="0.3">
      <c r="A105" s="75" t="s">
        <v>1031</v>
      </c>
      <c r="B105" s="76" t="s">
        <v>1032</v>
      </c>
      <c r="C105" s="86">
        <v>1602</v>
      </c>
      <c r="D105" s="87">
        <v>114.7</v>
      </c>
      <c r="E105" s="88">
        <v>35</v>
      </c>
      <c r="F105" s="87">
        <v>85</v>
      </c>
      <c r="G105" s="17">
        <v>26</v>
      </c>
      <c r="H105" s="89">
        <v>121</v>
      </c>
      <c r="I105" s="90">
        <v>30500</v>
      </c>
      <c r="J105" s="90" t="s">
        <v>77</v>
      </c>
      <c r="K105" s="90">
        <v>27000</v>
      </c>
      <c r="L105" s="90" t="s">
        <v>77</v>
      </c>
      <c r="M105" s="91">
        <f t="shared" si="92"/>
        <v>3500</v>
      </c>
      <c r="N105" s="4">
        <f t="shared" si="93"/>
        <v>0.88524590163934425</v>
      </c>
      <c r="O105" s="92">
        <f t="shared" si="94"/>
        <v>871.42857142857144</v>
      </c>
      <c r="P105" s="92">
        <f t="shared" si="95"/>
        <v>771.42857142857144</v>
      </c>
      <c r="Q105" s="80">
        <v>3</v>
      </c>
      <c r="R105" s="80">
        <v>2</v>
      </c>
      <c r="S105" s="80" t="s">
        <v>61</v>
      </c>
      <c r="T105" s="5" t="s">
        <v>78</v>
      </c>
      <c r="U105" s="9"/>
      <c r="W105" s="87">
        <f t="shared" si="96"/>
        <v>114.7</v>
      </c>
      <c r="X105" s="88">
        <f t="shared" si="96"/>
        <v>35</v>
      </c>
      <c r="Y105" s="93">
        <f t="shared" si="97"/>
        <v>121</v>
      </c>
      <c r="Z105" s="91">
        <f t="shared" si="97"/>
        <v>30500</v>
      </c>
      <c r="AA105" s="91">
        <f t="shared" si="98"/>
        <v>27000</v>
      </c>
      <c r="AB105" s="91">
        <f t="shared" si="91"/>
        <v>3500</v>
      </c>
      <c r="AC105" s="4">
        <f t="shared" si="91"/>
        <v>0.88524590163934425</v>
      </c>
      <c r="AD105" s="92">
        <f t="shared" si="91"/>
        <v>871.42857142857144</v>
      </c>
      <c r="AE105" s="80" t="str">
        <f t="shared" si="99"/>
        <v>계</v>
      </c>
      <c r="AF105" s="80" t="str">
        <f t="shared" si="100"/>
        <v>3/2</v>
      </c>
      <c r="AH105" s="20" t="str">
        <f t="shared" si="52"/>
        <v>오창읍 우림필유2차</v>
      </c>
      <c r="AI105" s="88">
        <f t="shared" si="53"/>
        <v>35</v>
      </c>
      <c r="AJ105" s="80" t="str">
        <f t="shared" si="101"/>
        <v>A-</v>
      </c>
      <c r="AK105" s="80" t="s">
        <v>13</v>
      </c>
      <c r="AL105" s="80" t="s">
        <v>62</v>
      </c>
      <c r="AM105" s="80" t="s">
        <v>63</v>
      </c>
      <c r="AN105" s="80" t="str">
        <f t="shared" si="102"/>
        <v>C</v>
      </c>
      <c r="AO105" s="80" t="str">
        <f t="shared" si="103"/>
        <v>O</v>
      </c>
      <c r="AP105" s="80" t="str">
        <f t="shared" si="104"/>
        <v>O</v>
      </c>
      <c r="AQ105" s="80" t="str">
        <f t="shared" si="105"/>
        <v>O</v>
      </c>
      <c r="AR105" s="80" t="str">
        <f t="shared" si="106"/>
        <v>O</v>
      </c>
      <c r="AS105" s="80" t="s">
        <v>2</v>
      </c>
      <c r="AT105" s="80" t="str">
        <f t="shared" si="107"/>
        <v>O</v>
      </c>
      <c r="AU105" s="80" t="str">
        <f t="shared" si="108"/>
        <v>O</v>
      </c>
      <c r="AV105" s="80" t="str">
        <f t="shared" si="109"/>
        <v>후보</v>
      </c>
    </row>
    <row r="106" spans="1:48" s="37" customFormat="1" ht="12" x14ac:dyDescent="0.3">
      <c r="A106" s="75" t="s">
        <v>1031</v>
      </c>
      <c r="B106" s="76" t="s">
        <v>1032</v>
      </c>
      <c r="C106" s="86">
        <v>1602</v>
      </c>
      <c r="D106" s="87">
        <v>156.1</v>
      </c>
      <c r="E106" s="88">
        <v>47</v>
      </c>
      <c r="F106" s="87">
        <v>122.6</v>
      </c>
      <c r="G106" s="17">
        <v>37</v>
      </c>
      <c r="H106" s="89">
        <v>280</v>
      </c>
      <c r="I106" s="90">
        <v>45000</v>
      </c>
      <c r="J106" s="90" t="s">
        <v>68</v>
      </c>
      <c r="K106" s="90">
        <v>38500</v>
      </c>
      <c r="L106" s="90" t="s">
        <v>86</v>
      </c>
      <c r="M106" s="91">
        <f t="shared" si="92"/>
        <v>6500</v>
      </c>
      <c r="N106" s="4">
        <f t="shared" si="93"/>
        <v>0.85555555555555551</v>
      </c>
      <c r="O106" s="92">
        <f t="shared" si="94"/>
        <v>957.44680851063833</v>
      </c>
      <c r="P106" s="92">
        <f t="shared" si="95"/>
        <v>819.14893617021278</v>
      </c>
      <c r="Q106" s="80">
        <v>4</v>
      </c>
      <c r="R106" s="80">
        <v>2</v>
      </c>
      <c r="S106" s="80" t="s">
        <v>61</v>
      </c>
      <c r="T106" s="5">
        <v>156</v>
      </c>
      <c r="U106" s="9"/>
      <c r="W106" s="87">
        <f t="shared" si="96"/>
        <v>156.1</v>
      </c>
      <c r="X106" s="88">
        <f t="shared" si="96"/>
        <v>47</v>
      </c>
      <c r="Y106" s="93">
        <f t="shared" si="97"/>
        <v>280</v>
      </c>
      <c r="Z106" s="91">
        <f t="shared" si="97"/>
        <v>45000</v>
      </c>
      <c r="AA106" s="91">
        <f t="shared" si="98"/>
        <v>38500</v>
      </c>
      <c r="AB106" s="91">
        <f t="shared" si="91"/>
        <v>6500</v>
      </c>
      <c r="AC106" s="4">
        <f t="shared" si="91"/>
        <v>0.85555555555555551</v>
      </c>
      <c r="AD106" s="92">
        <f t="shared" si="91"/>
        <v>957.44680851063833</v>
      </c>
      <c r="AE106" s="80" t="str">
        <f t="shared" si="99"/>
        <v>계</v>
      </c>
      <c r="AF106" s="80" t="str">
        <f t="shared" si="100"/>
        <v>4/2</v>
      </c>
      <c r="AH106" s="20" t="str">
        <f t="shared" si="52"/>
        <v>오창읍 우림필유2차</v>
      </c>
      <c r="AI106" s="88">
        <f t="shared" si="53"/>
        <v>47</v>
      </c>
      <c r="AJ106" s="80" t="str">
        <f t="shared" si="101"/>
        <v>A-</v>
      </c>
      <c r="AK106" s="80" t="s">
        <v>13</v>
      </c>
      <c r="AL106" s="80" t="s">
        <v>62</v>
      </c>
      <c r="AM106" s="80" t="s">
        <v>63</v>
      </c>
      <c r="AN106" s="80" t="str">
        <f t="shared" si="102"/>
        <v>C</v>
      </c>
      <c r="AO106" s="80" t="str">
        <f t="shared" si="103"/>
        <v>O</v>
      </c>
      <c r="AP106" s="80" t="str">
        <f t="shared" si="104"/>
        <v>O</v>
      </c>
      <c r="AQ106" s="80" t="str">
        <f t="shared" si="105"/>
        <v>O</v>
      </c>
      <c r="AR106" s="80" t="str">
        <f t="shared" si="106"/>
        <v>X</v>
      </c>
      <c r="AS106" s="80" t="s">
        <v>2</v>
      </c>
      <c r="AT106" s="80" t="str">
        <f t="shared" si="107"/>
        <v>X</v>
      </c>
      <c r="AU106" s="80" t="str">
        <f t="shared" si="108"/>
        <v>O</v>
      </c>
      <c r="AV106" s="80" t="str">
        <f t="shared" si="109"/>
        <v>X</v>
      </c>
    </row>
    <row r="107" spans="1:48" s="37" customFormat="1" ht="12" x14ac:dyDescent="0.3">
      <c r="A107" s="75" t="s">
        <v>1031</v>
      </c>
      <c r="B107" s="76" t="s">
        <v>1032</v>
      </c>
      <c r="C107" s="86">
        <v>1602</v>
      </c>
      <c r="D107" s="87">
        <v>202.1</v>
      </c>
      <c r="E107" s="88">
        <v>61</v>
      </c>
      <c r="F107" s="87">
        <v>166.8</v>
      </c>
      <c r="G107" s="17">
        <v>50</v>
      </c>
      <c r="H107" s="89">
        <v>72</v>
      </c>
      <c r="I107" s="90">
        <v>55500</v>
      </c>
      <c r="J107" s="90" t="s">
        <v>70</v>
      </c>
      <c r="K107" s="90">
        <v>40000</v>
      </c>
      <c r="L107" s="90" t="s">
        <v>86</v>
      </c>
      <c r="M107" s="91">
        <f t="shared" si="92"/>
        <v>15500</v>
      </c>
      <c r="N107" s="4">
        <f t="shared" si="93"/>
        <v>0.72072072072072069</v>
      </c>
      <c r="O107" s="92">
        <f t="shared" si="94"/>
        <v>909.8360655737705</v>
      </c>
      <c r="P107" s="92">
        <f t="shared" si="95"/>
        <v>655.73770491803282</v>
      </c>
      <c r="Q107" s="80">
        <v>4</v>
      </c>
      <c r="R107" s="80">
        <v>2</v>
      </c>
      <c r="S107" s="80" t="s">
        <v>61</v>
      </c>
      <c r="T107" s="5">
        <v>202</v>
      </c>
      <c r="U107" s="9"/>
      <c r="W107" s="87">
        <f t="shared" si="96"/>
        <v>202.1</v>
      </c>
      <c r="X107" s="88">
        <f t="shared" si="96"/>
        <v>61</v>
      </c>
      <c r="Y107" s="93">
        <f t="shared" si="97"/>
        <v>72</v>
      </c>
      <c r="Z107" s="91">
        <f t="shared" si="97"/>
        <v>55500</v>
      </c>
      <c r="AA107" s="91">
        <f t="shared" si="98"/>
        <v>40000</v>
      </c>
      <c r="AB107" s="91">
        <f t="shared" si="91"/>
        <v>15500</v>
      </c>
      <c r="AC107" s="4">
        <f t="shared" si="91"/>
        <v>0.72072072072072069</v>
      </c>
      <c r="AD107" s="92">
        <f t="shared" si="91"/>
        <v>909.8360655737705</v>
      </c>
      <c r="AE107" s="80" t="str">
        <f t="shared" si="99"/>
        <v>계</v>
      </c>
      <c r="AF107" s="80" t="str">
        <f t="shared" si="100"/>
        <v>4/2</v>
      </c>
      <c r="AH107" s="20" t="str">
        <f t="shared" si="52"/>
        <v>오창읍 우림필유2차</v>
      </c>
      <c r="AI107" s="88">
        <f t="shared" si="53"/>
        <v>61</v>
      </c>
      <c r="AJ107" s="80" t="str">
        <f t="shared" si="101"/>
        <v>A-</v>
      </c>
      <c r="AK107" s="80" t="s">
        <v>13</v>
      </c>
      <c r="AL107" s="80" t="s">
        <v>62</v>
      </c>
      <c r="AM107" s="80" t="s">
        <v>63</v>
      </c>
      <c r="AN107" s="80" t="str">
        <f t="shared" si="102"/>
        <v>C</v>
      </c>
      <c r="AO107" s="80" t="str">
        <f t="shared" si="103"/>
        <v>X</v>
      </c>
      <c r="AP107" s="80" t="str">
        <f t="shared" si="104"/>
        <v>X</v>
      </c>
      <c r="AQ107" s="80" t="str">
        <f t="shared" si="105"/>
        <v>O</v>
      </c>
      <c r="AR107" s="80" t="str">
        <f t="shared" si="106"/>
        <v>X</v>
      </c>
      <c r="AS107" s="80" t="s">
        <v>2</v>
      </c>
      <c r="AT107" s="80" t="str">
        <f t="shared" si="107"/>
        <v>X</v>
      </c>
      <c r="AU107" s="80" t="str">
        <f t="shared" si="108"/>
        <v>O</v>
      </c>
      <c r="AV107" s="80" t="str">
        <f t="shared" si="109"/>
        <v>X</v>
      </c>
    </row>
    <row r="108" spans="1:48" s="37" customFormat="1" ht="12" x14ac:dyDescent="0.3">
      <c r="A108" s="75" t="s">
        <v>1033</v>
      </c>
      <c r="B108" s="76" t="s">
        <v>1027</v>
      </c>
      <c r="C108" s="86">
        <v>1529</v>
      </c>
      <c r="D108" s="87">
        <v>85.1</v>
      </c>
      <c r="E108" s="88">
        <v>26</v>
      </c>
      <c r="F108" s="87">
        <v>60</v>
      </c>
      <c r="G108" s="17">
        <v>18</v>
      </c>
      <c r="H108" s="89">
        <v>406</v>
      </c>
      <c r="I108" s="90">
        <v>22500</v>
      </c>
      <c r="J108" s="90" t="s">
        <v>68</v>
      </c>
      <c r="K108" s="90">
        <v>23000</v>
      </c>
      <c r="L108" s="90" t="s">
        <v>59</v>
      </c>
      <c r="M108" s="91">
        <f t="shared" si="92"/>
        <v>-500</v>
      </c>
      <c r="N108" s="4">
        <f t="shared" si="93"/>
        <v>1.0222222222222221</v>
      </c>
      <c r="O108" s="92">
        <f t="shared" si="94"/>
        <v>865.38461538461536</v>
      </c>
      <c r="P108" s="92">
        <f t="shared" si="95"/>
        <v>884.61538461538464</v>
      </c>
      <c r="Q108" s="80">
        <v>3</v>
      </c>
      <c r="R108" s="80">
        <v>2</v>
      </c>
      <c r="S108" s="80" t="s">
        <v>61</v>
      </c>
      <c r="T108" s="5">
        <v>85</v>
      </c>
      <c r="U108" s="9"/>
      <c r="W108" s="87">
        <f t="shared" si="96"/>
        <v>85.1</v>
      </c>
      <c r="X108" s="88">
        <f t="shared" si="96"/>
        <v>26</v>
      </c>
      <c r="Y108" s="93">
        <f t="shared" si="97"/>
        <v>406</v>
      </c>
      <c r="Z108" s="91">
        <f t="shared" si="97"/>
        <v>22500</v>
      </c>
      <c r="AA108" s="91">
        <f t="shared" si="98"/>
        <v>23000</v>
      </c>
      <c r="AB108" s="91">
        <f t="shared" si="91"/>
        <v>-500</v>
      </c>
      <c r="AC108" s="4">
        <f t="shared" si="91"/>
        <v>1.0222222222222221</v>
      </c>
      <c r="AD108" s="92">
        <f t="shared" si="91"/>
        <v>865.38461538461536</v>
      </c>
      <c r="AE108" s="80" t="str">
        <f t="shared" si="99"/>
        <v>계</v>
      </c>
      <c r="AF108" s="80" t="str">
        <f t="shared" si="100"/>
        <v>3/2</v>
      </c>
      <c r="AH108" s="20" t="str">
        <f t="shared" si="52"/>
        <v>오창읍 한라비발디</v>
      </c>
      <c r="AI108" s="88">
        <f t="shared" si="53"/>
        <v>26</v>
      </c>
      <c r="AJ108" s="80" t="str">
        <f t="shared" si="101"/>
        <v>A-</v>
      </c>
      <c r="AK108" s="80" t="s">
        <v>13</v>
      </c>
      <c r="AL108" s="80" t="s">
        <v>62</v>
      </c>
      <c r="AM108" s="80" t="s">
        <v>63</v>
      </c>
      <c r="AN108" s="80" t="str">
        <f t="shared" si="102"/>
        <v>C</v>
      </c>
      <c r="AO108" s="80" t="str">
        <f t="shared" si="103"/>
        <v>O</v>
      </c>
      <c r="AP108" s="80" t="str">
        <f t="shared" si="104"/>
        <v>O</v>
      </c>
      <c r="AQ108" s="80" t="str">
        <f t="shared" si="105"/>
        <v>O</v>
      </c>
      <c r="AR108" s="80" t="str">
        <f t="shared" si="106"/>
        <v>O</v>
      </c>
      <c r="AS108" s="80" t="s">
        <v>2</v>
      </c>
      <c r="AT108" s="80" t="str">
        <f t="shared" si="107"/>
        <v>O</v>
      </c>
      <c r="AU108" s="80" t="str">
        <f t="shared" si="108"/>
        <v>O</v>
      </c>
      <c r="AV108" s="80" t="str">
        <f t="shared" si="109"/>
        <v>후보</v>
      </c>
    </row>
    <row r="109" spans="1:48" s="37" customFormat="1" ht="12" x14ac:dyDescent="0.3">
      <c r="A109" s="75" t="s">
        <v>1033</v>
      </c>
      <c r="B109" s="76" t="s">
        <v>1027</v>
      </c>
      <c r="C109" s="86">
        <v>1529</v>
      </c>
      <c r="D109" s="87">
        <v>111</v>
      </c>
      <c r="E109" s="88">
        <v>34</v>
      </c>
      <c r="F109" s="87">
        <v>84.6</v>
      </c>
      <c r="G109" s="17">
        <v>26</v>
      </c>
      <c r="H109" s="89">
        <v>776</v>
      </c>
      <c r="I109" s="90">
        <v>30000</v>
      </c>
      <c r="J109" s="90" t="s">
        <v>79</v>
      </c>
      <c r="K109" s="90">
        <v>27000</v>
      </c>
      <c r="L109" s="90" t="s">
        <v>68</v>
      </c>
      <c r="M109" s="91">
        <f t="shared" si="92"/>
        <v>3000</v>
      </c>
      <c r="N109" s="4">
        <f t="shared" si="93"/>
        <v>0.9</v>
      </c>
      <c r="O109" s="92">
        <f t="shared" si="94"/>
        <v>882.35294117647061</v>
      </c>
      <c r="P109" s="92">
        <f t="shared" si="95"/>
        <v>794.11764705882354</v>
      </c>
      <c r="Q109" s="80">
        <v>3</v>
      </c>
      <c r="R109" s="80">
        <v>2</v>
      </c>
      <c r="S109" s="80" t="s">
        <v>61</v>
      </c>
      <c r="T109" s="5">
        <v>111</v>
      </c>
      <c r="U109" s="9"/>
      <c r="W109" s="87">
        <f t="shared" si="96"/>
        <v>111</v>
      </c>
      <c r="X109" s="88">
        <f t="shared" si="96"/>
        <v>34</v>
      </c>
      <c r="Y109" s="93">
        <f t="shared" si="97"/>
        <v>776</v>
      </c>
      <c r="Z109" s="91">
        <f t="shared" si="97"/>
        <v>30000</v>
      </c>
      <c r="AA109" s="91">
        <f t="shared" si="98"/>
        <v>27000</v>
      </c>
      <c r="AB109" s="91">
        <f t="shared" si="91"/>
        <v>3000</v>
      </c>
      <c r="AC109" s="4">
        <f t="shared" si="91"/>
        <v>0.9</v>
      </c>
      <c r="AD109" s="92">
        <f t="shared" si="91"/>
        <v>882.35294117647061</v>
      </c>
      <c r="AE109" s="80" t="str">
        <f t="shared" si="99"/>
        <v>계</v>
      </c>
      <c r="AF109" s="80" t="str">
        <f t="shared" si="100"/>
        <v>3/2</v>
      </c>
      <c r="AH109" s="20" t="str">
        <f t="shared" si="52"/>
        <v>오창읍 한라비발디</v>
      </c>
      <c r="AI109" s="88">
        <f t="shared" si="53"/>
        <v>34</v>
      </c>
      <c r="AJ109" s="80" t="str">
        <f t="shared" si="101"/>
        <v>A-</v>
      </c>
      <c r="AK109" s="80" t="s">
        <v>13</v>
      </c>
      <c r="AL109" s="80" t="s">
        <v>62</v>
      </c>
      <c r="AM109" s="80" t="s">
        <v>63</v>
      </c>
      <c r="AN109" s="80" t="str">
        <f t="shared" si="102"/>
        <v>C</v>
      </c>
      <c r="AO109" s="80" t="str">
        <f t="shared" si="103"/>
        <v>O</v>
      </c>
      <c r="AP109" s="80" t="str">
        <f t="shared" si="104"/>
        <v>O</v>
      </c>
      <c r="AQ109" s="80" t="str">
        <f t="shared" si="105"/>
        <v>O</v>
      </c>
      <c r="AR109" s="80" t="str">
        <f t="shared" si="106"/>
        <v>O</v>
      </c>
      <c r="AS109" s="80" t="s">
        <v>2</v>
      </c>
      <c r="AT109" s="80" t="str">
        <f t="shared" si="107"/>
        <v>O</v>
      </c>
      <c r="AU109" s="80" t="str">
        <f t="shared" si="108"/>
        <v>O</v>
      </c>
      <c r="AV109" s="80" t="str">
        <f t="shared" si="109"/>
        <v>후보</v>
      </c>
    </row>
    <row r="110" spans="1:48" s="37" customFormat="1" ht="12" x14ac:dyDescent="0.3">
      <c r="A110" s="75" t="s">
        <v>1033</v>
      </c>
      <c r="B110" s="76" t="s">
        <v>1027</v>
      </c>
      <c r="C110" s="86">
        <v>1529</v>
      </c>
      <c r="D110" s="87">
        <v>133</v>
      </c>
      <c r="E110" s="88">
        <v>40</v>
      </c>
      <c r="F110" s="87">
        <v>108.5</v>
      </c>
      <c r="G110" s="17">
        <v>33</v>
      </c>
      <c r="H110" s="89">
        <v>142</v>
      </c>
      <c r="I110" s="90">
        <v>38000</v>
      </c>
      <c r="J110" s="90" t="s">
        <v>67</v>
      </c>
      <c r="K110" s="90"/>
      <c r="L110" s="90"/>
      <c r="M110" s="91">
        <f t="shared" si="92"/>
        <v>38000</v>
      </c>
      <c r="N110" s="4">
        <f t="shared" si="93"/>
        <v>0</v>
      </c>
      <c r="O110" s="92">
        <f t="shared" si="94"/>
        <v>950</v>
      </c>
      <c r="P110" s="92">
        <f t="shared" si="95"/>
        <v>0</v>
      </c>
      <c r="Q110" s="80">
        <v>3</v>
      </c>
      <c r="R110" s="80">
        <v>2</v>
      </c>
      <c r="S110" s="80" t="s">
        <v>61</v>
      </c>
      <c r="T110" s="5">
        <v>132</v>
      </c>
      <c r="U110" s="9"/>
      <c r="W110" s="87">
        <f t="shared" si="96"/>
        <v>133</v>
      </c>
      <c r="X110" s="88">
        <f t="shared" si="96"/>
        <v>40</v>
      </c>
      <c r="Y110" s="93">
        <f t="shared" si="97"/>
        <v>142</v>
      </c>
      <c r="Z110" s="91">
        <f t="shared" si="97"/>
        <v>38000</v>
      </c>
      <c r="AA110" s="91">
        <f t="shared" si="98"/>
        <v>0</v>
      </c>
      <c r="AB110" s="91">
        <f t="shared" ref="AB110:AD125" si="110">M110</f>
        <v>38000</v>
      </c>
      <c r="AC110" s="4">
        <f t="shared" si="110"/>
        <v>0</v>
      </c>
      <c r="AD110" s="92">
        <f t="shared" si="110"/>
        <v>950</v>
      </c>
      <c r="AE110" s="80" t="str">
        <f t="shared" si="99"/>
        <v>계</v>
      </c>
      <c r="AF110" s="80" t="str">
        <f t="shared" si="100"/>
        <v>3/2</v>
      </c>
      <c r="AH110" s="20" t="str">
        <f t="shared" si="52"/>
        <v>오창읍 한라비발디</v>
      </c>
      <c r="AI110" s="88">
        <f t="shared" si="53"/>
        <v>40</v>
      </c>
      <c r="AJ110" s="80" t="str">
        <f t="shared" si="101"/>
        <v>A-</v>
      </c>
      <c r="AK110" s="80" t="s">
        <v>13</v>
      </c>
      <c r="AL110" s="80" t="s">
        <v>62</v>
      </c>
      <c r="AM110" s="80" t="s">
        <v>63</v>
      </c>
      <c r="AN110" s="80" t="str">
        <f t="shared" si="102"/>
        <v>C</v>
      </c>
      <c r="AO110" s="80" t="str">
        <f t="shared" si="103"/>
        <v>X</v>
      </c>
      <c r="AP110" s="80" t="str">
        <f t="shared" si="104"/>
        <v>O</v>
      </c>
      <c r="AQ110" s="80" t="str">
        <f t="shared" si="105"/>
        <v>O</v>
      </c>
      <c r="AR110" s="80" t="str">
        <f t="shared" si="106"/>
        <v>X</v>
      </c>
      <c r="AS110" s="80" t="s">
        <v>2</v>
      </c>
      <c r="AT110" s="80" t="str">
        <f t="shared" si="107"/>
        <v>X</v>
      </c>
      <c r="AU110" s="80" t="str">
        <f t="shared" si="108"/>
        <v>O</v>
      </c>
      <c r="AV110" s="80" t="str">
        <f t="shared" si="109"/>
        <v>X</v>
      </c>
    </row>
    <row r="111" spans="1:48" s="37" customFormat="1" ht="12" x14ac:dyDescent="0.3">
      <c r="A111" s="75" t="s">
        <v>1033</v>
      </c>
      <c r="B111" s="76" t="s">
        <v>1027</v>
      </c>
      <c r="C111" s="86">
        <v>1529</v>
      </c>
      <c r="D111" s="87">
        <v>153.30000000000001</v>
      </c>
      <c r="E111" s="88">
        <v>46</v>
      </c>
      <c r="F111" s="87">
        <v>129.9</v>
      </c>
      <c r="G111" s="17">
        <v>39</v>
      </c>
      <c r="H111" s="89">
        <v>167</v>
      </c>
      <c r="I111" s="90"/>
      <c r="J111" s="90"/>
      <c r="K111" s="90"/>
      <c r="L111" s="90"/>
      <c r="M111" s="91">
        <f t="shared" si="92"/>
        <v>0</v>
      </c>
      <c r="N111" s="4" t="str">
        <f t="shared" si="93"/>
        <v/>
      </c>
      <c r="O111" s="92">
        <f t="shared" si="94"/>
        <v>0</v>
      </c>
      <c r="P111" s="92">
        <f t="shared" si="95"/>
        <v>0</v>
      </c>
      <c r="Q111" s="80">
        <v>4</v>
      </c>
      <c r="R111" s="80">
        <v>2</v>
      </c>
      <c r="S111" s="80" t="s">
        <v>61</v>
      </c>
      <c r="T111" s="5">
        <v>153</v>
      </c>
      <c r="U111" s="9"/>
      <c r="W111" s="87">
        <f t="shared" si="96"/>
        <v>153.30000000000001</v>
      </c>
      <c r="X111" s="88">
        <f t="shared" si="96"/>
        <v>46</v>
      </c>
      <c r="Y111" s="93">
        <f t="shared" si="97"/>
        <v>167</v>
      </c>
      <c r="Z111" s="91">
        <f t="shared" si="97"/>
        <v>0</v>
      </c>
      <c r="AA111" s="91">
        <f t="shared" si="98"/>
        <v>0</v>
      </c>
      <c r="AB111" s="91">
        <f t="shared" si="110"/>
        <v>0</v>
      </c>
      <c r="AC111" s="4" t="str">
        <f t="shared" si="110"/>
        <v/>
      </c>
      <c r="AD111" s="92">
        <f t="shared" si="110"/>
        <v>0</v>
      </c>
      <c r="AE111" s="80" t="str">
        <f t="shared" si="99"/>
        <v>계</v>
      </c>
      <c r="AF111" s="80" t="str">
        <f t="shared" si="100"/>
        <v>4/2</v>
      </c>
      <c r="AH111" s="20" t="str">
        <f t="shared" si="52"/>
        <v>오창읍 한라비발디</v>
      </c>
      <c r="AI111" s="88">
        <f t="shared" si="53"/>
        <v>46</v>
      </c>
      <c r="AJ111" s="80" t="str">
        <f t="shared" si="101"/>
        <v>A-</v>
      </c>
      <c r="AK111" s="80" t="s">
        <v>13</v>
      </c>
      <c r="AL111" s="80" t="s">
        <v>62</v>
      </c>
      <c r="AM111" s="80" t="s">
        <v>63</v>
      </c>
      <c r="AN111" s="80" t="str">
        <f t="shared" si="102"/>
        <v>C</v>
      </c>
      <c r="AO111" s="80" t="str">
        <f t="shared" si="103"/>
        <v/>
      </c>
      <c r="AP111" s="80" t="str">
        <f t="shared" si="104"/>
        <v/>
      </c>
      <c r="AQ111" s="80" t="str">
        <f t="shared" si="105"/>
        <v>O</v>
      </c>
      <c r="AR111" s="80" t="str">
        <f t="shared" si="106"/>
        <v>O</v>
      </c>
      <c r="AS111" s="80" t="s">
        <v>2</v>
      </c>
      <c r="AT111" s="80" t="str">
        <f t="shared" si="107"/>
        <v>X</v>
      </c>
      <c r="AU111" s="80" t="str">
        <f t="shared" si="108"/>
        <v>O</v>
      </c>
      <c r="AV111" s="80" t="str">
        <f t="shared" si="109"/>
        <v/>
      </c>
    </row>
    <row r="112" spans="1:48" s="37" customFormat="1" ht="12" x14ac:dyDescent="0.3">
      <c r="A112" s="75" t="s">
        <v>1033</v>
      </c>
      <c r="B112" s="76" t="s">
        <v>1027</v>
      </c>
      <c r="C112" s="86">
        <v>1529</v>
      </c>
      <c r="D112" s="87">
        <v>189.3</v>
      </c>
      <c r="E112" s="88">
        <v>57</v>
      </c>
      <c r="F112" s="87">
        <v>161.9</v>
      </c>
      <c r="G112" s="17">
        <v>49</v>
      </c>
      <c r="H112" s="89">
        <v>34</v>
      </c>
      <c r="I112" s="90">
        <v>52000</v>
      </c>
      <c r="J112" s="90" t="s">
        <v>68</v>
      </c>
      <c r="K112" s="90">
        <v>40000</v>
      </c>
      <c r="L112" s="90" t="s">
        <v>65</v>
      </c>
      <c r="M112" s="91">
        <f t="shared" si="92"/>
        <v>12000</v>
      </c>
      <c r="N112" s="4">
        <f t="shared" si="93"/>
        <v>0.76923076923076927</v>
      </c>
      <c r="O112" s="92">
        <f t="shared" si="94"/>
        <v>912.28070175438597</v>
      </c>
      <c r="P112" s="92">
        <f t="shared" si="95"/>
        <v>701.75438596491233</v>
      </c>
      <c r="Q112" s="80">
        <v>4</v>
      </c>
      <c r="R112" s="80">
        <v>2</v>
      </c>
      <c r="S112" s="80" t="s">
        <v>61</v>
      </c>
      <c r="T112" s="5">
        <v>189</v>
      </c>
      <c r="U112" s="9"/>
      <c r="W112" s="87">
        <f t="shared" si="96"/>
        <v>189.3</v>
      </c>
      <c r="X112" s="88">
        <f t="shared" si="96"/>
        <v>57</v>
      </c>
      <c r="Y112" s="93">
        <f t="shared" si="97"/>
        <v>34</v>
      </c>
      <c r="Z112" s="91">
        <f t="shared" si="97"/>
        <v>52000</v>
      </c>
      <c r="AA112" s="91">
        <f t="shared" si="98"/>
        <v>40000</v>
      </c>
      <c r="AB112" s="91">
        <f t="shared" si="110"/>
        <v>12000</v>
      </c>
      <c r="AC112" s="4">
        <f t="shared" si="110"/>
        <v>0.76923076923076927</v>
      </c>
      <c r="AD112" s="92">
        <f t="shared" si="110"/>
        <v>912.28070175438597</v>
      </c>
      <c r="AE112" s="80" t="str">
        <f t="shared" si="99"/>
        <v>계</v>
      </c>
      <c r="AF112" s="80" t="str">
        <f t="shared" si="100"/>
        <v>4/2</v>
      </c>
      <c r="AH112" s="20" t="str">
        <f t="shared" si="52"/>
        <v>오창읍 한라비발디</v>
      </c>
      <c r="AI112" s="88">
        <f t="shared" si="53"/>
        <v>57</v>
      </c>
      <c r="AJ112" s="80" t="str">
        <f t="shared" si="101"/>
        <v>A-</v>
      </c>
      <c r="AK112" s="80" t="s">
        <v>13</v>
      </c>
      <c r="AL112" s="80" t="s">
        <v>62</v>
      </c>
      <c r="AM112" s="80" t="s">
        <v>63</v>
      </c>
      <c r="AN112" s="80" t="str">
        <f t="shared" si="102"/>
        <v>C</v>
      </c>
      <c r="AO112" s="80" t="str">
        <f t="shared" si="103"/>
        <v>X</v>
      </c>
      <c r="AP112" s="80" t="str">
        <f t="shared" si="104"/>
        <v>X</v>
      </c>
      <c r="AQ112" s="80" t="str">
        <f t="shared" si="105"/>
        <v>O</v>
      </c>
      <c r="AR112" s="80" t="str">
        <f t="shared" si="106"/>
        <v>X</v>
      </c>
      <c r="AS112" s="80" t="s">
        <v>2</v>
      </c>
      <c r="AT112" s="80" t="str">
        <f t="shared" si="107"/>
        <v>X</v>
      </c>
      <c r="AU112" s="80" t="str">
        <f t="shared" si="108"/>
        <v>O</v>
      </c>
      <c r="AV112" s="80" t="str">
        <f t="shared" si="109"/>
        <v>X</v>
      </c>
    </row>
    <row r="113" spans="1:48" s="37" customFormat="1" ht="12" x14ac:dyDescent="0.3">
      <c r="A113" s="75" t="s">
        <v>1033</v>
      </c>
      <c r="B113" s="76" t="s">
        <v>1027</v>
      </c>
      <c r="C113" s="86">
        <v>1529</v>
      </c>
      <c r="D113" s="87">
        <v>255.9</v>
      </c>
      <c r="E113" s="88">
        <v>77</v>
      </c>
      <c r="F113" s="87">
        <v>213.9</v>
      </c>
      <c r="G113" s="17">
        <v>65</v>
      </c>
      <c r="H113" s="89">
        <v>4</v>
      </c>
      <c r="I113" s="90"/>
      <c r="J113" s="90"/>
      <c r="K113" s="90"/>
      <c r="L113" s="90"/>
      <c r="M113" s="91">
        <f t="shared" si="92"/>
        <v>0</v>
      </c>
      <c r="N113" s="4" t="str">
        <f t="shared" si="93"/>
        <v/>
      </c>
      <c r="O113" s="92">
        <f t="shared" si="94"/>
        <v>0</v>
      </c>
      <c r="P113" s="92">
        <f t="shared" si="95"/>
        <v>0</v>
      </c>
      <c r="Q113" s="80">
        <v>4</v>
      </c>
      <c r="R113" s="80">
        <v>2</v>
      </c>
      <c r="S113" s="80" t="s">
        <v>61</v>
      </c>
      <c r="T113" s="5">
        <v>255</v>
      </c>
      <c r="U113" s="9"/>
      <c r="W113" s="87">
        <f t="shared" si="96"/>
        <v>255.9</v>
      </c>
      <c r="X113" s="88">
        <f t="shared" si="96"/>
        <v>77</v>
      </c>
      <c r="Y113" s="93">
        <f t="shared" si="97"/>
        <v>4</v>
      </c>
      <c r="Z113" s="91">
        <f t="shared" si="97"/>
        <v>0</v>
      </c>
      <c r="AA113" s="91">
        <f t="shared" si="98"/>
        <v>0</v>
      </c>
      <c r="AB113" s="91">
        <f t="shared" si="110"/>
        <v>0</v>
      </c>
      <c r="AC113" s="4" t="str">
        <f t="shared" si="110"/>
        <v/>
      </c>
      <c r="AD113" s="92">
        <f t="shared" si="110"/>
        <v>0</v>
      </c>
      <c r="AE113" s="80" t="str">
        <f t="shared" si="99"/>
        <v>계</v>
      </c>
      <c r="AF113" s="80" t="str">
        <f t="shared" si="100"/>
        <v>4/2</v>
      </c>
      <c r="AH113" s="20" t="str">
        <f t="shared" si="52"/>
        <v>오창읍 한라비발디</v>
      </c>
      <c r="AI113" s="88">
        <f t="shared" si="53"/>
        <v>77</v>
      </c>
      <c r="AJ113" s="80" t="str">
        <f t="shared" si="101"/>
        <v>A-</v>
      </c>
      <c r="AK113" s="80" t="s">
        <v>13</v>
      </c>
      <c r="AL113" s="80" t="s">
        <v>62</v>
      </c>
      <c r="AM113" s="80" t="s">
        <v>63</v>
      </c>
      <c r="AN113" s="80" t="str">
        <f t="shared" si="102"/>
        <v>C</v>
      </c>
      <c r="AO113" s="80" t="str">
        <f t="shared" si="103"/>
        <v/>
      </c>
      <c r="AP113" s="80" t="str">
        <f t="shared" si="104"/>
        <v/>
      </c>
      <c r="AQ113" s="80" t="str">
        <f t="shared" si="105"/>
        <v>O</v>
      </c>
      <c r="AR113" s="80" t="str">
        <f t="shared" si="106"/>
        <v>O</v>
      </c>
      <c r="AS113" s="80" t="s">
        <v>2</v>
      </c>
      <c r="AT113" s="80" t="str">
        <f t="shared" si="107"/>
        <v>X</v>
      </c>
      <c r="AU113" s="80" t="str">
        <f t="shared" si="108"/>
        <v>O</v>
      </c>
      <c r="AV113" s="80" t="str">
        <f t="shared" si="109"/>
        <v/>
      </c>
    </row>
    <row r="114" spans="1:48" s="37" customFormat="1" ht="12" x14ac:dyDescent="0.3">
      <c r="A114" s="75" t="s">
        <v>1034</v>
      </c>
      <c r="B114" s="76" t="s">
        <v>1154</v>
      </c>
      <c r="C114" s="86">
        <v>1210</v>
      </c>
      <c r="D114" s="87">
        <v>114.8</v>
      </c>
      <c r="E114" s="88">
        <v>35</v>
      </c>
      <c r="F114" s="87">
        <v>85</v>
      </c>
      <c r="G114" s="17">
        <v>26</v>
      </c>
      <c r="H114" s="89">
        <v>301</v>
      </c>
      <c r="I114" s="90"/>
      <c r="J114" s="90"/>
      <c r="K114" s="90"/>
      <c r="L114" s="90"/>
      <c r="M114" s="91">
        <f t="shared" si="92"/>
        <v>0</v>
      </c>
      <c r="N114" s="4" t="str">
        <f t="shared" si="93"/>
        <v/>
      </c>
      <c r="O114" s="92">
        <f t="shared" si="94"/>
        <v>0</v>
      </c>
      <c r="P114" s="92">
        <f t="shared" si="95"/>
        <v>0</v>
      </c>
      <c r="Q114" s="80">
        <v>3</v>
      </c>
      <c r="R114" s="80">
        <v>2</v>
      </c>
      <c r="S114" s="80" t="s">
        <v>61</v>
      </c>
      <c r="T114" s="5" t="s">
        <v>498</v>
      </c>
      <c r="U114" s="9"/>
      <c r="W114" s="87">
        <f t="shared" si="96"/>
        <v>114.8</v>
      </c>
      <c r="X114" s="88">
        <f t="shared" si="96"/>
        <v>35</v>
      </c>
      <c r="Y114" s="93">
        <f t="shared" si="97"/>
        <v>301</v>
      </c>
      <c r="Z114" s="91">
        <f t="shared" si="97"/>
        <v>0</v>
      </c>
      <c r="AA114" s="91">
        <f t="shared" si="98"/>
        <v>0</v>
      </c>
      <c r="AB114" s="91">
        <f t="shared" si="110"/>
        <v>0</v>
      </c>
      <c r="AC114" s="4" t="str">
        <f t="shared" si="110"/>
        <v/>
      </c>
      <c r="AD114" s="92">
        <f t="shared" si="110"/>
        <v>0</v>
      </c>
      <c r="AE114" s="80" t="str">
        <f t="shared" si="99"/>
        <v>계</v>
      </c>
      <c r="AF114" s="80" t="str">
        <f t="shared" si="100"/>
        <v>3/2</v>
      </c>
      <c r="AH114" s="20" t="str">
        <f t="shared" si="52"/>
        <v>오창읍 한신더휴센트럴파크</v>
      </c>
      <c r="AI114" s="88">
        <f t="shared" si="53"/>
        <v>35</v>
      </c>
      <c r="AJ114" s="80" t="str">
        <f t="shared" si="101"/>
        <v>A-</v>
      </c>
      <c r="AK114" s="80" t="s">
        <v>13</v>
      </c>
      <c r="AL114" s="80" t="s">
        <v>62</v>
      </c>
      <c r="AM114" s="80" t="s">
        <v>63</v>
      </c>
      <c r="AN114" s="80" t="str">
        <f t="shared" si="102"/>
        <v>C</v>
      </c>
      <c r="AO114" s="80" t="str">
        <f t="shared" si="103"/>
        <v/>
      </c>
      <c r="AP114" s="80" t="str">
        <f t="shared" si="104"/>
        <v/>
      </c>
      <c r="AQ114" s="80" t="str">
        <f t="shared" si="105"/>
        <v>O</v>
      </c>
      <c r="AR114" s="80" t="str">
        <f t="shared" si="106"/>
        <v>O</v>
      </c>
      <c r="AS114" s="80" t="s">
        <v>2</v>
      </c>
      <c r="AT114" s="80" t="str">
        <f t="shared" si="107"/>
        <v>O</v>
      </c>
      <c r="AU114" s="80" t="str">
        <f t="shared" si="108"/>
        <v>O</v>
      </c>
      <c r="AV114" s="80" t="str">
        <f t="shared" si="109"/>
        <v/>
      </c>
    </row>
    <row r="115" spans="1:48" s="37" customFormat="1" ht="12" x14ac:dyDescent="0.3">
      <c r="A115" s="75" t="s">
        <v>1034</v>
      </c>
      <c r="B115" s="76" t="s">
        <v>1035</v>
      </c>
      <c r="C115" s="86">
        <v>1210</v>
      </c>
      <c r="D115" s="87">
        <v>115.4</v>
      </c>
      <c r="E115" s="88">
        <v>35</v>
      </c>
      <c r="F115" s="87">
        <v>85</v>
      </c>
      <c r="G115" s="17">
        <v>26</v>
      </c>
      <c r="H115" s="89">
        <v>307</v>
      </c>
      <c r="I115" s="90"/>
      <c r="J115" s="90"/>
      <c r="K115" s="90"/>
      <c r="L115" s="90"/>
      <c r="M115" s="91">
        <f t="shared" si="92"/>
        <v>0</v>
      </c>
      <c r="N115" s="4" t="str">
        <f t="shared" si="93"/>
        <v/>
      </c>
      <c r="O115" s="92">
        <f t="shared" si="94"/>
        <v>0</v>
      </c>
      <c r="P115" s="92">
        <f t="shared" si="95"/>
        <v>0</v>
      </c>
      <c r="Q115" s="80">
        <v>3</v>
      </c>
      <c r="R115" s="80">
        <v>2</v>
      </c>
      <c r="S115" s="80" t="s">
        <v>61</v>
      </c>
      <c r="T115" s="5" t="s">
        <v>119</v>
      </c>
      <c r="U115" s="9"/>
      <c r="W115" s="87">
        <f t="shared" si="96"/>
        <v>115.4</v>
      </c>
      <c r="X115" s="88">
        <f t="shared" si="96"/>
        <v>35</v>
      </c>
      <c r="Y115" s="93">
        <f t="shared" si="97"/>
        <v>307</v>
      </c>
      <c r="Z115" s="91">
        <f t="shared" si="97"/>
        <v>0</v>
      </c>
      <c r="AA115" s="91">
        <f t="shared" si="98"/>
        <v>0</v>
      </c>
      <c r="AB115" s="91">
        <f t="shared" si="110"/>
        <v>0</v>
      </c>
      <c r="AC115" s="4" t="str">
        <f t="shared" si="110"/>
        <v/>
      </c>
      <c r="AD115" s="92">
        <f t="shared" si="110"/>
        <v>0</v>
      </c>
      <c r="AE115" s="80" t="str">
        <f t="shared" si="99"/>
        <v>계</v>
      </c>
      <c r="AF115" s="80" t="str">
        <f t="shared" si="100"/>
        <v>3/2</v>
      </c>
      <c r="AH115" s="20" t="str">
        <f t="shared" si="52"/>
        <v>오창읍 한신더휴센트럴파크</v>
      </c>
      <c r="AI115" s="88">
        <f t="shared" si="53"/>
        <v>35</v>
      </c>
      <c r="AJ115" s="80" t="str">
        <f t="shared" si="101"/>
        <v>A-</v>
      </c>
      <c r="AK115" s="80" t="s">
        <v>13</v>
      </c>
      <c r="AL115" s="80" t="s">
        <v>62</v>
      </c>
      <c r="AM115" s="80" t="s">
        <v>63</v>
      </c>
      <c r="AN115" s="80" t="str">
        <f t="shared" si="102"/>
        <v>C</v>
      </c>
      <c r="AO115" s="80" t="str">
        <f t="shared" si="103"/>
        <v/>
      </c>
      <c r="AP115" s="80" t="str">
        <f t="shared" si="104"/>
        <v/>
      </c>
      <c r="AQ115" s="80" t="str">
        <f t="shared" si="105"/>
        <v>O</v>
      </c>
      <c r="AR115" s="80" t="str">
        <f t="shared" si="106"/>
        <v>O</v>
      </c>
      <c r="AS115" s="80" t="s">
        <v>2</v>
      </c>
      <c r="AT115" s="80" t="str">
        <f t="shared" si="107"/>
        <v>O</v>
      </c>
      <c r="AU115" s="80" t="str">
        <f t="shared" si="108"/>
        <v>O</v>
      </c>
      <c r="AV115" s="80" t="str">
        <f t="shared" si="109"/>
        <v/>
      </c>
    </row>
    <row r="116" spans="1:48" s="37" customFormat="1" ht="12" x14ac:dyDescent="0.3">
      <c r="A116" s="75" t="s">
        <v>1034</v>
      </c>
      <c r="B116" s="76" t="s">
        <v>1155</v>
      </c>
      <c r="C116" s="86">
        <v>1210</v>
      </c>
      <c r="D116" s="87">
        <v>115.1</v>
      </c>
      <c r="E116" s="88">
        <v>35</v>
      </c>
      <c r="F116" s="87">
        <v>85</v>
      </c>
      <c r="G116" s="17">
        <v>26</v>
      </c>
      <c r="H116" s="89">
        <v>280</v>
      </c>
      <c r="I116" s="90"/>
      <c r="J116" s="90"/>
      <c r="K116" s="90"/>
      <c r="L116" s="90"/>
      <c r="M116" s="91">
        <f t="shared" si="92"/>
        <v>0</v>
      </c>
      <c r="N116" s="4" t="str">
        <f t="shared" si="93"/>
        <v/>
      </c>
      <c r="O116" s="92">
        <f t="shared" si="94"/>
        <v>0</v>
      </c>
      <c r="P116" s="92">
        <f t="shared" si="95"/>
        <v>0</v>
      </c>
      <c r="Q116" s="80">
        <v>3</v>
      </c>
      <c r="R116" s="80">
        <v>2</v>
      </c>
      <c r="S116" s="80" t="s">
        <v>61</v>
      </c>
      <c r="T116" s="5" t="s">
        <v>502</v>
      </c>
      <c r="U116" s="9"/>
      <c r="W116" s="87">
        <f t="shared" si="96"/>
        <v>115.1</v>
      </c>
      <c r="X116" s="88">
        <f t="shared" si="96"/>
        <v>35</v>
      </c>
      <c r="Y116" s="93">
        <f t="shared" si="97"/>
        <v>280</v>
      </c>
      <c r="Z116" s="91">
        <f t="shared" si="97"/>
        <v>0</v>
      </c>
      <c r="AA116" s="91">
        <f t="shared" si="98"/>
        <v>0</v>
      </c>
      <c r="AB116" s="91">
        <f t="shared" si="110"/>
        <v>0</v>
      </c>
      <c r="AC116" s="4" t="str">
        <f t="shared" si="110"/>
        <v/>
      </c>
      <c r="AD116" s="92">
        <f t="shared" si="110"/>
        <v>0</v>
      </c>
      <c r="AE116" s="80" t="str">
        <f t="shared" si="99"/>
        <v>계</v>
      </c>
      <c r="AF116" s="80" t="str">
        <f t="shared" si="100"/>
        <v>3/2</v>
      </c>
      <c r="AH116" s="20" t="str">
        <f t="shared" si="52"/>
        <v>오창읍 한신더휴센트럴파크</v>
      </c>
      <c r="AI116" s="88">
        <f t="shared" si="53"/>
        <v>35</v>
      </c>
      <c r="AJ116" s="80" t="str">
        <f t="shared" si="101"/>
        <v>A-</v>
      </c>
      <c r="AK116" s="80" t="s">
        <v>13</v>
      </c>
      <c r="AL116" s="80" t="s">
        <v>62</v>
      </c>
      <c r="AM116" s="80" t="s">
        <v>63</v>
      </c>
      <c r="AN116" s="80" t="str">
        <f t="shared" si="102"/>
        <v>C</v>
      </c>
      <c r="AO116" s="80" t="str">
        <f t="shared" si="103"/>
        <v/>
      </c>
      <c r="AP116" s="80" t="str">
        <f t="shared" si="104"/>
        <v/>
      </c>
      <c r="AQ116" s="80" t="str">
        <f t="shared" si="105"/>
        <v>O</v>
      </c>
      <c r="AR116" s="80" t="str">
        <f t="shared" si="106"/>
        <v>O</v>
      </c>
      <c r="AS116" s="80" t="s">
        <v>2</v>
      </c>
      <c r="AT116" s="80" t="str">
        <f t="shared" si="107"/>
        <v>O</v>
      </c>
      <c r="AU116" s="80" t="str">
        <f t="shared" si="108"/>
        <v>O</v>
      </c>
      <c r="AV116" s="80" t="str">
        <f t="shared" si="109"/>
        <v/>
      </c>
    </row>
    <row r="117" spans="1:48" s="37" customFormat="1" ht="12" x14ac:dyDescent="0.3">
      <c r="A117" s="75" t="s">
        <v>1034</v>
      </c>
      <c r="B117" s="76" t="s">
        <v>1035</v>
      </c>
      <c r="C117" s="86">
        <v>1210</v>
      </c>
      <c r="D117" s="87">
        <v>115.1</v>
      </c>
      <c r="E117" s="88">
        <v>35</v>
      </c>
      <c r="F117" s="87">
        <v>85</v>
      </c>
      <c r="G117" s="17">
        <v>26</v>
      </c>
      <c r="H117" s="89">
        <v>280</v>
      </c>
      <c r="I117" s="90"/>
      <c r="J117" s="90"/>
      <c r="K117" s="90"/>
      <c r="L117" s="90"/>
      <c r="M117" s="91">
        <f t="shared" si="92"/>
        <v>0</v>
      </c>
      <c r="N117" s="4" t="str">
        <f t="shared" si="93"/>
        <v/>
      </c>
      <c r="O117" s="92">
        <f t="shared" si="94"/>
        <v>0</v>
      </c>
      <c r="P117" s="92">
        <f t="shared" si="95"/>
        <v>0</v>
      </c>
      <c r="Q117" s="80">
        <v>3</v>
      </c>
      <c r="R117" s="80">
        <v>2</v>
      </c>
      <c r="S117" s="80" t="s">
        <v>61</v>
      </c>
      <c r="T117" s="5" t="s">
        <v>503</v>
      </c>
      <c r="U117" s="9"/>
      <c r="W117" s="87">
        <f t="shared" si="96"/>
        <v>115.1</v>
      </c>
      <c r="X117" s="88">
        <f t="shared" si="96"/>
        <v>35</v>
      </c>
      <c r="Y117" s="93">
        <f t="shared" si="97"/>
        <v>280</v>
      </c>
      <c r="Z117" s="91">
        <f t="shared" si="97"/>
        <v>0</v>
      </c>
      <c r="AA117" s="91">
        <f t="shared" si="98"/>
        <v>0</v>
      </c>
      <c r="AB117" s="91">
        <f t="shared" si="110"/>
        <v>0</v>
      </c>
      <c r="AC117" s="4" t="str">
        <f t="shared" si="110"/>
        <v/>
      </c>
      <c r="AD117" s="92">
        <f t="shared" si="110"/>
        <v>0</v>
      </c>
      <c r="AE117" s="80" t="str">
        <f t="shared" si="99"/>
        <v>계</v>
      </c>
      <c r="AF117" s="80" t="str">
        <f t="shared" si="100"/>
        <v>3/2</v>
      </c>
      <c r="AH117" s="20" t="str">
        <f t="shared" si="52"/>
        <v>오창읍 한신더휴센트럴파크</v>
      </c>
      <c r="AI117" s="88">
        <f t="shared" si="53"/>
        <v>35</v>
      </c>
      <c r="AJ117" s="80" t="str">
        <f t="shared" si="101"/>
        <v>A-</v>
      </c>
      <c r="AK117" s="80" t="s">
        <v>13</v>
      </c>
      <c r="AL117" s="80" t="s">
        <v>62</v>
      </c>
      <c r="AM117" s="80" t="s">
        <v>63</v>
      </c>
      <c r="AN117" s="80" t="str">
        <f t="shared" si="102"/>
        <v>C</v>
      </c>
      <c r="AO117" s="80" t="str">
        <f t="shared" si="103"/>
        <v/>
      </c>
      <c r="AP117" s="80" t="str">
        <f t="shared" si="104"/>
        <v/>
      </c>
      <c r="AQ117" s="80" t="str">
        <f t="shared" si="105"/>
        <v>O</v>
      </c>
      <c r="AR117" s="80" t="str">
        <f t="shared" si="106"/>
        <v>O</v>
      </c>
      <c r="AS117" s="80" t="s">
        <v>2</v>
      </c>
      <c r="AT117" s="80" t="str">
        <f t="shared" si="107"/>
        <v>O</v>
      </c>
      <c r="AU117" s="80" t="str">
        <f t="shared" si="108"/>
        <v>O</v>
      </c>
      <c r="AV117" s="80" t="str">
        <f t="shared" si="109"/>
        <v/>
      </c>
    </row>
    <row r="118" spans="1:48" s="37" customFormat="1" ht="12" x14ac:dyDescent="0.3">
      <c r="A118" s="75" t="s">
        <v>1034</v>
      </c>
      <c r="B118" s="76" t="s">
        <v>1035</v>
      </c>
      <c r="C118" s="86">
        <v>1210</v>
      </c>
      <c r="D118" s="87">
        <v>174.1</v>
      </c>
      <c r="E118" s="88">
        <v>53</v>
      </c>
      <c r="F118" s="87">
        <v>129</v>
      </c>
      <c r="G118" s="17">
        <v>39</v>
      </c>
      <c r="H118" s="89">
        <v>28</v>
      </c>
      <c r="I118" s="90"/>
      <c r="J118" s="90"/>
      <c r="K118" s="90"/>
      <c r="L118" s="90"/>
      <c r="M118" s="91">
        <f t="shared" si="92"/>
        <v>0</v>
      </c>
      <c r="N118" s="4" t="str">
        <f t="shared" si="93"/>
        <v/>
      </c>
      <c r="O118" s="92">
        <f t="shared" si="94"/>
        <v>0</v>
      </c>
      <c r="P118" s="92">
        <f t="shared" si="95"/>
        <v>0</v>
      </c>
      <c r="Q118" s="80">
        <v>3</v>
      </c>
      <c r="R118" s="80">
        <v>2</v>
      </c>
      <c r="S118" s="80" t="s">
        <v>61</v>
      </c>
      <c r="T118" s="5">
        <v>174</v>
      </c>
      <c r="U118" s="9"/>
      <c r="W118" s="87">
        <f t="shared" ref="W118:X133" si="111">D118</f>
        <v>174.1</v>
      </c>
      <c r="X118" s="88">
        <f t="shared" si="111"/>
        <v>53</v>
      </c>
      <c r="Y118" s="93">
        <f t="shared" ref="Y118:Z133" si="112">H118</f>
        <v>28</v>
      </c>
      <c r="Z118" s="91">
        <f t="shared" si="112"/>
        <v>0</v>
      </c>
      <c r="AA118" s="91">
        <f t="shared" si="98"/>
        <v>0</v>
      </c>
      <c r="AB118" s="91">
        <f t="shared" si="110"/>
        <v>0</v>
      </c>
      <c r="AC118" s="4" t="str">
        <f t="shared" si="110"/>
        <v/>
      </c>
      <c r="AD118" s="92">
        <f t="shared" si="110"/>
        <v>0</v>
      </c>
      <c r="AE118" s="80" t="str">
        <f t="shared" si="99"/>
        <v>계</v>
      </c>
      <c r="AF118" s="80" t="str">
        <f t="shared" si="100"/>
        <v>3/2</v>
      </c>
      <c r="AH118" s="20" t="str">
        <f t="shared" si="52"/>
        <v>오창읍 한신더휴센트럴파크</v>
      </c>
      <c r="AI118" s="88">
        <f t="shared" si="53"/>
        <v>53</v>
      </c>
      <c r="AJ118" s="80" t="str">
        <f t="shared" si="101"/>
        <v>A-</v>
      </c>
      <c r="AK118" s="80" t="s">
        <v>13</v>
      </c>
      <c r="AL118" s="80" t="s">
        <v>62</v>
      </c>
      <c r="AM118" s="80" t="s">
        <v>63</v>
      </c>
      <c r="AN118" s="80" t="str">
        <f t="shared" si="102"/>
        <v>C</v>
      </c>
      <c r="AO118" s="80" t="str">
        <f t="shared" si="103"/>
        <v/>
      </c>
      <c r="AP118" s="80" t="str">
        <f t="shared" si="104"/>
        <v/>
      </c>
      <c r="AQ118" s="80" t="str">
        <f t="shared" si="105"/>
        <v>O</v>
      </c>
      <c r="AR118" s="80" t="str">
        <f t="shared" si="106"/>
        <v>O</v>
      </c>
      <c r="AS118" s="80" t="s">
        <v>2</v>
      </c>
      <c r="AT118" s="80" t="str">
        <f t="shared" si="107"/>
        <v>X</v>
      </c>
      <c r="AU118" s="80" t="str">
        <f t="shared" si="108"/>
        <v>O</v>
      </c>
      <c r="AV118" s="80" t="str">
        <f t="shared" si="109"/>
        <v/>
      </c>
    </row>
    <row r="119" spans="1:48" s="37" customFormat="1" ht="12" x14ac:dyDescent="0.3">
      <c r="A119" s="75" t="s">
        <v>1156</v>
      </c>
      <c r="B119" s="76" t="s">
        <v>1035</v>
      </c>
      <c r="C119" s="86">
        <v>1210</v>
      </c>
      <c r="D119" s="87">
        <v>186.3</v>
      </c>
      <c r="E119" s="88">
        <v>56</v>
      </c>
      <c r="F119" s="87">
        <v>138.6</v>
      </c>
      <c r="G119" s="17">
        <v>42</v>
      </c>
      <c r="H119" s="89">
        <v>7</v>
      </c>
      <c r="I119" s="90"/>
      <c r="J119" s="90"/>
      <c r="K119" s="90"/>
      <c r="L119" s="90"/>
      <c r="M119" s="91">
        <f t="shared" si="92"/>
        <v>0</v>
      </c>
      <c r="N119" s="4" t="str">
        <f t="shared" si="93"/>
        <v/>
      </c>
      <c r="O119" s="92">
        <f t="shared" si="94"/>
        <v>0</v>
      </c>
      <c r="P119" s="92">
        <f t="shared" si="95"/>
        <v>0</v>
      </c>
      <c r="Q119" s="80">
        <v>3</v>
      </c>
      <c r="R119" s="80">
        <v>2</v>
      </c>
      <c r="S119" s="80" t="s">
        <v>61</v>
      </c>
      <c r="T119" s="5">
        <v>186</v>
      </c>
      <c r="U119" s="9"/>
      <c r="W119" s="87">
        <f t="shared" si="111"/>
        <v>186.3</v>
      </c>
      <c r="X119" s="88">
        <f t="shared" si="111"/>
        <v>56</v>
      </c>
      <c r="Y119" s="93">
        <f t="shared" si="112"/>
        <v>7</v>
      </c>
      <c r="Z119" s="91">
        <f t="shared" si="112"/>
        <v>0</v>
      </c>
      <c r="AA119" s="91">
        <f t="shared" si="98"/>
        <v>0</v>
      </c>
      <c r="AB119" s="91">
        <f t="shared" si="110"/>
        <v>0</v>
      </c>
      <c r="AC119" s="4" t="str">
        <f t="shared" si="110"/>
        <v/>
      </c>
      <c r="AD119" s="92">
        <f t="shared" si="110"/>
        <v>0</v>
      </c>
      <c r="AE119" s="80" t="str">
        <f t="shared" si="99"/>
        <v>계</v>
      </c>
      <c r="AF119" s="80" t="str">
        <f t="shared" si="100"/>
        <v>3/2</v>
      </c>
      <c r="AH119" s="20" t="str">
        <f t="shared" si="52"/>
        <v>오창읍 한신더휴센트럴파크</v>
      </c>
      <c r="AI119" s="88">
        <f t="shared" si="53"/>
        <v>56</v>
      </c>
      <c r="AJ119" s="80" t="str">
        <f t="shared" si="101"/>
        <v>A-</v>
      </c>
      <c r="AK119" s="80" t="s">
        <v>13</v>
      </c>
      <c r="AL119" s="80" t="s">
        <v>62</v>
      </c>
      <c r="AM119" s="80" t="s">
        <v>63</v>
      </c>
      <c r="AN119" s="80" t="str">
        <f t="shared" si="102"/>
        <v>C</v>
      </c>
      <c r="AO119" s="80" t="str">
        <f t="shared" si="103"/>
        <v/>
      </c>
      <c r="AP119" s="80" t="str">
        <f t="shared" si="104"/>
        <v/>
      </c>
      <c r="AQ119" s="80" t="str">
        <f t="shared" si="105"/>
        <v>O</v>
      </c>
      <c r="AR119" s="80" t="str">
        <f t="shared" si="106"/>
        <v>O</v>
      </c>
      <c r="AS119" s="80" t="s">
        <v>2</v>
      </c>
      <c r="AT119" s="80" t="str">
        <f t="shared" si="107"/>
        <v>X</v>
      </c>
      <c r="AU119" s="80" t="str">
        <f t="shared" si="108"/>
        <v>O</v>
      </c>
      <c r="AV119" s="80" t="str">
        <f t="shared" si="109"/>
        <v/>
      </c>
    </row>
    <row r="120" spans="1:48" s="37" customFormat="1" ht="12" x14ac:dyDescent="0.3">
      <c r="A120" s="75" t="s">
        <v>1034</v>
      </c>
      <c r="B120" s="76" t="s">
        <v>1035</v>
      </c>
      <c r="C120" s="86">
        <v>1210</v>
      </c>
      <c r="D120" s="87">
        <v>205.1</v>
      </c>
      <c r="E120" s="88">
        <v>62</v>
      </c>
      <c r="F120" s="87">
        <v>149.6</v>
      </c>
      <c r="G120" s="17">
        <v>45</v>
      </c>
      <c r="H120" s="89">
        <v>7</v>
      </c>
      <c r="I120" s="90"/>
      <c r="J120" s="90"/>
      <c r="K120" s="90"/>
      <c r="L120" s="90"/>
      <c r="M120" s="91">
        <f t="shared" si="92"/>
        <v>0</v>
      </c>
      <c r="N120" s="4" t="str">
        <f t="shared" si="93"/>
        <v/>
      </c>
      <c r="O120" s="92">
        <f t="shared" si="94"/>
        <v>0</v>
      </c>
      <c r="P120" s="92">
        <f t="shared" si="95"/>
        <v>0</v>
      </c>
      <c r="Q120" s="80">
        <v>3</v>
      </c>
      <c r="R120" s="80">
        <v>3</v>
      </c>
      <c r="S120" s="80" t="s">
        <v>61</v>
      </c>
      <c r="T120" s="5">
        <v>205</v>
      </c>
      <c r="U120" s="9"/>
      <c r="W120" s="87">
        <f t="shared" si="111"/>
        <v>205.1</v>
      </c>
      <c r="X120" s="88">
        <f t="shared" si="111"/>
        <v>62</v>
      </c>
      <c r="Y120" s="93">
        <f t="shared" si="112"/>
        <v>7</v>
      </c>
      <c r="Z120" s="91">
        <f t="shared" si="112"/>
        <v>0</v>
      </c>
      <c r="AA120" s="91">
        <f t="shared" si="98"/>
        <v>0</v>
      </c>
      <c r="AB120" s="91">
        <f t="shared" si="110"/>
        <v>0</v>
      </c>
      <c r="AC120" s="4" t="str">
        <f t="shared" si="110"/>
        <v/>
      </c>
      <c r="AD120" s="92">
        <f t="shared" si="110"/>
        <v>0</v>
      </c>
      <c r="AE120" s="80" t="str">
        <f t="shared" si="99"/>
        <v>계</v>
      </c>
      <c r="AF120" s="80" t="str">
        <f t="shared" si="100"/>
        <v>3/3</v>
      </c>
      <c r="AH120" s="20" t="str">
        <f t="shared" si="52"/>
        <v>오창읍 한신더휴센트럴파크</v>
      </c>
      <c r="AI120" s="88">
        <f t="shared" si="53"/>
        <v>62</v>
      </c>
      <c r="AJ120" s="80" t="str">
        <f t="shared" si="101"/>
        <v>A-</v>
      </c>
      <c r="AK120" s="80" t="s">
        <v>13</v>
      </c>
      <c r="AL120" s="80" t="s">
        <v>62</v>
      </c>
      <c r="AM120" s="80" t="s">
        <v>63</v>
      </c>
      <c r="AN120" s="80" t="str">
        <f t="shared" si="102"/>
        <v>C</v>
      </c>
      <c r="AO120" s="80" t="str">
        <f t="shared" si="103"/>
        <v/>
      </c>
      <c r="AP120" s="80" t="str">
        <f t="shared" si="104"/>
        <v/>
      </c>
      <c r="AQ120" s="80" t="str">
        <f t="shared" si="105"/>
        <v>O</v>
      </c>
      <c r="AR120" s="80" t="str">
        <f t="shared" si="106"/>
        <v>O</v>
      </c>
      <c r="AS120" s="80" t="s">
        <v>2</v>
      </c>
      <c r="AT120" s="80" t="str">
        <f t="shared" si="107"/>
        <v>X</v>
      </c>
      <c r="AU120" s="80" t="str">
        <f t="shared" si="108"/>
        <v>O</v>
      </c>
      <c r="AV120" s="80" t="str">
        <f t="shared" si="109"/>
        <v/>
      </c>
    </row>
    <row r="121" spans="1:48" s="37" customFormat="1" ht="12" x14ac:dyDescent="0.3">
      <c r="A121" s="75" t="s">
        <v>1157</v>
      </c>
      <c r="B121" s="76" t="s">
        <v>1009</v>
      </c>
      <c r="C121" s="86">
        <v>2500</v>
      </c>
      <c r="D121" s="87">
        <v>85.6</v>
      </c>
      <c r="E121" s="88">
        <v>26</v>
      </c>
      <c r="F121" s="87">
        <v>60</v>
      </c>
      <c r="G121" s="17">
        <v>18</v>
      </c>
      <c r="H121" s="89">
        <v>483</v>
      </c>
      <c r="I121" s="90">
        <v>37000</v>
      </c>
      <c r="J121" s="90" t="s">
        <v>59</v>
      </c>
      <c r="K121" s="90">
        <v>30000</v>
      </c>
      <c r="L121" s="90" t="s">
        <v>106</v>
      </c>
      <c r="M121" s="91">
        <f t="shared" si="92"/>
        <v>7000</v>
      </c>
      <c r="N121" s="4">
        <f t="shared" si="93"/>
        <v>0.81081081081081086</v>
      </c>
      <c r="O121" s="92">
        <f t="shared" si="94"/>
        <v>1423.0769230769231</v>
      </c>
      <c r="P121" s="92">
        <f t="shared" si="95"/>
        <v>1153.8461538461538</v>
      </c>
      <c r="Q121" s="80">
        <v>3</v>
      </c>
      <c r="R121" s="80">
        <v>2</v>
      </c>
      <c r="S121" s="80" t="s">
        <v>61</v>
      </c>
      <c r="T121" s="5" t="s">
        <v>110</v>
      </c>
      <c r="U121" s="9"/>
      <c r="W121" s="87">
        <f t="shared" si="111"/>
        <v>85.6</v>
      </c>
      <c r="X121" s="88">
        <f t="shared" si="111"/>
        <v>26</v>
      </c>
      <c r="Y121" s="93">
        <f t="shared" si="112"/>
        <v>483</v>
      </c>
      <c r="Z121" s="91">
        <f t="shared" si="112"/>
        <v>37000</v>
      </c>
      <c r="AA121" s="91">
        <f t="shared" si="98"/>
        <v>30000</v>
      </c>
      <c r="AB121" s="91">
        <f t="shared" si="110"/>
        <v>7000</v>
      </c>
      <c r="AC121" s="4">
        <f t="shared" si="110"/>
        <v>0.81081081081081086</v>
      </c>
      <c r="AD121" s="92">
        <f t="shared" si="110"/>
        <v>1423.0769230769231</v>
      </c>
      <c r="AE121" s="80" t="str">
        <f t="shared" si="99"/>
        <v>계</v>
      </c>
      <c r="AF121" s="80" t="str">
        <f t="shared" si="100"/>
        <v>3/2</v>
      </c>
      <c r="AH121" s="20" t="str">
        <f t="shared" si="52"/>
        <v>오창읍 오창롯데캐슬더하이스트</v>
      </c>
      <c r="AI121" s="88">
        <f t="shared" si="53"/>
        <v>26</v>
      </c>
      <c r="AJ121" s="80" t="str">
        <f t="shared" si="101"/>
        <v>A-</v>
      </c>
      <c r="AK121" s="80" t="s">
        <v>13</v>
      </c>
      <c r="AL121" s="80" t="s">
        <v>62</v>
      </c>
      <c r="AM121" s="80" t="s">
        <v>63</v>
      </c>
      <c r="AN121" s="80" t="str">
        <f t="shared" si="102"/>
        <v>C</v>
      </c>
      <c r="AO121" s="80" t="str">
        <f t="shared" si="103"/>
        <v>O</v>
      </c>
      <c r="AP121" s="80" t="str">
        <f t="shared" si="104"/>
        <v>O</v>
      </c>
      <c r="AQ121" s="80" t="str">
        <f t="shared" si="105"/>
        <v>X</v>
      </c>
      <c r="AR121" s="80" t="str">
        <f t="shared" si="106"/>
        <v>X</v>
      </c>
      <c r="AS121" s="80" t="s">
        <v>2</v>
      </c>
      <c r="AT121" s="80" t="str">
        <f t="shared" si="107"/>
        <v>O</v>
      </c>
      <c r="AU121" s="80" t="str">
        <f t="shared" si="108"/>
        <v>O</v>
      </c>
      <c r="AV121" s="80" t="str">
        <f t="shared" si="109"/>
        <v>X</v>
      </c>
    </row>
    <row r="122" spans="1:48" s="37" customFormat="1" ht="12" x14ac:dyDescent="0.3">
      <c r="A122" s="75" t="s">
        <v>1036</v>
      </c>
      <c r="B122" s="76" t="s">
        <v>1009</v>
      </c>
      <c r="C122" s="86">
        <v>2500</v>
      </c>
      <c r="D122" s="87">
        <v>85.5</v>
      </c>
      <c r="E122" s="88">
        <v>26</v>
      </c>
      <c r="F122" s="87">
        <v>59.9</v>
      </c>
      <c r="G122" s="17">
        <v>18</v>
      </c>
      <c r="H122" s="89">
        <v>150</v>
      </c>
      <c r="I122" s="90">
        <v>38500</v>
      </c>
      <c r="J122" s="90" t="s">
        <v>80</v>
      </c>
      <c r="K122" s="90">
        <v>30000</v>
      </c>
      <c r="L122" s="90" t="s">
        <v>65</v>
      </c>
      <c r="M122" s="91">
        <f t="shared" si="92"/>
        <v>8500</v>
      </c>
      <c r="N122" s="4">
        <f t="shared" si="93"/>
        <v>0.77922077922077926</v>
      </c>
      <c r="O122" s="92">
        <f t="shared" si="94"/>
        <v>1480.7692307692307</v>
      </c>
      <c r="P122" s="92">
        <f t="shared" si="95"/>
        <v>1153.8461538461538</v>
      </c>
      <c r="Q122" s="80">
        <v>3</v>
      </c>
      <c r="R122" s="80">
        <v>2</v>
      </c>
      <c r="S122" s="80" t="s">
        <v>61</v>
      </c>
      <c r="T122" s="5" t="s">
        <v>508</v>
      </c>
      <c r="U122" s="9"/>
      <c r="W122" s="87">
        <f t="shared" si="111"/>
        <v>85.5</v>
      </c>
      <c r="X122" s="88">
        <f t="shared" si="111"/>
        <v>26</v>
      </c>
      <c r="Y122" s="93">
        <f t="shared" si="112"/>
        <v>150</v>
      </c>
      <c r="Z122" s="91">
        <f t="shared" si="112"/>
        <v>38500</v>
      </c>
      <c r="AA122" s="91">
        <f t="shared" si="98"/>
        <v>30000</v>
      </c>
      <c r="AB122" s="91">
        <f t="shared" si="110"/>
        <v>8500</v>
      </c>
      <c r="AC122" s="4">
        <f t="shared" si="110"/>
        <v>0.77922077922077926</v>
      </c>
      <c r="AD122" s="92">
        <f t="shared" si="110"/>
        <v>1480.7692307692307</v>
      </c>
      <c r="AE122" s="80" t="str">
        <f t="shared" si="99"/>
        <v>계</v>
      </c>
      <c r="AF122" s="80" t="str">
        <f t="shared" si="100"/>
        <v>3/2</v>
      </c>
      <c r="AH122" s="20" t="str">
        <f t="shared" si="52"/>
        <v>오창읍 오창롯데캐슬더하이스트</v>
      </c>
      <c r="AI122" s="88">
        <f t="shared" si="53"/>
        <v>26</v>
      </c>
      <c r="AJ122" s="80" t="str">
        <f t="shared" si="101"/>
        <v>A-</v>
      </c>
      <c r="AK122" s="80" t="s">
        <v>13</v>
      </c>
      <c r="AL122" s="80" t="s">
        <v>62</v>
      </c>
      <c r="AM122" s="80" t="s">
        <v>63</v>
      </c>
      <c r="AN122" s="80" t="str">
        <f t="shared" si="102"/>
        <v>C</v>
      </c>
      <c r="AO122" s="80" t="str">
        <f t="shared" si="103"/>
        <v>X</v>
      </c>
      <c r="AP122" s="80" t="str">
        <f t="shared" si="104"/>
        <v>O</v>
      </c>
      <c r="AQ122" s="80" t="str">
        <f t="shared" si="105"/>
        <v>X</v>
      </c>
      <c r="AR122" s="80" t="str">
        <f t="shared" si="106"/>
        <v>X</v>
      </c>
      <c r="AS122" s="80" t="s">
        <v>2</v>
      </c>
      <c r="AT122" s="80" t="str">
        <f t="shared" si="107"/>
        <v>O</v>
      </c>
      <c r="AU122" s="80" t="str">
        <f t="shared" si="108"/>
        <v>O</v>
      </c>
      <c r="AV122" s="80" t="str">
        <f t="shared" si="109"/>
        <v>X</v>
      </c>
    </row>
    <row r="123" spans="1:48" s="37" customFormat="1" ht="12" x14ac:dyDescent="0.3">
      <c r="A123" s="75" t="s">
        <v>1036</v>
      </c>
      <c r="B123" s="76" t="s">
        <v>1009</v>
      </c>
      <c r="C123" s="86">
        <v>2500</v>
      </c>
      <c r="D123" s="87">
        <v>100.7</v>
      </c>
      <c r="E123" s="88">
        <v>30</v>
      </c>
      <c r="F123" s="87">
        <v>71</v>
      </c>
      <c r="G123" s="17">
        <v>21</v>
      </c>
      <c r="H123" s="89">
        <v>226</v>
      </c>
      <c r="I123" s="90">
        <v>42500</v>
      </c>
      <c r="J123" s="90" t="s">
        <v>68</v>
      </c>
      <c r="K123" s="90">
        <v>33000</v>
      </c>
      <c r="L123" s="90" t="s">
        <v>919</v>
      </c>
      <c r="M123" s="91">
        <f t="shared" si="92"/>
        <v>9500</v>
      </c>
      <c r="N123" s="4">
        <f t="shared" si="93"/>
        <v>0.77647058823529413</v>
      </c>
      <c r="O123" s="92">
        <f t="shared" si="94"/>
        <v>1416.6666666666667</v>
      </c>
      <c r="P123" s="92">
        <f t="shared" si="95"/>
        <v>1100</v>
      </c>
      <c r="Q123" s="80">
        <v>3</v>
      </c>
      <c r="R123" s="80">
        <v>2</v>
      </c>
      <c r="S123" s="80" t="s">
        <v>61</v>
      </c>
      <c r="T123" s="5" t="s">
        <v>108</v>
      </c>
      <c r="U123" s="9"/>
      <c r="W123" s="87">
        <f t="shared" si="111"/>
        <v>100.7</v>
      </c>
      <c r="X123" s="88">
        <f t="shared" si="111"/>
        <v>30</v>
      </c>
      <c r="Y123" s="93">
        <f t="shared" si="112"/>
        <v>226</v>
      </c>
      <c r="Z123" s="91">
        <f t="shared" si="112"/>
        <v>42500</v>
      </c>
      <c r="AA123" s="91">
        <f t="shared" si="98"/>
        <v>33000</v>
      </c>
      <c r="AB123" s="91">
        <f t="shared" si="110"/>
        <v>9500</v>
      </c>
      <c r="AC123" s="4">
        <f t="shared" si="110"/>
        <v>0.77647058823529413</v>
      </c>
      <c r="AD123" s="92">
        <f t="shared" si="110"/>
        <v>1416.6666666666667</v>
      </c>
      <c r="AE123" s="80" t="str">
        <f t="shared" si="99"/>
        <v>계</v>
      </c>
      <c r="AF123" s="80" t="str">
        <f t="shared" si="100"/>
        <v>3/2</v>
      </c>
      <c r="AH123" s="20" t="str">
        <f t="shared" si="52"/>
        <v>오창읍 오창롯데캐슬더하이스트</v>
      </c>
      <c r="AI123" s="88">
        <f t="shared" si="53"/>
        <v>30</v>
      </c>
      <c r="AJ123" s="80" t="str">
        <f t="shared" si="101"/>
        <v>A-</v>
      </c>
      <c r="AK123" s="80" t="s">
        <v>13</v>
      </c>
      <c r="AL123" s="80" t="s">
        <v>62</v>
      </c>
      <c r="AM123" s="80" t="s">
        <v>63</v>
      </c>
      <c r="AN123" s="80" t="str">
        <f t="shared" si="102"/>
        <v>C</v>
      </c>
      <c r="AO123" s="80" t="str">
        <f t="shared" si="103"/>
        <v>X</v>
      </c>
      <c r="AP123" s="80" t="str">
        <f t="shared" si="104"/>
        <v>O</v>
      </c>
      <c r="AQ123" s="80" t="str">
        <f t="shared" si="105"/>
        <v>X</v>
      </c>
      <c r="AR123" s="80" t="str">
        <f t="shared" si="106"/>
        <v>X</v>
      </c>
      <c r="AS123" s="80" t="s">
        <v>2</v>
      </c>
      <c r="AT123" s="80" t="str">
        <f t="shared" si="107"/>
        <v>O</v>
      </c>
      <c r="AU123" s="80" t="str">
        <f t="shared" si="108"/>
        <v>O</v>
      </c>
      <c r="AV123" s="80" t="str">
        <f t="shared" si="109"/>
        <v>X</v>
      </c>
    </row>
    <row r="124" spans="1:48" s="37" customFormat="1" ht="12" x14ac:dyDescent="0.3">
      <c r="A124" s="75" t="s">
        <v>1036</v>
      </c>
      <c r="B124" s="76" t="s">
        <v>1009</v>
      </c>
      <c r="C124" s="86">
        <v>2500</v>
      </c>
      <c r="D124" s="87">
        <v>101.7</v>
      </c>
      <c r="E124" s="88">
        <v>31</v>
      </c>
      <c r="F124" s="87">
        <v>71</v>
      </c>
      <c r="G124" s="17">
        <v>21</v>
      </c>
      <c r="H124" s="89">
        <v>221</v>
      </c>
      <c r="I124" s="90">
        <v>43000</v>
      </c>
      <c r="J124" s="90" t="s">
        <v>65</v>
      </c>
      <c r="K124" s="90">
        <v>32000</v>
      </c>
      <c r="L124" s="90" t="s">
        <v>920</v>
      </c>
      <c r="M124" s="91">
        <f t="shared" si="92"/>
        <v>11000</v>
      </c>
      <c r="N124" s="4">
        <f t="shared" si="93"/>
        <v>0.7441860465116279</v>
      </c>
      <c r="O124" s="92">
        <f t="shared" si="94"/>
        <v>1387.0967741935483</v>
      </c>
      <c r="P124" s="92">
        <f t="shared" si="95"/>
        <v>1032.258064516129</v>
      </c>
      <c r="Q124" s="80">
        <v>3</v>
      </c>
      <c r="R124" s="80">
        <v>2</v>
      </c>
      <c r="S124" s="80" t="s">
        <v>61</v>
      </c>
      <c r="T124" s="5" t="s">
        <v>509</v>
      </c>
      <c r="U124" s="9"/>
      <c r="W124" s="87">
        <f t="shared" si="111"/>
        <v>101.7</v>
      </c>
      <c r="X124" s="88">
        <f t="shared" si="111"/>
        <v>31</v>
      </c>
      <c r="Y124" s="93">
        <f t="shared" si="112"/>
        <v>221</v>
      </c>
      <c r="Z124" s="91">
        <f t="shared" si="112"/>
        <v>43000</v>
      </c>
      <c r="AA124" s="91">
        <f t="shared" si="98"/>
        <v>32000</v>
      </c>
      <c r="AB124" s="91">
        <f t="shared" si="110"/>
        <v>11000</v>
      </c>
      <c r="AC124" s="4">
        <f t="shared" si="110"/>
        <v>0.7441860465116279</v>
      </c>
      <c r="AD124" s="92">
        <f t="shared" si="110"/>
        <v>1387.0967741935483</v>
      </c>
      <c r="AE124" s="80" t="str">
        <f t="shared" si="99"/>
        <v>계</v>
      </c>
      <c r="AF124" s="80" t="str">
        <f t="shared" si="100"/>
        <v>3/2</v>
      </c>
      <c r="AH124" s="20" t="str">
        <f t="shared" si="52"/>
        <v>오창읍 오창롯데캐슬더하이스트</v>
      </c>
      <c r="AI124" s="88">
        <f t="shared" si="53"/>
        <v>31</v>
      </c>
      <c r="AJ124" s="80" t="str">
        <f t="shared" si="101"/>
        <v>A-</v>
      </c>
      <c r="AK124" s="80" t="s">
        <v>13</v>
      </c>
      <c r="AL124" s="80" t="s">
        <v>62</v>
      </c>
      <c r="AM124" s="80" t="s">
        <v>63</v>
      </c>
      <c r="AN124" s="80" t="str">
        <f t="shared" si="102"/>
        <v>C</v>
      </c>
      <c r="AO124" s="80" t="str">
        <f t="shared" si="103"/>
        <v>X</v>
      </c>
      <c r="AP124" s="80" t="str">
        <f t="shared" si="104"/>
        <v>O</v>
      </c>
      <c r="AQ124" s="80" t="str">
        <f t="shared" si="105"/>
        <v>X</v>
      </c>
      <c r="AR124" s="80" t="str">
        <f t="shared" si="106"/>
        <v>X</v>
      </c>
      <c r="AS124" s="80" t="s">
        <v>2</v>
      </c>
      <c r="AT124" s="80" t="str">
        <f t="shared" si="107"/>
        <v>O</v>
      </c>
      <c r="AU124" s="80" t="str">
        <f t="shared" si="108"/>
        <v>O</v>
      </c>
      <c r="AV124" s="80" t="str">
        <f t="shared" si="109"/>
        <v>X</v>
      </c>
    </row>
    <row r="125" spans="1:48" s="37" customFormat="1" ht="12" x14ac:dyDescent="0.3">
      <c r="A125" s="75" t="s">
        <v>1036</v>
      </c>
      <c r="B125" s="76" t="s">
        <v>1009</v>
      </c>
      <c r="C125" s="86">
        <v>2500</v>
      </c>
      <c r="D125" s="87">
        <v>119.9</v>
      </c>
      <c r="E125" s="88">
        <v>36</v>
      </c>
      <c r="F125" s="87">
        <v>85</v>
      </c>
      <c r="G125" s="17">
        <v>26</v>
      </c>
      <c r="H125" s="89">
        <v>75</v>
      </c>
      <c r="I125" s="90"/>
      <c r="J125" s="90"/>
      <c r="K125" s="90"/>
      <c r="L125" s="90"/>
      <c r="M125" s="91">
        <f t="shared" si="92"/>
        <v>0</v>
      </c>
      <c r="N125" s="4" t="str">
        <f t="shared" si="93"/>
        <v/>
      </c>
      <c r="O125" s="92">
        <f t="shared" si="94"/>
        <v>0</v>
      </c>
      <c r="P125" s="92">
        <f t="shared" si="95"/>
        <v>0</v>
      </c>
      <c r="Q125" s="80">
        <v>3</v>
      </c>
      <c r="R125" s="80">
        <v>2</v>
      </c>
      <c r="S125" s="80" t="s">
        <v>61</v>
      </c>
      <c r="T125" s="5" t="s">
        <v>510</v>
      </c>
      <c r="U125" s="9"/>
      <c r="W125" s="87">
        <f t="shared" si="111"/>
        <v>119.9</v>
      </c>
      <c r="X125" s="88">
        <f t="shared" si="111"/>
        <v>36</v>
      </c>
      <c r="Y125" s="93">
        <f t="shared" si="112"/>
        <v>75</v>
      </c>
      <c r="Z125" s="91">
        <f t="shared" si="112"/>
        <v>0</v>
      </c>
      <c r="AA125" s="91">
        <f t="shared" si="98"/>
        <v>0</v>
      </c>
      <c r="AB125" s="91">
        <f t="shared" si="110"/>
        <v>0</v>
      </c>
      <c r="AC125" s="4" t="str">
        <f t="shared" si="110"/>
        <v/>
      </c>
      <c r="AD125" s="92">
        <f t="shared" si="110"/>
        <v>0</v>
      </c>
      <c r="AE125" s="80" t="str">
        <f t="shared" si="99"/>
        <v>계</v>
      </c>
      <c r="AF125" s="80" t="str">
        <f t="shared" si="100"/>
        <v>3/2</v>
      </c>
      <c r="AH125" s="20" t="str">
        <f t="shared" si="52"/>
        <v>오창읍 오창롯데캐슬더하이스트</v>
      </c>
      <c r="AI125" s="88">
        <f t="shared" si="53"/>
        <v>36</v>
      </c>
      <c r="AJ125" s="80" t="str">
        <f t="shared" si="101"/>
        <v>A-</v>
      </c>
      <c r="AK125" s="80" t="s">
        <v>13</v>
      </c>
      <c r="AL125" s="80" t="s">
        <v>62</v>
      </c>
      <c r="AM125" s="80" t="s">
        <v>63</v>
      </c>
      <c r="AN125" s="80" t="str">
        <f t="shared" si="102"/>
        <v>C</v>
      </c>
      <c r="AO125" s="80" t="str">
        <f t="shared" si="103"/>
        <v/>
      </c>
      <c r="AP125" s="80" t="str">
        <f t="shared" si="104"/>
        <v/>
      </c>
      <c r="AQ125" s="80" t="str">
        <f t="shared" si="105"/>
        <v>O</v>
      </c>
      <c r="AR125" s="80" t="str">
        <f t="shared" si="106"/>
        <v>O</v>
      </c>
      <c r="AS125" s="80" t="s">
        <v>2</v>
      </c>
      <c r="AT125" s="80" t="str">
        <f t="shared" si="107"/>
        <v>O</v>
      </c>
      <c r="AU125" s="80" t="str">
        <f t="shared" si="108"/>
        <v>O</v>
      </c>
      <c r="AV125" s="80" t="str">
        <f t="shared" si="109"/>
        <v/>
      </c>
    </row>
    <row r="126" spans="1:48" s="37" customFormat="1" ht="12" x14ac:dyDescent="0.3">
      <c r="A126" s="75" t="s">
        <v>1158</v>
      </c>
      <c r="B126" s="76" t="s">
        <v>1159</v>
      </c>
      <c r="C126" s="86">
        <v>2500</v>
      </c>
      <c r="D126" s="87">
        <v>120</v>
      </c>
      <c r="E126" s="88">
        <v>36</v>
      </c>
      <c r="F126" s="87">
        <v>85</v>
      </c>
      <c r="G126" s="17">
        <v>26</v>
      </c>
      <c r="H126" s="89">
        <v>438</v>
      </c>
      <c r="I126" s="90">
        <v>49000</v>
      </c>
      <c r="J126" s="90" t="s">
        <v>102</v>
      </c>
      <c r="K126" s="90">
        <v>35000</v>
      </c>
      <c r="L126" s="90" t="s">
        <v>101</v>
      </c>
      <c r="M126" s="91">
        <f t="shared" si="92"/>
        <v>14000</v>
      </c>
      <c r="N126" s="4">
        <f t="shared" si="93"/>
        <v>0.7142857142857143</v>
      </c>
      <c r="O126" s="92">
        <f t="shared" si="94"/>
        <v>1361.1111111111111</v>
      </c>
      <c r="P126" s="92">
        <f t="shared" si="95"/>
        <v>972.22222222222217</v>
      </c>
      <c r="Q126" s="80">
        <v>3</v>
      </c>
      <c r="R126" s="80">
        <v>2</v>
      </c>
      <c r="S126" s="80" t="s">
        <v>61</v>
      </c>
      <c r="T126" s="5" t="s">
        <v>103</v>
      </c>
      <c r="U126" s="9"/>
      <c r="W126" s="87">
        <f t="shared" si="111"/>
        <v>120</v>
      </c>
      <c r="X126" s="88">
        <f t="shared" si="111"/>
        <v>36</v>
      </c>
      <c r="Y126" s="93">
        <f t="shared" si="112"/>
        <v>438</v>
      </c>
      <c r="Z126" s="91">
        <f t="shared" si="112"/>
        <v>49000</v>
      </c>
      <c r="AA126" s="91">
        <f t="shared" si="98"/>
        <v>35000</v>
      </c>
      <c r="AB126" s="91">
        <f t="shared" ref="AB126:AD141" si="113">M126</f>
        <v>14000</v>
      </c>
      <c r="AC126" s="4">
        <f t="shared" si="113"/>
        <v>0.7142857142857143</v>
      </c>
      <c r="AD126" s="92">
        <f t="shared" si="113"/>
        <v>1361.1111111111111</v>
      </c>
      <c r="AE126" s="80" t="str">
        <f t="shared" si="99"/>
        <v>계</v>
      </c>
      <c r="AF126" s="80" t="str">
        <f t="shared" si="100"/>
        <v>3/2</v>
      </c>
      <c r="AH126" s="20" t="str">
        <f t="shared" si="52"/>
        <v>오창읍 오창롯데캐슬더하이스트</v>
      </c>
      <c r="AI126" s="88">
        <f t="shared" si="53"/>
        <v>36</v>
      </c>
      <c r="AJ126" s="80" t="str">
        <f t="shared" si="101"/>
        <v>A-</v>
      </c>
      <c r="AK126" s="80" t="s">
        <v>13</v>
      </c>
      <c r="AL126" s="80" t="s">
        <v>62</v>
      </c>
      <c r="AM126" s="80" t="s">
        <v>63</v>
      </c>
      <c r="AN126" s="80" t="str">
        <f t="shared" si="102"/>
        <v>C</v>
      </c>
      <c r="AO126" s="80" t="str">
        <f t="shared" si="103"/>
        <v>X</v>
      </c>
      <c r="AP126" s="80" t="str">
        <f t="shared" si="104"/>
        <v>X</v>
      </c>
      <c r="AQ126" s="80" t="str">
        <f t="shared" si="105"/>
        <v>X</v>
      </c>
      <c r="AR126" s="80" t="str">
        <f t="shared" si="106"/>
        <v>X</v>
      </c>
      <c r="AS126" s="80" t="s">
        <v>2</v>
      </c>
      <c r="AT126" s="80" t="str">
        <f t="shared" si="107"/>
        <v>O</v>
      </c>
      <c r="AU126" s="80" t="str">
        <f t="shared" si="108"/>
        <v>O</v>
      </c>
      <c r="AV126" s="80" t="str">
        <f t="shared" si="109"/>
        <v>X</v>
      </c>
    </row>
    <row r="127" spans="1:48" s="37" customFormat="1" ht="12" x14ac:dyDescent="0.3">
      <c r="A127" s="75" t="s">
        <v>1158</v>
      </c>
      <c r="B127" s="76" t="s">
        <v>1009</v>
      </c>
      <c r="C127" s="86">
        <v>2500</v>
      </c>
      <c r="D127" s="87">
        <v>121</v>
      </c>
      <c r="E127" s="88">
        <v>37</v>
      </c>
      <c r="F127" s="87">
        <v>85</v>
      </c>
      <c r="G127" s="17">
        <v>26</v>
      </c>
      <c r="H127" s="89">
        <v>379</v>
      </c>
      <c r="I127" s="90">
        <v>48800</v>
      </c>
      <c r="J127" s="90" t="s">
        <v>921</v>
      </c>
      <c r="K127" s="90">
        <v>38000</v>
      </c>
      <c r="L127" s="90" t="s">
        <v>919</v>
      </c>
      <c r="M127" s="91">
        <f t="shared" si="92"/>
        <v>10800</v>
      </c>
      <c r="N127" s="4">
        <f t="shared" si="93"/>
        <v>0.77868852459016391</v>
      </c>
      <c r="O127" s="92">
        <f t="shared" si="94"/>
        <v>1318.918918918919</v>
      </c>
      <c r="P127" s="92">
        <f t="shared" si="95"/>
        <v>1027.0270270270271</v>
      </c>
      <c r="Q127" s="80">
        <v>3</v>
      </c>
      <c r="R127" s="80">
        <v>2</v>
      </c>
      <c r="S127" s="80" t="s">
        <v>61</v>
      </c>
      <c r="T127" s="5" t="s">
        <v>511</v>
      </c>
      <c r="U127" s="9"/>
      <c r="W127" s="87">
        <f t="shared" si="111"/>
        <v>121</v>
      </c>
      <c r="X127" s="88">
        <f t="shared" si="111"/>
        <v>37</v>
      </c>
      <c r="Y127" s="93">
        <f t="shared" si="112"/>
        <v>379</v>
      </c>
      <c r="Z127" s="91">
        <f t="shared" si="112"/>
        <v>48800</v>
      </c>
      <c r="AA127" s="91">
        <f t="shared" si="98"/>
        <v>38000</v>
      </c>
      <c r="AB127" s="91">
        <f t="shared" si="113"/>
        <v>10800</v>
      </c>
      <c r="AC127" s="4">
        <f t="shared" si="113"/>
        <v>0.77868852459016391</v>
      </c>
      <c r="AD127" s="92">
        <f t="shared" si="113"/>
        <v>1318.918918918919</v>
      </c>
      <c r="AE127" s="80" t="str">
        <f t="shared" si="99"/>
        <v>계</v>
      </c>
      <c r="AF127" s="80" t="str">
        <f t="shared" si="100"/>
        <v>3/2</v>
      </c>
      <c r="AH127" s="20" t="str">
        <f t="shared" si="52"/>
        <v>오창읍 오창롯데캐슬더하이스트</v>
      </c>
      <c r="AI127" s="88">
        <f t="shared" si="53"/>
        <v>37</v>
      </c>
      <c r="AJ127" s="80" t="str">
        <f t="shared" si="101"/>
        <v>A-</v>
      </c>
      <c r="AK127" s="80" t="s">
        <v>13</v>
      </c>
      <c r="AL127" s="80" t="s">
        <v>62</v>
      </c>
      <c r="AM127" s="80" t="s">
        <v>63</v>
      </c>
      <c r="AN127" s="80" t="str">
        <f t="shared" si="102"/>
        <v>C</v>
      </c>
      <c r="AO127" s="80" t="str">
        <f t="shared" si="103"/>
        <v>X</v>
      </c>
      <c r="AP127" s="80" t="str">
        <f t="shared" si="104"/>
        <v>X</v>
      </c>
      <c r="AQ127" s="80" t="str">
        <f t="shared" si="105"/>
        <v>X</v>
      </c>
      <c r="AR127" s="80" t="str">
        <f t="shared" si="106"/>
        <v>X</v>
      </c>
      <c r="AS127" s="80" t="s">
        <v>2</v>
      </c>
      <c r="AT127" s="80" t="str">
        <f t="shared" si="107"/>
        <v>O</v>
      </c>
      <c r="AU127" s="80" t="str">
        <f t="shared" si="108"/>
        <v>O</v>
      </c>
      <c r="AV127" s="80" t="str">
        <f t="shared" si="109"/>
        <v>X</v>
      </c>
    </row>
    <row r="128" spans="1:48" s="37" customFormat="1" ht="12" x14ac:dyDescent="0.3">
      <c r="A128" s="75" t="s">
        <v>1158</v>
      </c>
      <c r="B128" s="76" t="s">
        <v>1159</v>
      </c>
      <c r="C128" s="86">
        <v>2500</v>
      </c>
      <c r="D128" s="87">
        <v>120.1</v>
      </c>
      <c r="E128" s="88">
        <v>36</v>
      </c>
      <c r="F128" s="87">
        <v>84.9</v>
      </c>
      <c r="G128" s="17">
        <v>26</v>
      </c>
      <c r="H128" s="89">
        <v>301</v>
      </c>
      <c r="I128" s="90"/>
      <c r="J128" s="90"/>
      <c r="K128" s="90"/>
      <c r="L128" s="90"/>
      <c r="M128" s="91">
        <f t="shared" si="92"/>
        <v>0</v>
      </c>
      <c r="N128" s="4" t="str">
        <f t="shared" si="93"/>
        <v/>
      </c>
      <c r="O128" s="92">
        <f t="shared" si="94"/>
        <v>0</v>
      </c>
      <c r="P128" s="92">
        <f t="shared" si="95"/>
        <v>0</v>
      </c>
      <c r="Q128" s="80">
        <v>3</v>
      </c>
      <c r="R128" s="80">
        <v>2</v>
      </c>
      <c r="S128" s="80" t="s">
        <v>61</v>
      </c>
      <c r="T128" s="5" t="s">
        <v>512</v>
      </c>
      <c r="U128" s="9"/>
      <c r="W128" s="87">
        <f t="shared" si="111"/>
        <v>120.1</v>
      </c>
      <c r="X128" s="88">
        <f t="shared" si="111"/>
        <v>36</v>
      </c>
      <c r="Y128" s="93">
        <f t="shared" si="112"/>
        <v>301</v>
      </c>
      <c r="Z128" s="91">
        <f t="shared" si="112"/>
        <v>0</v>
      </c>
      <c r="AA128" s="91">
        <f t="shared" si="98"/>
        <v>0</v>
      </c>
      <c r="AB128" s="91">
        <f t="shared" si="113"/>
        <v>0</v>
      </c>
      <c r="AC128" s="4" t="str">
        <f t="shared" si="113"/>
        <v/>
      </c>
      <c r="AD128" s="92">
        <f t="shared" si="113"/>
        <v>0</v>
      </c>
      <c r="AE128" s="80" t="str">
        <f t="shared" si="99"/>
        <v>계</v>
      </c>
      <c r="AF128" s="80" t="str">
        <f t="shared" si="100"/>
        <v>3/2</v>
      </c>
      <c r="AH128" s="20" t="str">
        <f t="shared" si="52"/>
        <v>오창읍 오창롯데캐슬더하이스트</v>
      </c>
      <c r="AI128" s="88">
        <f t="shared" si="53"/>
        <v>36</v>
      </c>
      <c r="AJ128" s="80" t="str">
        <f t="shared" si="101"/>
        <v>A-</v>
      </c>
      <c r="AK128" s="80" t="s">
        <v>13</v>
      </c>
      <c r="AL128" s="80" t="s">
        <v>62</v>
      </c>
      <c r="AM128" s="80" t="s">
        <v>63</v>
      </c>
      <c r="AN128" s="80" t="str">
        <f t="shared" si="102"/>
        <v>C</v>
      </c>
      <c r="AO128" s="80" t="str">
        <f t="shared" si="103"/>
        <v/>
      </c>
      <c r="AP128" s="80" t="str">
        <f t="shared" si="104"/>
        <v/>
      </c>
      <c r="AQ128" s="80" t="str">
        <f t="shared" si="105"/>
        <v>O</v>
      </c>
      <c r="AR128" s="80" t="str">
        <f t="shared" si="106"/>
        <v>O</v>
      </c>
      <c r="AS128" s="80" t="s">
        <v>2</v>
      </c>
      <c r="AT128" s="80" t="str">
        <f t="shared" si="107"/>
        <v>O</v>
      </c>
      <c r="AU128" s="80" t="str">
        <f t="shared" si="108"/>
        <v>O</v>
      </c>
      <c r="AV128" s="80" t="str">
        <f t="shared" si="109"/>
        <v/>
      </c>
    </row>
    <row r="129" spans="1:48" s="37" customFormat="1" ht="12" x14ac:dyDescent="0.3">
      <c r="A129" s="75" t="s">
        <v>1160</v>
      </c>
      <c r="B129" s="76" t="s">
        <v>1009</v>
      </c>
      <c r="C129" s="86">
        <v>2500</v>
      </c>
      <c r="D129" s="87">
        <v>120.4</v>
      </c>
      <c r="E129" s="88">
        <v>36</v>
      </c>
      <c r="F129" s="87">
        <v>84.9</v>
      </c>
      <c r="G129" s="17">
        <v>26</v>
      </c>
      <c r="H129" s="89">
        <v>77</v>
      </c>
      <c r="I129" s="90">
        <v>47000</v>
      </c>
      <c r="J129" s="90" t="s">
        <v>66</v>
      </c>
      <c r="K129" s="90"/>
      <c r="L129" s="90"/>
      <c r="M129" s="91">
        <f t="shared" si="92"/>
        <v>47000</v>
      </c>
      <c r="N129" s="4">
        <f t="shared" si="93"/>
        <v>0</v>
      </c>
      <c r="O129" s="92">
        <f t="shared" si="94"/>
        <v>1305.5555555555557</v>
      </c>
      <c r="P129" s="92">
        <f t="shared" si="95"/>
        <v>0</v>
      </c>
      <c r="Q129" s="80">
        <v>3</v>
      </c>
      <c r="R129" s="80">
        <v>2</v>
      </c>
      <c r="S129" s="80" t="s">
        <v>61</v>
      </c>
      <c r="T129" s="5" t="s">
        <v>513</v>
      </c>
      <c r="U129" s="9"/>
      <c r="W129" s="87">
        <f t="shared" si="111"/>
        <v>120.4</v>
      </c>
      <c r="X129" s="88">
        <f t="shared" si="111"/>
        <v>36</v>
      </c>
      <c r="Y129" s="93">
        <f t="shared" si="112"/>
        <v>77</v>
      </c>
      <c r="Z129" s="91">
        <f t="shared" si="112"/>
        <v>47000</v>
      </c>
      <c r="AA129" s="91">
        <f t="shared" si="98"/>
        <v>0</v>
      </c>
      <c r="AB129" s="91">
        <f t="shared" si="113"/>
        <v>47000</v>
      </c>
      <c r="AC129" s="4">
        <f t="shared" si="113"/>
        <v>0</v>
      </c>
      <c r="AD129" s="92">
        <f t="shared" si="113"/>
        <v>1305.5555555555557</v>
      </c>
      <c r="AE129" s="80" t="str">
        <f t="shared" si="99"/>
        <v>계</v>
      </c>
      <c r="AF129" s="80" t="str">
        <f t="shared" si="100"/>
        <v>3/2</v>
      </c>
      <c r="AH129" s="20" t="str">
        <f t="shared" si="52"/>
        <v>오창읍 오창롯데캐슬더하이스트</v>
      </c>
      <c r="AI129" s="88">
        <f t="shared" si="53"/>
        <v>36</v>
      </c>
      <c r="AJ129" s="80" t="str">
        <f t="shared" si="101"/>
        <v>A-</v>
      </c>
      <c r="AK129" s="80" t="s">
        <v>13</v>
      </c>
      <c r="AL129" s="80" t="s">
        <v>62</v>
      </c>
      <c r="AM129" s="80" t="s">
        <v>63</v>
      </c>
      <c r="AN129" s="80" t="str">
        <f t="shared" si="102"/>
        <v>C</v>
      </c>
      <c r="AO129" s="80" t="str">
        <f t="shared" si="103"/>
        <v>X</v>
      </c>
      <c r="AP129" s="80" t="str">
        <f t="shared" si="104"/>
        <v>X</v>
      </c>
      <c r="AQ129" s="80" t="str">
        <f t="shared" si="105"/>
        <v>X</v>
      </c>
      <c r="AR129" s="80" t="str">
        <f t="shared" si="106"/>
        <v>X</v>
      </c>
      <c r="AS129" s="80" t="s">
        <v>2</v>
      </c>
      <c r="AT129" s="80" t="str">
        <f t="shared" si="107"/>
        <v>O</v>
      </c>
      <c r="AU129" s="80" t="str">
        <f t="shared" si="108"/>
        <v>O</v>
      </c>
      <c r="AV129" s="80" t="str">
        <f t="shared" si="109"/>
        <v>X</v>
      </c>
    </row>
    <row r="130" spans="1:48" s="37" customFormat="1" ht="12" x14ac:dyDescent="0.3">
      <c r="A130" s="75" t="s">
        <v>1160</v>
      </c>
      <c r="B130" s="76" t="s">
        <v>1161</v>
      </c>
      <c r="C130" s="86">
        <v>2500</v>
      </c>
      <c r="D130" s="87">
        <v>120.6</v>
      </c>
      <c r="E130" s="88">
        <v>36</v>
      </c>
      <c r="F130" s="87">
        <v>85</v>
      </c>
      <c r="G130" s="17">
        <v>26</v>
      </c>
      <c r="H130" s="89">
        <v>75</v>
      </c>
      <c r="I130" s="90">
        <v>49500</v>
      </c>
      <c r="J130" s="90" t="s">
        <v>70</v>
      </c>
      <c r="K130" s="90"/>
      <c r="L130" s="90"/>
      <c r="M130" s="91">
        <f t="shared" si="92"/>
        <v>49500</v>
      </c>
      <c r="N130" s="4">
        <f t="shared" si="93"/>
        <v>0</v>
      </c>
      <c r="O130" s="92">
        <f t="shared" si="94"/>
        <v>1375</v>
      </c>
      <c r="P130" s="92">
        <f t="shared" si="95"/>
        <v>0</v>
      </c>
      <c r="Q130" s="80">
        <v>3</v>
      </c>
      <c r="R130" s="80">
        <v>2</v>
      </c>
      <c r="S130" s="80" t="s">
        <v>61</v>
      </c>
      <c r="T130" s="5" t="s">
        <v>514</v>
      </c>
      <c r="U130" s="9"/>
      <c r="W130" s="87">
        <f t="shared" si="111"/>
        <v>120.6</v>
      </c>
      <c r="X130" s="88">
        <f t="shared" si="111"/>
        <v>36</v>
      </c>
      <c r="Y130" s="93">
        <f t="shared" si="112"/>
        <v>75</v>
      </c>
      <c r="Z130" s="91">
        <f t="shared" si="112"/>
        <v>49500</v>
      </c>
      <c r="AA130" s="91">
        <f t="shared" si="98"/>
        <v>0</v>
      </c>
      <c r="AB130" s="91">
        <f t="shared" si="113"/>
        <v>49500</v>
      </c>
      <c r="AC130" s="4">
        <f t="shared" si="113"/>
        <v>0</v>
      </c>
      <c r="AD130" s="92">
        <f t="shared" si="113"/>
        <v>1375</v>
      </c>
      <c r="AE130" s="80" t="str">
        <f t="shared" si="99"/>
        <v>계</v>
      </c>
      <c r="AF130" s="80" t="str">
        <f t="shared" si="100"/>
        <v>3/2</v>
      </c>
      <c r="AH130" s="20" t="str">
        <f t="shared" si="52"/>
        <v>오창읍 오창롯데캐슬더하이스트</v>
      </c>
      <c r="AI130" s="88">
        <f t="shared" si="53"/>
        <v>36</v>
      </c>
      <c r="AJ130" s="80" t="str">
        <f t="shared" si="101"/>
        <v>A-</v>
      </c>
      <c r="AK130" s="80" t="s">
        <v>13</v>
      </c>
      <c r="AL130" s="80" t="s">
        <v>62</v>
      </c>
      <c r="AM130" s="80" t="s">
        <v>63</v>
      </c>
      <c r="AN130" s="80" t="str">
        <f t="shared" si="102"/>
        <v>C</v>
      </c>
      <c r="AO130" s="80" t="str">
        <f t="shared" si="103"/>
        <v>X</v>
      </c>
      <c r="AP130" s="80" t="str">
        <f t="shared" si="104"/>
        <v>X</v>
      </c>
      <c r="AQ130" s="80" t="str">
        <f t="shared" si="105"/>
        <v>X</v>
      </c>
      <c r="AR130" s="80" t="str">
        <f t="shared" si="106"/>
        <v>X</v>
      </c>
      <c r="AS130" s="80" t="s">
        <v>2</v>
      </c>
      <c r="AT130" s="80" t="str">
        <f t="shared" si="107"/>
        <v>O</v>
      </c>
      <c r="AU130" s="80" t="str">
        <f t="shared" si="108"/>
        <v>O</v>
      </c>
      <c r="AV130" s="80" t="str">
        <f t="shared" si="109"/>
        <v>X</v>
      </c>
    </row>
    <row r="131" spans="1:48" s="37" customFormat="1" ht="12" x14ac:dyDescent="0.3">
      <c r="A131" s="75" t="s">
        <v>1162</v>
      </c>
      <c r="B131" s="76" t="s">
        <v>1163</v>
      </c>
      <c r="C131" s="86">
        <v>2500</v>
      </c>
      <c r="D131" s="87">
        <v>152.6</v>
      </c>
      <c r="E131" s="88">
        <v>46</v>
      </c>
      <c r="F131" s="87">
        <v>109.4</v>
      </c>
      <c r="G131" s="17">
        <v>33</v>
      </c>
      <c r="H131" s="89">
        <v>75</v>
      </c>
      <c r="I131" s="90"/>
      <c r="J131" s="90"/>
      <c r="K131" s="90"/>
      <c r="L131" s="90"/>
      <c r="M131" s="91">
        <f t="shared" si="92"/>
        <v>0</v>
      </c>
      <c r="N131" s="4" t="str">
        <f t="shared" si="93"/>
        <v/>
      </c>
      <c r="O131" s="92">
        <f t="shared" si="94"/>
        <v>0</v>
      </c>
      <c r="P131" s="92">
        <f t="shared" si="95"/>
        <v>0</v>
      </c>
      <c r="Q131" s="80">
        <v>4</v>
      </c>
      <c r="R131" s="80">
        <v>2</v>
      </c>
      <c r="S131" s="80" t="s">
        <v>61</v>
      </c>
      <c r="T131" s="5" t="s">
        <v>120</v>
      </c>
      <c r="U131" s="9"/>
      <c r="W131" s="87">
        <f t="shared" si="111"/>
        <v>152.6</v>
      </c>
      <c r="X131" s="88">
        <f t="shared" si="111"/>
        <v>46</v>
      </c>
      <c r="Y131" s="93">
        <f t="shared" si="112"/>
        <v>75</v>
      </c>
      <c r="Z131" s="91">
        <f t="shared" si="112"/>
        <v>0</v>
      </c>
      <c r="AA131" s="91">
        <f t="shared" si="98"/>
        <v>0</v>
      </c>
      <c r="AB131" s="91">
        <f t="shared" si="113"/>
        <v>0</v>
      </c>
      <c r="AC131" s="4" t="str">
        <f t="shared" si="113"/>
        <v/>
      </c>
      <c r="AD131" s="92">
        <f t="shared" si="113"/>
        <v>0</v>
      </c>
      <c r="AE131" s="80" t="str">
        <f t="shared" si="99"/>
        <v>계</v>
      </c>
      <c r="AF131" s="80" t="str">
        <f t="shared" si="100"/>
        <v>4/2</v>
      </c>
      <c r="AH131" s="20" t="str">
        <f t="shared" si="52"/>
        <v>오창읍 오창롯데캐슬더하이스트</v>
      </c>
      <c r="AI131" s="88">
        <f t="shared" si="53"/>
        <v>46</v>
      </c>
      <c r="AJ131" s="80" t="str">
        <f t="shared" si="101"/>
        <v>A-</v>
      </c>
      <c r="AK131" s="80" t="s">
        <v>13</v>
      </c>
      <c r="AL131" s="80" t="s">
        <v>62</v>
      </c>
      <c r="AM131" s="80" t="s">
        <v>63</v>
      </c>
      <c r="AN131" s="80" t="str">
        <f t="shared" si="102"/>
        <v>C</v>
      </c>
      <c r="AO131" s="80" t="str">
        <f t="shared" si="103"/>
        <v/>
      </c>
      <c r="AP131" s="80" t="str">
        <f t="shared" si="104"/>
        <v/>
      </c>
      <c r="AQ131" s="80" t="str">
        <f t="shared" si="105"/>
        <v>O</v>
      </c>
      <c r="AR131" s="80" t="str">
        <f t="shared" si="106"/>
        <v>O</v>
      </c>
      <c r="AS131" s="80" t="s">
        <v>2</v>
      </c>
      <c r="AT131" s="80" t="str">
        <f t="shared" si="107"/>
        <v>X</v>
      </c>
      <c r="AU131" s="80" t="str">
        <f t="shared" si="108"/>
        <v>O</v>
      </c>
      <c r="AV131" s="80" t="str">
        <f t="shared" si="109"/>
        <v/>
      </c>
    </row>
    <row r="132" spans="1:48" s="37" customFormat="1" ht="12" x14ac:dyDescent="0.3">
      <c r="A132" s="75" t="s">
        <v>1164</v>
      </c>
      <c r="B132" s="76" t="s">
        <v>1165</v>
      </c>
      <c r="C132" s="86">
        <v>818</v>
      </c>
      <c r="D132" s="87">
        <v>77.599999999999994</v>
      </c>
      <c r="E132" s="88">
        <v>23</v>
      </c>
      <c r="F132" s="87">
        <v>59.4</v>
      </c>
      <c r="G132" s="17">
        <v>18</v>
      </c>
      <c r="H132" s="89">
        <v>227</v>
      </c>
      <c r="I132" s="90">
        <v>22000</v>
      </c>
      <c r="J132" s="90" t="s">
        <v>69</v>
      </c>
      <c r="K132" s="90">
        <v>20000</v>
      </c>
      <c r="L132" s="90" t="s">
        <v>69</v>
      </c>
      <c r="M132" s="91">
        <f>I132-K132</f>
        <v>2000</v>
      </c>
      <c r="N132" s="4">
        <f>IF(ISERROR(K132/I132),"",K132/I132)</f>
        <v>0.90909090909090906</v>
      </c>
      <c r="O132" s="92">
        <f>I132/E132</f>
        <v>956.52173913043475</v>
      </c>
      <c r="P132" s="92">
        <f>K132/E132</f>
        <v>869.56521739130437</v>
      </c>
      <c r="Q132" s="80">
        <v>3</v>
      </c>
      <c r="R132" s="80">
        <v>2</v>
      </c>
      <c r="S132" s="80" t="s">
        <v>61</v>
      </c>
      <c r="T132" s="5">
        <v>77</v>
      </c>
      <c r="U132" s="9"/>
      <c r="W132" s="87">
        <f t="shared" si="111"/>
        <v>77.599999999999994</v>
      </c>
      <c r="X132" s="88">
        <f t="shared" si="111"/>
        <v>23</v>
      </c>
      <c r="Y132" s="93">
        <f t="shared" si="112"/>
        <v>227</v>
      </c>
      <c r="Z132" s="91">
        <f t="shared" si="112"/>
        <v>22000</v>
      </c>
      <c r="AA132" s="91">
        <f>K132</f>
        <v>20000</v>
      </c>
      <c r="AB132" s="91">
        <f t="shared" si="113"/>
        <v>2000</v>
      </c>
      <c r="AC132" s="4">
        <f t="shared" si="113"/>
        <v>0.90909090909090906</v>
      </c>
      <c r="AD132" s="92">
        <f t="shared" si="113"/>
        <v>956.52173913043475</v>
      </c>
      <c r="AE132" s="80" t="str">
        <f>S132</f>
        <v>계</v>
      </c>
      <c r="AF132" s="80" t="str">
        <f>Q132&amp;"/"&amp;R132</f>
        <v>3/2</v>
      </c>
      <c r="AH132" s="20" t="str">
        <f t="shared" ref="AH132:AH195" si="114">IF(A132="","",A132)</f>
        <v>오창읍 오창이안</v>
      </c>
      <c r="AI132" s="88">
        <f t="shared" ref="AI132:AI195" si="115">IF(E132="","",E132)</f>
        <v>23</v>
      </c>
      <c r="AJ132" s="80" t="str">
        <f>IF(AI132="","",$AJ$2)</f>
        <v>A-</v>
      </c>
      <c r="AK132" s="80" t="s">
        <v>13</v>
      </c>
      <c r="AL132" s="80" t="s">
        <v>62</v>
      </c>
      <c r="AM132" s="80" t="s">
        <v>63</v>
      </c>
      <c r="AN132" s="80" t="str">
        <f>IF(AI132="","",$AN$2)</f>
        <v>C</v>
      </c>
      <c r="AO132" s="80" t="str">
        <f>IF(N132="","",IF(N132&gt;=$AO$1/100,"O","X"))</f>
        <v>O</v>
      </c>
      <c r="AP132" s="80" t="str">
        <f>IF(I132="","",IF(I132&lt;=$AP$1,"O","X"))</f>
        <v>O</v>
      </c>
      <c r="AQ132" s="80" t="str">
        <f>IF(O132="","",IF(O132&lt;=$AQ$1,"O","X"))</f>
        <v>O</v>
      </c>
      <c r="AR132" s="80" t="str">
        <f>IF(M132="","",IF(M132&lt;=$AR$1,"O","X"))</f>
        <v>O</v>
      </c>
      <c r="AS132" s="80" t="s">
        <v>2</v>
      </c>
      <c r="AT132" s="80" t="str">
        <f>IF(OR(F132="",AI132=""),"",IF(AND((F132&lt;=85),(AI132&gt;=15)),"O","X"))</f>
        <v>O</v>
      </c>
      <c r="AU132" s="80" t="str">
        <f>IF(C132="","",IF(C132&gt;=$AU$1,"O","X"))</f>
        <v>O</v>
      </c>
      <c r="AV132" s="80" t="str">
        <f>IF(AO132="","",IF(AND(AO132="O",AP132="O",AR132="O",AT132="O",AU132="O"),"후보","X"))</f>
        <v>후보</v>
      </c>
    </row>
    <row r="133" spans="1:48" s="37" customFormat="1" ht="12" x14ac:dyDescent="0.3">
      <c r="A133" s="75" t="s">
        <v>1166</v>
      </c>
      <c r="B133" s="76" t="s">
        <v>1165</v>
      </c>
      <c r="C133" s="86">
        <v>818</v>
      </c>
      <c r="D133" s="87">
        <v>106.2</v>
      </c>
      <c r="E133" s="88">
        <v>32</v>
      </c>
      <c r="F133" s="87">
        <v>84.8</v>
      </c>
      <c r="G133" s="17">
        <v>26</v>
      </c>
      <c r="H133" s="89">
        <v>351</v>
      </c>
      <c r="I133" s="90">
        <v>26500</v>
      </c>
      <c r="J133" s="90" t="s">
        <v>70</v>
      </c>
      <c r="K133" s="90">
        <v>25000</v>
      </c>
      <c r="L133" s="90" t="s">
        <v>65</v>
      </c>
      <c r="M133" s="91">
        <f>I133-K133</f>
        <v>1500</v>
      </c>
      <c r="N133" s="4">
        <f>IF(ISERROR(K133/I133),"",K133/I133)</f>
        <v>0.94339622641509435</v>
      </c>
      <c r="O133" s="92">
        <f>I133/E133</f>
        <v>828.125</v>
      </c>
      <c r="P133" s="92">
        <f>K133/E133</f>
        <v>781.25</v>
      </c>
      <c r="Q133" s="80">
        <v>3</v>
      </c>
      <c r="R133" s="80">
        <v>2</v>
      </c>
      <c r="S133" s="80" t="s">
        <v>61</v>
      </c>
      <c r="T133" s="5" t="s">
        <v>81</v>
      </c>
      <c r="U133" s="9"/>
      <c r="W133" s="87">
        <f t="shared" si="111"/>
        <v>106.2</v>
      </c>
      <c r="X133" s="88">
        <f t="shared" si="111"/>
        <v>32</v>
      </c>
      <c r="Y133" s="93">
        <f t="shared" si="112"/>
        <v>351</v>
      </c>
      <c r="Z133" s="91">
        <f t="shared" si="112"/>
        <v>26500</v>
      </c>
      <c r="AA133" s="91">
        <f>K133</f>
        <v>25000</v>
      </c>
      <c r="AB133" s="91">
        <f t="shared" si="113"/>
        <v>1500</v>
      </c>
      <c r="AC133" s="4">
        <f t="shared" si="113"/>
        <v>0.94339622641509435</v>
      </c>
      <c r="AD133" s="92">
        <f t="shared" si="113"/>
        <v>828.125</v>
      </c>
      <c r="AE133" s="80" t="str">
        <f>S133</f>
        <v>계</v>
      </c>
      <c r="AF133" s="80" t="str">
        <f>Q133&amp;"/"&amp;R133</f>
        <v>3/2</v>
      </c>
      <c r="AH133" s="20" t="str">
        <f t="shared" si="114"/>
        <v>오창읍 오창이안</v>
      </c>
      <c r="AI133" s="88">
        <f t="shared" si="115"/>
        <v>32</v>
      </c>
      <c r="AJ133" s="80" t="str">
        <f>IF(AI133="","",$AJ$2)</f>
        <v>A-</v>
      </c>
      <c r="AK133" s="80" t="s">
        <v>13</v>
      </c>
      <c r="AL133" s="80" t="s">
        <v>62</v>
      </c>
      <c r="AM133" s="80" t="s">
        <v>63</v>
      </c>
      <c r="AN133" s="80" t="str">
        <f>IF(AI133="","",$AN$2)</f>
        <v>C</v>
      </c>
      <c r="AO133" s="80" t="str">
        <f>IF(N133="","",IF(N133&gt;=$AO$1/100,"O","X"))</f>
        <v>O</v>
      </c>
      <c r="AP133" s="80" t="str">
        <f>IF(I133="","",IF(I133&lt;=$AP$1,"O","X"))</f>
        <v>O</v>
      </c>
      <c r="AQ133" s="80" t="str">
        <f>IF(O133="","",IF(O133&lt;=$AQ$1,"O","X"))</f>
        <v>O</v>
      </c>
      <c r="AR133" s="80" t="str">
        <f>IF(M133="","",IF(M133&lt;=$AR$1,"O","X"))</f>
        <v>O</v>
      </c>
      <c r="AS133" s="80" t="s">
        <v>2</v>
      </c>
      <c r="AT133" s="80" t="str">
        <f>IF(OR(F133="",AI133=""),"",IF(AND((F133&lt;=85),(AI133&gt;=15)),"O","X"))</f>
        <v>O</v>
      </c>
      <c r="AU133" s="80" t="str">
        <f>IF(C133="","",IF(C133&gt;=$AU$1,"O","X"))</f>
        <v>O</v>
      </c>
      <c r="AV133" s="80" t="str">
        <f>IF(AO133="","",IF(AND(AO133="O",AP133="O",AR133="O",AT133="O",AU133="O"),"후보","X"))</f>
        <v>후보</v>
      </c>
    </row>
    <row r="134" spans="1:48" s="37" customFormat="1" ht="12" x14ac:dyDescent="0.3">
      <c r="A134" s="75" t="s">
        <v>1167</v>
      </c>
      <c r="B134" s="76" t="s">
        <v>1037</v>
      </c>
      <c r="C134" s="86">
        <v>818</v>
      </c>
      <c r="D134" s="87">
        <v>107.5</v>
      </c>
      <c r="E134" s="88">
        <v>33</v>
      </c>
      <c r="F134" s="87">
        <v>84.8</v>
      </c>
      <c r="G134" s="17">
        <v>26</v>
      </c>
      <c r="H134" s="89">
        <v>60</v>
      </c>
      <c r="I134" s="90">
        <v>27000</v>
      </c>
      <c r="J134" s="90" t="s">
        <v>65</v>
      </c>
      <c r="K134" s="90"/>
      <c r="L134" s="90"/>
      <c r="M134" s="91">
        <f>I134-K134</f>
        <v>27000</v>
      </c>
      <c r="N134" s="4">
        <f>IF(ISERROR(K134/I134),"",K134/I134)</f>
        <v>0</v>
      </c>
      <c r="O134" s="92">
        <f>I134/E134</f>
        <v>818.18181818181813</v>
      </c>
      <c r="P134" s="92">
        <f>K134/E134</f>
        <v>0</v>
      </c>
      <c r="Q134" s="80">
        <v>3</v>
      </c>
      <c r="R134" s="80">
        <v>2</v>
      </c>
      <c r="S134" s="80" t="s">
        <v>61</v>
      </c>
      <c r="T134" s="5" t="s">
        <v>520</v>
      </c>
      <c r="U134" s="9"/>
      <c r="W134" s="87">
        <f t="shared" ref="W134:X135" si="116">D134</f>
        <v>107.5</v>
      </c>
      <c r="X134" s="88">
        <f t="shared" si="116"/>
        <v>33</v>
      </c>
      <c r="Y134" s="93">
        <f t="shared" ref="Y134:Z135" si="117">H134</f>
        <v>60</v>
      </c>
      <c r="Z134" s="91">
        <f t="shared" si="117"/>
        <v>27000</v>
      </c>
      <c r="AA134" s="91">
        <f>K134</f>
        <v>0</v>
      </c>
      <c r="AB134" s="91">
        <f t="shared" si="113"/>
        <v>27000</v>
      </c>
      <c r="AC134" s="4">
        <f t="shared" si="113"/>
        <v>0</v>
      </c>
      <c r="AD134" s="92">
        <f t="shared" si="113"/>
        <v>818.18181818181813</v>
      </c>
      <c r="AE134" s="80" t="str">
        <f>S134</f>
        <v>계</v>
      </c>
      <c r="AF134" s="80" t="str">
        <f>Q134&amp;"/"&amp;R134</f>
        <v>3/2</v>
      </c>
      <c r="AH134" s="20" t="str">
        <f t="shared" si="114"/>
        <v>오창읍 오창이안</v>
      </c>
      <c r="AI134" s="88">
        <f t="shared" si="115"/>
        <v>33</v>
      </c>
      <c r="AJ134" s="80" t="str">
        <f>IF(AI134="","",$AJ$2)</f>
        <v>A-</v>
      </c>
      <c r="AK134" s="80" t="s">
        <v>13</v>
      </c>
      <c r="AL134" s="80" t="s">
        <v>62</v>
      </c>
      <c r="AM134" s="80" t="s">
        <v>63</v>
      </c>
      <c r="AN134" s="80" t="str">
        <f>IF(AI134="","",$AN$2)</f>
        <v>C</v>
      </c>
      <c r="AO134" s="80" t="str">
        <f>IF(N134="","",IF(N134&gt;=$AO$1/100,"O","X"))</f>
        <v>X</v>
      </c>
      <c r="AP134" s="80" t="str">
        <f>IF(I134="","",IF(I134&lt;=$AP$1,"O","X"))</f>
        <v>O</v>
      </c>
      <c r="AQ134" s="80" t="str">
        <f>IF(O134="","",IF(O134&lt;=$AQ$1,"O","X"))</f>
        <v>O</v>
      </c>
      <c r="AR134" s="80" t="str">
        <f>IF(M134="","",IF(M134&lt;=$AR$1,"O","X"))</f>
        <v>X</v>
      </c>
      <c r="AS134" s="80" t="s">
        <v>2</v>
      </c>
      <c r="AT134" s="80" t="str">
        <f>IF(OR(F134="",AI134=""),"",IF(AND((F134&lt;=85),(AI134&gt;=15)),"O","X"))</f>
        <v>O</v>
      </c>
      <c r="AU134" s="80" t="str">
        <f>IF(C134="","",IF(C134&gt;=$AU$1,"O","X"))</f>
        <v>O</v>
      </c>
      <c r="AV134" s="80" t="str">
        <f>IF(AO134="","",IF(AND(AO134="O",AP134="O",AR134="O",AT134="O",AU134="O"),"후보","X"))</f>
        <v>X</v>
      </c>
    </row>
    <row r="135" spans="1:48" s="37" customFormat="1" ht="12" x14ac:dyDescent="0.3">
      <c r="A135" s="75" t="s">
        <v>1167</v>
      </c>
      <c r="B135" s="76" t="s">
        <v>1165</v>
      </c>
      <c r="C135" s="86">
        <v>818</v>
      </c>
      <c r="D135" s="87">
        <v>146.1</v>
      </c>
      <c r="E135" s="88">
        <v>44</v>
      </c>
      <c r="F135" s="87">
        <v>119.3</v>
      </c>
      <c r="G135" s="17">
        <v>36</v>
      </c>
      <c r="H135" s="89">
        <v>180</v>
      </c>
      <c r="I135" s="90">
        <v>35000</v>
      </c>
      <c r="J135" s="90" t="s">
        <v>65</v>
      </c>
      <c r="K135" s="90"/>
      <c r="L135" s="90"/>
      <c r="M135" s="91">
        <f>I135-K135</f>
        <v>35000</v>
      </c>
      <c r="N135" s="4">
        <f>IF(ISERROR(K135/I135),"",K135/I135)</f>
        <v>0</v>
      </c>
      <c r="O135" s="92">
        <f>I135/E135</f>
        <v>795.4545454545455</v>
      </c>
      <c r="P135" s="92">
        <f>K135/E135</f>
        <v>0</v>
      </c>
      <c r="Q135" s="80">
        <v>4</v>
      </c>
      <c r="R135" s="80">
        <v>2</v>
      </c>
      <c r="S135" s="80" t="s">
        <v>61</v>
      </c>
      <c r="T135" s="5">
        <v>146</v>
      </c>
      <c r="U135" s="9"/>
      <c r="W135" s="87">
        <f t="shared" si="116"/>
        <v>146.1</v>
      </c>
      <c r="X135" s="88">
        <f t="shared" si="116"/>
        <v>44</v>
      </c>
      <c r="Y135" s="93">
        <f t="shared" si="117"/>
        <v>180</v>
      </c>
      <c r="Z135" s="91">
        <f t="shared" si="117"/>
        <v>35000</v>
      </c>
      <c r="AA135" s="91">
        <f>K135</f>
        <v>0</v>
      </c>
      <c r="AB135" s="91">
        <f t="shared" si="113"/>
        <v>35000</v>
      </c>
      <c r="AC135" s="4">
        <f t="shared" si="113"/>
        <v>0</v>
      </c>
      <c r="AD135" s="92">
        <f t="shared" si="113"/>
        <v>795.4545454545455</v>
      </c>
      <c r="AE135" s="80" t="str">
        <f>S135</f>
        <v>계</v>
      </c>
      <c r="AF135" s="80" t="str">
        <f>Q135&amp;"/"&amp;R135</f>
        <v>4/2</v>
      </c>
      <c r="AH135" s="20" t="str">
        <f t="shared" si="114"/>
        <v>오창읍 오창이안</v>
      </c>
      <c r="AI135" s="88">
        <f t="shared" si="115"/>
        <v>44</v>
      </c>
      <c r="AJ135" s="80" t="str">
        <f>IF(AI135="","",$AJ$2)</f>
        <v>A-</v>
      </c>
      <c r="AK135" s="80" t="s">
        <v>13</v>
      </c>
      <c r="AL135" s="80" t="s">
        <v>62</v>
      </c>
      <c r="AM135" s="80" t="s">
        <v>63</v>
      </c>
      <c r="AN135" s="80" t="str">
        <f>IF(AI135="","",$AN$2)</f>
        <v>C</v>
      </c>
      <c r="AO135" s="80" t="str">
        <f>IF(N135="","",IF(N135&gt;=$AO$1/100,"O","X"))</f>
        <v>X</v>
      </c>
      <c r="AP135" s="80" t="str">
        <f>IF(I135="","",IF(I135&lt;=$AP$1,"O","X"))</f>
        <v>O</v>
      </c>
      <c r="AQ135" s="80" t="str">
        <f>IF(O135="","",IF(O135&lt;=$AQ$1,"O","X"))</f>
        <v>O</v>
      </c>
      <c r="AR135" s="80" t="str">
        <f>IF(M135="","",IF(M135&lt;=$AR$1,"O","X"))</f>
        <v>X</v>
      </c>
      <c r="AS135" s="80" t="s">
        <v>2</v>
      </c>
      <c r="AT135" s="80" t="str">
        <f>IF(OR(F135="",AI135=""),"",IF(AND((F135&lt;=85),(AI135&gt;=15)),"O","X"))</f>
        <v>X</v>
      </c>
      <c r="AU135" s="80" t="str">
        <f>IF(C135="","",IF(C135&gt;=$AU$1,"O","X"))</f>
        <v>O</v>
      </c>
      <c r="AV135" s="80" t="str">
        <f>IF(AO135="","",IF(AND(AO135="O",AP135="O",AR135="O",AT135="O",AU135="O"),"후보","X"))</f>
        <v>X</v>
      </c>
    </row>
    <row r="136" spans="1:48" s="37" customFormat="1" ht="12" x14ac:dyDescent="0.3">
      <c r="A136" s="75" t="s">
        <v>1168</v>
      </c>
      <c r="B136" s="76" t="s">
        <v>1169</v>
      </c>
      <c r="C136" s="86">
        <v>464</v>
      </c>
      <c r="D136" s="87">
        <v>81.2</v>
      </c>
      <c r="E136" s="88">
        <v>25</v>
      </c>
      <c r="F136" s="87">
        <v>60</v>
      </c>
      <c r="G136" s="17">
        <v>18</v>
      </c>
      <c r="H136" s="89">
        <v>170</v>
      </c>
      <c r="I136" s="90">
        <v>23000</v>
      </c>
      <c r="J136" s="90" t="s">
        <v>69</v>
      </c>
      <c r="K136" s="90">
        <v>22000</v>
      </c>
      <c r="L136" s="90" t="s">
        <v>80</v>
      </c>
      <c r="M136" s="91">
        <f>I136-K136</f>
        <v>1000</v>
      </c>
      <c r="N136" s="4">
        <f>IF(ISERROR(K136/I136),"",K136/I136)</f>
        <v>0.95652173913043481</v>
      </c>
      <c r="O136" s="92">
        <f>I136/E136</f>
        <v>920</v>
      </c>
      <c r="P136" s="92">
        <f>K136/E136</f>
        <v>880</v>
      </c>
      <c r="Q136" s="80">
        <v>3</v>
      </c>
      <c r="R136" s="80">
        <v>2</v>
      </c>
      <c r="S136" s="80" t="s">
        <v>61</v>
      </c>
      <c r="T136" s="5">
        <v>81</v>
      </c>
      <c r="U136" s="9"/>
      <c r="W136" s="87">
        <f>D136</f>
        <v>81.2</v>
      </c>
      <c r="X136" s="88">
        <f>E136</f>
        <v>25</v>
      </c>
      <c r="Y136" s="93">
        <f>H136</f>
        <v>170</v>
      </c>
      <c r="Z136" s="91">
        <f>I136</f>
        <v>23000</v>
      </c>
      <c r="AA136" s="91">
        <f>K136</f>
        <v>22000</v>
      </c>
      <c r="AB136" s="91">
        <f t="shared" si="113"/>
        <v>1000</v>
      </c>
      <c r="AC136" s="4">
        <f t="shared" si="113"/>
        <v>0.95652173913043481</v>
      </c>
      <c r="AD136" s="92">
        <f t="shared" si="113"/>
        <v>920</v>
      </c>
      <c r="AE136" s="80" t="str">
        <f>S136</f>
        <v>계</v>
      </c>
      <c r="AF136" s="80" t="str">
        <f>Q136&amp;"/"&amp;R136</f>
        <v>3/2</v>
      </c>
      <c r="AH136" s="20" t="str">
        <f t="shared" si="114"/>
        <v>오창읍 대원칸타빌</v>
      </c>
      <c r="AI136" s="88">
        <f t="shared" si="115"/>
        <v>25</v>
      </c>
      <c r="AJ136" s="80" t="str">
        <f>IF(AI136="","",$AJ$2)</f>
        <v>A-</v>
      </c>
      <c r="AK136" s="80" t="s">
        <v>13</v>
      </c>
      <c r="AL136" s="80" t="s">
        <v>62</v>
      </c>
      <c r="AM136" s="80" t="s">
        <v>63</v>
      </c>
      <c r="AN136" s="80" t="str">
        <f>IF(AI136="","",$AN$2)</f>
        <v>C</v>
      </c>
      <c r="AO136" s="80" t="str">
        <f>IF(N136="","",IF(N136&gt;=$AO$1/100,"O","X"))</f>
        <v>O</v>
      </c>
      <c r="AP136" s="80" t="str">
        <f>IF(I136="","",IF(I136&lt;=$AP$1,"O","X"))</f>
        <v>O</v>
      </c>
      <c r="AQ136" s="80" t="str">
        <f>IF(O136="","",IF(O136&lt;=$AQ$1,"O","X"))</f>
        <v>O</v>
      </c>
      <c r="AR136" s="80" t="str">
        <f>IF(M136="","",IF(M136&lt;=$AR$1,"O","X"))</f>
        <v>O</v>
      </c>
      <c r="AS136" s="80" t="s">
        <v>2</v>
      </c>
      <c r="AT136" s="80" t="str">
        <f>IF(OR(F136="",AI136=""),"",IF(AND((F136&lt;=85),(AI136&gt;=15)),"O","X"))</f>
        <v>O</v>
      </c>
      <c r="AU136" s="80" t="str">
        <f>IF(C136="","",IF(C136&gt;=$AU$1,"O","X"))</f>
        <v>O</v>
      </c>
      <c r="AV136" s="80" t="str">
        <f>IF(AO136="","",IF(AND(AO136="O",AP136="O",AR136="O",AT136="O",AU136="O"),"후보","X"))</f>
        <v>후보</v>
      </c>
    </row>
    <row r="137" spans="1:48" s="37" customFormat="1" ht="12" x14ac:dyDescent="0.3">
      <c r="A137" s="75" t="s">
        <v>1170</v>
      </c>
      <c r="B137" s="76" t="s">
        <v>1171</v>
      </c>
      <c r="C137" s="86">
        <v>464</v>
      </c>
      <c r="D137" s="87">
        <v>118.2</v>
      </c>
      <c r="E137" s="88">
        <v>36</v>
      </c>
      <c r="F137" s="87">
        <v>85</v>
      </c>
      <c r="G137" s="17">
        <v>26</v>
      </c>
      <c r="H137" s="89">
        <v>294</v>
      </c>
      <c r="I137" s="90">
        <v>30500</v>
      </c>
      <c r="J137" s="90" t="s">
        <v>66</v>
      </c>
      <c r="K137" s="90"/>
      <c r="L137" s="90"/>
      <c r="M137" s="91">
        <f>I137-K137</f>
        <v>30500</v>
      </c>
      <c r="N137" s="4">
        <f>IF(ISERROR(K137/I137),"",K137/I137)</f>
        <v>0</v>
      </c>
      <c r="O137" s="92">
        <f>I137/E137</f>
        <v>847.22222222222217</v>
      </c>
      <c r="P137" s="92">
        <f>K137/E137</f>
        <v>0</v>
      </c>
      <c r="Q137" s="80">
        <v>3</v>
      </c>
      <c r="R137" s="80">
        <v>2</v>
      </c>
      <c r="S137" s="80" t="s">
        <v>61</v>
      </c>
      <c r="T137" s="5">
        <v>118</v>
      </c>
      <c r="U137" s="9"/>
      <c r="W137" s="87">
        <f>D137</f>
        <v>118.2</v>
      </c>
      <c r="X137" s="88">
        <f>E137</f>
        <v>36</v>
      </c>
      <c r="Y137" s="93">
        <f>H137</f>
        <v>294</v>
      </c>
      <c r="Z137" s="91">
        <f>I137</f>
        <v>30500</v>
      </c>
      <c r="AA137" s="91">
        <f>K137</f>
        <v>0</v>
      </c>
      <c r="AB137" s="91">
        <f t="shared" si="113"/>
        <v>30500</v>
      </c>
      <c r="AC137" s="4">
        <f t="shared" si="113"/>
        <v>0</v>
      </c>
      <c r="AD137" s="92">
        <f t="shared" si="113"/>
        <v>847.22222222222217</v>
      </c>
      <c r="AE137" s="80" t="str">
        <f>S137</f>
        <v>계</v>
      </c>
      <c r="AF137" s="80" t="str">
        <f>Q137&amp;"/"&amp;R137</f>
        <v>3/2</v>
      </c>
      <c r="AH137" s="20" t="str">
        <f t="shared" si="114"/>
        <v>오창읍 대원칸타빌</v>
      </c>
      <c r="AI137" s="88">
        <f t="shared" si="115"/>
        <v>36</v>
      </c>
      <c r="AJ137" s="80" t="str">
        <f>IF(AI137="","",$AJ$2)</f>
        <v>A-</v>
      </c>
      <c r="AK137" s="80" t="s">
        <v>13</v>
      </c>
      <c r="AL137" s="80" t="s">
        <v>62</v>
      </c>
      <c r="AM137" s="80" t="s">
        <v>63</v>
      </c>
      <c r="AN137" s="80" t="str">
        <f>IF(AI137="","",$AN$2)</f>
        <v>C</v>
      </c>
      <c r="AO137" s="80" t="str">
        <f>IF(N137="","",IF(N137&gt;=$AO$1/100,"O","X"))</f>
        <v>X</v>
      </c>
      <c r="AP137" s="80" t="str">
        <f>IF(I137="","",IF(I137&lt;=$AP$1,"O","X"))</f>
        <v>O</v>
      </c>
      <c r="AQ137" s="80" t="str">
        <f>IF(O137="","",IF(O137&lt;=$AQ$1,"O","X"))</f>
        <v>O</v>
      </c>
      <c r="AR137" s="80" t="str">
        <f>IF(M137="","",IF(M137&lt;=$AR$1,"O","X"))</f>
        <v>X</v>
      </c>
      <c r="AS137" s="80" t="s">
        <v>2</v>
      </c>
      <c r="AT137" s="80" t="str">
        <f>IF(OR(F137="",AI137=""),"",IF(AND((F137&lt;=85),(AI137&gt;=15)),"O","X"))</f>
        <v>O</v>
      </c>
      <c r="AU137" s="80" t="str">
        <f>IF(C137="","",IF(C137&gt;=$AU$1,"O","X"))</f>
        <v>O</v>
      </c>
      <c r="AV137" s="80" t="str">
        <f>IF(AO137="","",IF(AND(AO137="O",AP137="O",AR137="O",AT137="O",AU137="O"),"후보","X"))</f>
        <v>X</v>
      </c>
    </row>
    <row r="138" spans="1:48" s="37" customFormat="1" ht="12" x14ac:dyDescent="0.3">
      <c r="A138" s="75" t="s">
        <v>1172</v>
      </c>
      <c r="B138" s="76" t="s">
        <v>1173</v>
      </c>
      <c r="C138" s="86">
        <v>572</v>
      </c>
      <c r="D138" s="87">
        <v>80</v>
      </c>
      <c r="E138" s="88">
        <v>24</v>
      </c>
      <c r="F138" s="87">
        <v>60</v>
      </c>
      <c r="G138" s="17">
        <v>18</v>
      </c>
      <c r="H138" s="89">
        <v>250</v>
      </c>
      <c r="I138" s="90"/>
      <c r="J138" s="90"/>
      <c r="K138" s="90"/>
      <c r="L138" s="90"/>
      <c r="M138" s="91">
        <f>I138-K138</f>
        <v>0</v>
      </c>
      <c r="N138" s="4" t="str">
        <f>IF(ISERROR(K138/I138),"",K138/I138)</f>
        <v/>
      </c>
      <c r="O138" s="92">
        <f>I138/E138</f>
        <v>0</v>
      </c>
      <c r="P138" s="92">
        <f>K138/E138</f>
        <v>0</v>
      </c>
      <c r="Q138" s="80">
        <v>3</v>
      </c>
      <c r="R138" s="80">
        <v>2</v>
      </c>
      <c r="S138" s="80" t="s">
        <v>61</v>
      </c>
      <c r="T138" s="5">
        <v>80</v>
      </c>
      <c r="U138" s="9"/>
      <c r="W138" s="87">
        <f t="shared" ref="W138:X150" si="118">D138</f>
        <v>80</v>
      </c>
      <c r="X138" s="88">
        <f t="shared" si="118"/>
        <v>24</v>
      </c>
      <c r="Y138" s="93">
        <f t="shared" ref="Y138:Z150" si="119">H138</f>
        <v>250</v>
      </c>
      <c r="Z138" s="91">
        <f t="shared" si="119"/>
        <v>0</v>
      </c>
      <c r="AA138" s="91">
        <f>K138</f>
        <v>0</v>
      </c>
      <c r="AB138" s="91">
        <f t="shared" si="113"/>
        <v>0</v>
      </c>
      <c r="AC138" s="4" t="str">
        <f t="shared" si="113"/>
        <v/>
      </c>
      <c r="AD138" s="92">
        <f t="shared" si="113"/>
        <v>0</v>
      </c>
      <c r="AE138" s="80" t="str">
        <f>S138</f>
        <v>계</v>
      </c>
      <c r="AF138" s="80" t="str">
        <f>Q138&amp;"/"&amp;R138</f>
        <v>3/2</v>
      </c>
      <c r="AH138" s="20" t="str">
        <f t="shared" si="114"/>
        <v>오창읍 오창반도유보라퍼스티지</v>
      </c>
      <c r="AI138" s="88">
        <f t="shared" si="115"/>
        <v>24</v>
      </c>
      <c r="AJ138" s="80" t="str">
        <f>IF(AI138="","",$AJ$2)</f>
        <v>A-</v>
      </c>
      <c r="AK138" s="80" t="s">
        <v>13</v>
      </c>
      <c r="AL138" s="80" t="s">
        <v>62</v>
      </c>
      <c r="AM138" s="80" t="s">
        <v>63</v>
      </c>
      <c r="AN138" s="80" t="str">
        <f>IF(AI138="","",$AN$2)</f>
        <v>C</v>
      </c>
      <c r="AO138" s="80" t="str">
        <f>IF(N138="","",IF(N138&gt;=$AO$1/100,"O","X"))</f>
        <v/>
      </c>
      <c r="AP138" s="80" t="str">
        <f>IF(I138="","",IF(I138&lt;=$AP$1,"O","X"))</f>
        <v/>
      </c>
      <c r="AQ138" s="80" t="str">
        <f>IF(O138="","",IF(O138&lt;=$AQ$1,"O","X"))</f>
        <v>O</v>
      </c>
      <c r="AR138" s="80" t="str">
        <f>IF(M138="","",IF(M138&lt;=$AR$1,"O","X"))</f>
        <v>O</v>
      </c>
      <c r="AS138" s="80" t="s">
        <v>2</v>
      </c>
      <c r="AT138" s="80" t="str">
        <f>IF(OR(F138="",AI138=""),"",IF(AND((F138&lt;=85),(AI138&gt;=15)),"O","X"))</f>
        <v>O</v>
      </c>
      <c r="AU138" s="80" t="str">
        <f>IF(C138="","",IF(C138&gt;=$AU$1,"O","X"))</f>
        <v>O</v>
      </c>
      <c r="AV138" s="80" t="str">
        <f>IF(AO138="","",IF(AND(AO138="O",AP138="O",AR138="O",AT138="O",AU138="O"),"후보","X"))</f>
        <v/>
      </c>
    </row>
    <row r="139" spans="1:48" s="37" customFormat="1" ht="12" x14ac:dyDescent="0.3">
      <c r="A139" s="75" t="s">
        <v>1172</v>
      </c>
      <c r="B139" s="76" t="s">
        <v>1173</v>
      </c>
      <c r="C139" s="86">
        <v>572</v>
      </c>
      <c r="D139" s="87">
        <v>100.3</v>
      </c>
      <c r="E139" s="88">
        <v>30</v>
      </c>
      <c r="F139" s="87">
        <v>74.5</v>
      </c>
      <c r="G139" s="17">
        <v>23</v>
      </c>
      <c r="H139" s="89">
        <v>74</v>
      </c>
      <c r="I139" s="90"/>
      <c r="J139" s="90"/>
      <c r="K139" s="90"/>
      <c r="L139" s="90"/>
      <c r="M139" s="91">
        <f>I139-K139</f>
        <v>0</v>
      </c>
      <c r="N139" s="4" t="str">
        <f>IF(ISERROR(K139/I139),"",K139/I139)</f>
        <v/>
      </c>
      <c r="O139" s="92">
        <f>I139/E139</f>
        <v>0</v>
      </c>
      <c r="P139" s="92">
        <f>K139/E139</f>
        <v>0</v>
      </c>
      <c r="Q139" s="80">
        <v>3</v>
      </c>
      <c r="R139" s="80">
        <v>2</v>
      </c>
      <c r="S139" s="80" t="s">
        <v>61</v>
      </c>
      <c r="T139" s="5">
        <v>100</v>
      </c>
      <c r="U139" s="9"/>
      <c r="W139" s="87">
        <f t="shared" si="118"/>
        <v>100.3</v>
      </c>
      <c r="X139" s="88">
        <f t="shared" si="118"/>
        <v>30</v>
      </c>
      <c r="Y139" s="93">
        <f t="shared" si="119"/>
        <v>74</v>
      </c>
      <c r="Z139" s="91">
        <f t="shared" si="119"/>
        <v>0</v>
      </c>
      <c r="AA139" s="91">
        <f>K139</f>
        <v>0</v>
      </c>
      <c r="AB139" s="91">
        <f t="shared" si="113"/>
        <v>0</v>
      </c>
      <c r="AC139" s="4" t="str">
        <f t="shared" si="113"/>
        <v/>
      </c>
      <c r="AD139" s="92">
        <f t="shared" si="113"/>
        <v>0</v>
      </c>
      <c r="AE139" s="80" t="str">
        <f>S139</f>
        <v>계</v>
      </c>
      <c r="AF139" s="80" t="str">
        <f>Q139&amp;"/"&amp;R139</f>
        <v>3/2</v>
      </c>
      <c r="AH139" s="20" t="str">
        <f t="shared" si="114"/>
        <v>오창읍 오창반도유보라퍼스티지</v>
      </c>
      <c r="AI139" s="88">
        <f t="shared" si="115"/>
        <v>30</v>
      </c>
      <c r="AJ139" s="80" t="str">
        <f>IF(AI139="","",$AJ$2)</f>
        <v>A-</v>
      </c>
      <c r="AK139" s="80" t="s">
        <v>13</v>
      </c>
      <c r="AL139" s="80" t="s">
        <v>62</v>
      </c>
      <c r="AM139" s="80" t="s">
        <v>63</v>
      </c>
      <c r="AN139" s="80" t="str">
        <f>IF(AI139="","",$AN$2)</f>
        <v>C</v>
      </c>
      <c r="AO139" s="80" t="str">
        <f>IF(N139="","",IF(N139&gt;=$AO$1/100,"O","X"))</f>
        <v/>
      </c>
      <c r="AP139" s="80" t="str">
        <f>IF(I139="","",IF(I139&lt;=$AP$1,"O","X"))</f>
        <v/>
      </c>
      <c r="AQ139" s="80" t="str">
        <f>IF(O139="","",IF(O139&lt;=$AQ$1,"O","X"))</f>
        <v>O</v>
      </c>
      <c r="AR139" s="80" t="str">
        <f>IF(M139="","",IF(M139&lt;=$AR$1,"O","X"))</f>
        <v>O</v>
      </c>
      <c r="AS139" s="80" t="s">
        <v>2</v>
      </c>
      <c r="AT139" s="80" t="str">
        <f>IF(OR(F139="",AI139=""),"",IF(AND((F139&lt;=85),(AI139&gt;=15)),"O","X"))</f>
        <v>O</v>
      </c>
      <c r="AU139" s="80" t="str">
        <f>IF(C139="","",IF(C139&gt;=$AU$1,"O","X"))</f>
        <v>O</v>
      </c>
      <c r="AV139" s="80" t="str">
        <f>IF(AO139="","",IF(AND(AO139="O",AP139="O",AR139="O",AT139="O",AU139="O"),"후보","X"))</f>
        <v/>
      </c>
    </row>
    <row r="140" spans="1:48" s="37" customFormat="1" ht="12" x14ac:dyDescent="0.3">
      <c r="A140" s="75" t="s">
        <v>1038</v>
      </c>
      <c r="B140" s="76" t="s">
        <v>1039</v>
      </c>
      <c r="C140" s="86">
        <v>572</v>
      </c>
      <c r="D140" s="87">
        <v>112.2</v>
      </c>
      <c r="E140" s="88">
        <v>34</v>
      </c>
      <c r="F140" s="87">
        <v>84.9</v>
      </c>
      <c r="G140" s="17">
        <v>26</v>
      </c>
      <c r="H140" s="89">
        <v>100</v>
      </c>
      <c r="I140" s="90"/>
      <c r="J140" s="90"/>
      <c r="K140" s="90"/>
      <c r="L140" s="90"/>
      <c r="M140" s="91">
        <f>I140-K140</f>
        <v>0</v>
      </c>
      <c r="N140" s="4" t="str">
        <f>IF(ISERROR(K140/I140),"",K140/I140)</f>
        <v/>
      </c>
      <c r="O140" s="92">
        <f>I140/E140</f>
        <v>0</v>
      </c>
      <c r="P140" s="92">
        <f>K140/E140</f>
        <v>0</v>
      </c>
      <c r="Q140" s="80">
        <v>3</v>
      </c>
      <c r="R140" s="80">
        <v>2</v>
      </c>
      <c r="S140" s="80" t="s">
        <v>61</v>
      </c>
      <c r="T140" s="5" t="s">
        <v>88</v>
      </c>
      <c r="U140" s="9"/>
      <c r="W140" s="87">
        <f t="shared" si="118"/>
        <v>112.2</v>
      </c>
      <c r="X140" s="88">
        <f t="shared" si="118"/>
        <v>34</v>
      </c>
      <c r="Y140" s="93">
        <f t="shared" si="119"/>
        <v>100</v>
      </c>
      <c r="Z140" s="91">
        <f t="shared" si="119"/>
        <v>0</v>
      </c>
      <c r="AA140" s="91">
        <f>K140</f>
        <v>0</v>
      </c>
      <c r="AB140" s="91">
        <f t="shared" si="113"/>
        <v>0</v>
      </c>
      <c r="AC140" s="4" t="str">
        <f t="shared" si="113"/>
        <v/>
      </c>
      <c r="AD140" s="92">
        <f t="shared" si="113"/>
        <v>0</v>
      </c>
      <c r="AE140" s="80" t="str">
        <f>S140</f>
        <v>계</v>
      </c>
      <c r="AF140" s="80" t="str">
        <f>Q140&amp;"/"&amp;R140</f>
        <v>3/2</v>
      </c>
      <c r="AH140" s="20" t="str">
        <f t="shared" si="114"/>
        <v>오창읍 오창반도유보라퍼스티지</v>
      </c>
      <c r="AI140" s="88">
        <f t="shared" si="115"/>
        <v>34</v>
      </c>
      <c r="AJ140" s="80" t="str">
        <f>IF(AI140="","",$AJ$2)</f>
        <v>A-</v>
      </c>
      <c r="AK140" s="80" t="s">
        <v>13</v>
      </c>
      <c r="AL140" s="80" t="s">
        <v>62</v>
      </c>
      <c r="AM140" s="80" t="s">
        <v>63</v>
      </c>
      <c r="AN140" s="80" t="str">
        <f>IF(AI140="","",$AN$2)</f>
        <v>C</v>
      </c>
      <c r="AO140" s="80" t="str">
        <f>IF(N140="","",IF(N140&gt;=$AO$1/100,"O","X"))</f>
        <v/>
      </c>
      <c r="AP140" s="80" t="str">
        <f>IF(I140="","",IF(I140&lt;=$AP$1,"O","X"))</f>
        <v/>
      </c>
      <c r="AQ140" s="80" t="str">
        <f>IF(O140="","",IF(O140&lt;=$AQ$1,"O","X"))</f>
        <v>O</v>
      </c>
      <c r="AR140" s="80" t="str">
        <f>IF(M140="","",IF(M140&lt;=$AR$1,"O","X"))</f>
        <v>O</v>
      </c>
      <c r="AS140" s="80" t="s">
        <v>2</v>
      </c>
      <c r="AT140" s="80" t="str">
        <f>IF(OR(F140="",AI140=""),"",IF(AND((F140&lt;=85),(AI140&gt;=15)),"O","X"))</f>
        <v>O</v>
      </c>
      <c r="AU140" s="80" t="str">
        <f>IF(C140="","",IF(C140&gt;=$AU$1,"O","X"))</f>
        <v>O</v>
      </c>
      <c r="AV140" s="80" t="str">
        <f>IF(AO140="","",IF(AND(AO140="O",AP140="O",AR140="O",AT140="O",AU140="O"),"후보","X"))</f>
        <v/>
      </c>
    </row>
    <row r="141" spans="1:48" s="37" customFormat="1" ht="12" x14ac:dyDescent="0.3">
      <c r="A141" s="75" t="s">
        <v>1038</v>
      </c>
      <c r="B141" s="76" t="s">
        <v>1039</v>
      </c>
      <c r="C141" s="86">
        <v>572</v>
      </c>
      <c r="D141" s="87">
        <v>114</v>
      </c>
      <c r="E141" s="88">
        <v>34</v>
      </c>
      <c r="F141" s="87">
        <v>85</v>
      </c>
      <c r="G141" s="17">
        <v>26</v>
      </c>
      <c r="H141" s="89">
        <v>74</v>
      </c>
      <c r="I141" s="90"/>
      <c r="J141" s="90"/>
      <c r="K141" s="90"/>
      <c r="L141" s="90"/>
      <c r="M141" s="91">
        <f>I141-K141</f>
        <v>0</v>
      </c>
      <c r="N141" s="4" t="str">
        <f>IF(ISERROR(K141/I141),"",K141/I141)</f>
        <v/>
      </c>
      <c r="O141" s="92">
        <f>I141/E141</f>
        <v>0</v>
      </c>
      <c r="P141" s="92">
        <f>K141/E141</f>
        <v>0</v>
      </c>
      <c r="Q141" s="80">
        <v>3</v>
      </c>
      <c r="R141" s="80">
        <v>2</v>
      </c>
      <c r="S141" s="80" t="s">
        <v>61</v>
      </c>
      <c r="T141" s="5" t="s">
        <v>76</v>
      </c>
      <c r="U141" s="9"/>
      <c r="W141" s="87">
        <f t="shared" si="118"/>
        <v>114</v>
      </c>
      <c r="X141" s="88">
        <f t="shared" si="118"/>
        <v>34</v>
      </c>
      <c r="Y141" s="93">
        <f t="shared" si="119"/>
        <v>74</v>
      </c>
      <c r="Z141" s="91">
        <f t="shared" si="119"/>
        <v>0</v>
      </c>
      <c r="AA141" s="91">
        <f>K141</f>
        <v>0</v>
      </c>
      <c r="AB141" s="91">
        <f t="shared" si="113"/>
        <v>0</v>
      </c>
      <c r="AC141" s="4" t="str">
        <f t="shared" si="113"/>
        <v/>
      </c>
      <c r="AD141" s="92">
        <f t="shared" si="113"/>
        <v>0</v>
      </c>
      <c r="AE141" s="80" t="str">
        <f>S141</f>
        <v>계</v>
      </c>
      <c r="AF141" s="80" t="str">
        <f>Q141&amp;"/"&amp;R141</f>
        <v>3/2</v>
      </c>
      <c r="AH141" s="20" t="str">
        <f t="shared" si="114"/>
        <v>오창읍 오창반도유보라퍼스티지</v>
      </c>
      <c r="AI141" s="88">
        <f t="shared" si="115"/>
        <v>34</v>
      </c>
      <c r="AJ141" s="80" t="str">
        <f>IF(AI141="","",$AJ$2)</f>
        <v>A-</v>
      </c>
      <c r="AK141" s="80" t="s">
        <v>13</v>
      </c>
      <c r="AL141" s="80" t="s">
        <v>62</v>
      </c>
      <c r="AM141" s="80" t="s">
        <v>63</v>
      </c>
      <c r="AN141" s="80" t="str">
        <f>IF(AI141="","",$AN$2)</f>
        <v>C</v>
      </c>
      <c r="AO141" s="80" t="str">
        <f>IF(N141="","",IF(N141&gt;=$AO$1/100,"O","X"))</f>
        <v/>
      </c>
      <c r="AP141" s="80" t="str">
        <f>IF(I141="","",IF(I141&lt;=$AP$1,"O","X"))</f>
        <v/>
      </c>
      <c r="AQ141" s="80" t="str">
        <f>IF(O141="","",IF(O141&lt;=$AQ$1,"O","X"))</f>
        <v>O</v>
      </c>
      <c r="AR141" s="80" t="str">
        <f>IF(M141="","",IF(M141&lt;=$AR$1,"O","X"))</f>
        <v>O</v>
      </c>
      <c r="AS141" s="80" t="s">
        <v>2</v>
      </c>
      <c r="AT141" s="80" t="str">
        <f>IF(OR(F141="",AI141=""),"",IF(AND((F141&lt;=85),(AI141&gt;=15)),"O","X"))</f>
        <v>O</v>
      </c>
      <c r="AU141" s="80" t="str">
        <f>IF(C141="","",IF(C141&gt;=$AU$1,"O","X"))</f>
        <v>O</v>
      </c>
      <c r="AV141" s="80" t="str">
        <f>IF(AO141="","",IF(AND(AO141="O",AP141="O",AR141="O",AT141="O",AU141="O"),"후보","X"))</f>
        <v/>
      </c>
    </row>
    <row r="142" spans="1:48" s="37" customFormat="1" ht="12" x14ac:dyDescent="0.3">
      <c r="A142" s="75" t="s">
        <v>1174</v>
      </c>
      <c r="B142" s="76" t="s">
        <v>1175</v>
      </c>
      <c r="C142" s="86">
        <v>572</v>
      </c>
      <c r="D142" s="87">
        <v>113</v>
      </c>
      <c r="E142" s="88">
        <v>34</v>
      </c>
      <c r="F142" s="87">
        <v>84.8</v>
      </c>
      <c r="G142" s="17">
        <v>26</v>
      </c>
      <c r="H142" s="89">
        <v>74</v>
      </c>
      <c r="I142" s="90"/>
      <c r="J142" s="90"/>
      <c r="K142" s="90"/>
      <c r="L142" s="90"/>
      <c r="M142" s="91">
        <f>I142-K142</f>
        <v>0</v>
      </c>
      <c r="N142" s="4" t="str">
        <f>IF(ISERROR(K142/I142),"",K142/I142)</f>
        <v/>
      </c>
      <c r="O142" s="92">
        <f>I142/E142</f>
        <v>0</v>
      </c>
      <c r="P142" s="92">
        <f>K142/E142</f>
        <v>0</v>
      </c>
      <c r="Q142" s="80">
        <v>3</v>
      </c>
      <c r="R142" s="80">
        <v>2</v>
      </c>
      <c r="S142" s="80" t="s">
        <v>61</v>
      </c>
      <c r="T142" s="5" t="s">
        <v>443</v>
      </c>
      <c r="U142" s="9"/>
      <c r="W142" s="87">
        <f t="shared" si="118"/>
        <v>113</v>
      </c>
      <c r="X142" s="88">
        <f t="shared" si="118"/>
        <v>34</v>
      </c>
      <c r="Y142" s="93">
        <f t="shared" si="119"/>
        <v>74</v>
      </c>
      <c r="Z142" s="91">
        <f t="shared" si="119"/>
        <v>0</v>
      </c>
      <c r="AA142" s="91">
        <f>K142</f>
        <v>0</v>
      </c>
      <c r="AB142" s="91">
        <f t="shared" ref="AB142:AD150" si="120">M142</f>
        <v>0</v>
      </c>
      <c r="AC142" s="4" t="str">
        <f t="shared" si="120"/>
        <v/>
      </c>
      <c r="AD142" s="92">
        <f t="shared" si="120"/>
        <v>0</v>
      </c>
      <c r="AE142" s="80" t="str">
        <f>S142</f>
        <v>계</v>
      </c>
      <c r="AF142" s="80" t="str">
        <f>Q142&amp;"/"&amp;R142</f>
        <v>3/2</v>
      </c>
      <c r="AH142" s="20" t="str">
        <f t="shared" si="114"/>
        <v>오창읍 오창반도유보라퍼스티지</v>
      </c>
      <c r="AI142" s="88">
        <f t="shared" si="115"/>
        <v>34</v>
      </c>
      <c r="AJ142" s="80" t="str">
        <f>IF(AI142="","",$AJ$2)</f>
        <v>A-</v>
      </c>
      <c r="AK142" s="80" t="s">
        <v>13</v>
      </c>
      <c r="AL142" s="80" t="s">
        <v>62</v>
      </c>
      <c r="AM142" s="80" t="s">
        <v>63</v>
      </c>
      <c r="AN142" s="80" t="str">
        <f>IF(AI142="","",$AN$2)</f>
        <v>C</v>
      </c>
      <c r="AO142" s="80" t="str">
        <f>IF(N142="","",IF(N142&gt;=$AO$1/100,"O","X"))</f>
        <v/>
      </c>
      <c r="AP142" s="80" t="str">
        <f>IF(I142="","",IF(I142&lt;=$AP$1,"O","X"))</f>
        <v/>
      </c>
      <c r="AQ142" s="80" t="str">
        <f>IF(O142="","",IF(O142&lt;=$AQ$1,"O","X"))</f>
        <v>O</v>
      </c>
      <c r="AR142" s="80" t="str">
        <f>IF(M142="","",IF(M142&lt;=$AR$1,"O","X"))</f>
        <v>O</v>
      </c>
      <c r="AS142" s="80" t="s">
        <v>2</v>
      </c>
      <c r="AT142" s="80" t="str">
        <f>IF(OR(F142="",AI142=""),"",IF(AND((F142&lt;=85),(AI142&gt;=15)),"O","X"))</f>
        <v>O</v>
      </c>
      <c r="AU142" s="80" t="str">
        <f>IF(C142="","",IF(C142&gt;=$AU$1,"O","X"))</f>
        <v>O</v>
      </c>
      <c r="AV142" s="80" t="str">
        <f>IF(AO142="","",IF(AND(AO142="O",AP142="O",AR142="O",AT142="O",AU142="O"),"후보","X"))</f>
        <v/>
      </c>
    </row>
    <row r="143" spans="1:48" s="37" customFormat="1" ht="12" x14ac:dyDescent="0.3">
      <c r="A143" s="75" t="s">
        <v>1176</v>
      </c>
      <c r="B143" s="76" t="s">
        <v>1040</v>
      </c>
      <c r="C143" s="86">
        <v>948</v>
      </c>
      <c r="D143" s="87">
        <v>86.4</v>
      </c>
      <c r="E143" s="88">
        <v>26</v>
      </c>
      <c r="F143" s="87">
        <v>60</v>
      </c>
      <c r="G143" s="17">
        <v>18</v>
      </c>
      <c r="H143" s="89">
        <v>315</v>
      </c>
      <c r="I143" s="90">
        <v>24000</v>
      </c>
      <c r="J143" s="90" t="s">
        <v>65</v>
      </c>
      <c r="K143" s="90"/>
      <c r="L143" s="90"/>
      <c r="M143" s="91">
        <f>I143-K143</f>
        <v>24000</v>
      </c>
      <c r="N143" s="4">
        <f>IF(ISERROR(K143/I143),"",K143/I143)</f>
        <v>0</v>
      </c>
      <c r="O143" s="92">
        <f>I143/E143</f>
        <v>923.07692307692309</v>
      </c>
      <c r="P143" s="92">
        <f>K143/E143</f>
        <v>0</v>
      </c>
      <c r="Q143" s="80">
        <v>3</v>
      </c>
      <c r="R143" s="80">
        <v>2</v>
      </c>
      <c r="S143" s="80" t="s">
        <v>61</v>
      </c>
      <c r="T143" s="5">
        <v>86</v>
      </c>
      <c r="U143" s="9"/>
      <c r="W143" s="87">
        <f t="shared" si="118"/>
        <v>86.4</v>
      </c>
      <c r="X143" s="88">
        <f t="shared" si="118"/>
        <v>26</v>
      </c>
      <c r="Y143" s="93">
        <f t="shared" si="119"/>
        <v>315</v>
      </c>
      <c r="Z143" s="91">
        <f t="shared" si="119"/>
        <v>24000</v>
      </c>
      <c r="AA143" s="91">
        <f>K143</f>
        <v>0</v>
      </c>
      <c r="AB143" s="91">
        <f t="shared" si="120"/>
        <v>24000</v>
      </c>
      <c r="AC143" s="4">
        <f t="shared" si="120"/>
        <v>0</v>
      </c>
      <c r="AD143" s="92">
        <f t="shared" si="120"/>
        <v>923.07692307692309</v>
      </c>
      <c r="AE143" s="80" t="str">
        <f>S143</f>
        <v>계</v>
      </c>
      <c r="AF143" s="80" t="str">
        <f>Q143&amp;"/"&amp;R143</f>
        <v>3/2</v>
      </c>
      <c r="AH143" s="20" t="str">
        <f t="shared" si="114"/>
        <v>오창읍 코아루</v>
      </c>
      <c r="AI143" s="88">
        <f t="shared" si="115"/>
        <v>26</v>
      </c>
      <c r="AJ143" s="80" t="str">
        <f>IF(AI143="","",$AJ$2)</f>
        <v>A-</v>
      </c>
      <c r="AK143" s="80" t="s">
        <v>13</v>
      </c>
      <c r="AL143" s="80" t="s">
        <v>62</v>
      </c>
      <c r="AM143" s="80" t="s">
        <v>63</v>
      </c>
      <c r="AN143" s="80" t="str">
        <f>IF(AI143="","",$AN$2)</f>
        <v>C</v>
      </c>
      <c r="AO143" s="80" t="str">
        <f>IF(N143="","",IF(N143&gt;=$AO$1/100,"O","X"))</f>
        <v>X</v>
      </c>
      <c r="AP143" s="80" t="str">
        <f>IF(I143="","",IF(I143&lt;=$AP$1,"O","X"))</f>
        <v>O</v>
      </c>
      <c r="AQ143" s="80" t="str">
        <f>IF(O143="","",IF(O143&lt;=$AQ$1,"O","X"))</f>
        <v>O</v>
      </c>
      <c r="AR143" s="80" t="str">
        <f>IF(M143="","",IF(M143&lt;=$AR$1,"O","X"))</f>
        <v>X</v>
      </c>
      <c r="AS143" s="80" t="s">
        <v>2</v>
      </c>
      <c r="AT143" s="80" t="str">
        <f>IF(OR(F143="",AI143=""),"",IF(AND((F143&lt;=85),(AI143&gt;=15)),"O","X"))</f>
        <v>O</v>
      </c>
      <c r="AU143" s="80" t="str">
        <f>IF(C143="","",IF(C143&gt;=$AU$1,"O","X"))</f>
        <v>O</v>
      </c>
      <c r="AV143" s="80" t="str">
        <f>IF(AO143="","",IF(AND(AO143="O",AP143="O",AR143="O",AT143="O",AU143="O"),"후보","X"))</f>
        <v>X</v>
      </c>
    </row>
    <row r="144" spans="1:48" s="37" customFormat="1" ht="12" x14ac:dyDescent="0.3">
      <c r="A144" s="75" t="s">
        <v>1176</v>
      </c>
      <c r="B144" s="76" t="s">
        <v>1040</v>
      </c>
      <c r="C144" s="86">
        <v>948</v>
      </c>
      <c r="D144" s="87">
        <v>116.4</v>
      </c>
      <c r="E144" s="88">
        <v>35</v>
      </c>
      <c r="F144" s="87">
        <v>85</v>
      </c>
      <c r="G144" s="17">
        <v>26</v>
      </c>
      <c r="H144" s="89">
        <v>314</v>
      </c>
      <c r="I144" s="90">
        <v>35000</v>
      </c>
      <c r="J144" s="90" t="s">
        <v>106</v>
      </c>
      <c r="K144" s="90">
        <v>30000</v>
      </c>
      <c r="L144" s="90" t="s">
        <v>65</v>
      </c>
      <c r="M144" s="91">
        <f>I144-K144</f>
        <v>5000</v>
      </c>
      <c r="N144" s="4">
        <f>IF(ISERROR(K144/I144),"",K144/I144)</f>
        <v>0.8571428571428571</v>
      </c>
      <c r="O144" s="92">
        <f>I144/E144</f>
        <v>1000</v>
      </c>
      <c r="P144" s="92">
        <f>K144/E144</f>
        <v>857.14285714285711</v>
      </c>
      <c r="Q144" s="80">
        <v>3</v>
      </c>
      <c r="R144" s="80">
        <v>2</v>
      </c>
      <c r="S144" s="80" t="s">
        <v>61</v>
      </c>
      <c r="T144" s="5" t="s">
        <v>82</v>
      </c>
      <c r="U144" s="9"/>
      <c r="W144" s="87">
        <f t="shared" si="118"/>
        <v>116.4</v>
      </c>
      <c r="X144" s="88">
        <f t="shared" si="118"/>
        <v>35</v>
      </c>
      <c r="Y144" s="93">
        <f t="shared" si="119"/>
        <v>314</v>
      </c>
      <c r="Z144" s="91">
        <f t="shared" si="119"/>
        <v>35000</v>
      </c>
      <c r="AA144" s="91">
        <f>K144</f>
        <v>30000</v>
      </c>
      <c r="AB144" s="91">
        <f t="shared" si="120"/>
        <v>5000</v>
      </c>
      <c r="AC144" s="4">
        <f t="shared" si="120"/>
        <v>0.8571428571428571</v>
      </c>
      <c r="AD144" s="92">
        <f t="shared" si="120"/>
        <v>1000</v>
      </c>
      <c r="AE144" s="80" t="str">
        <f>S144</f>
        <v>계</v>
      </c>
      <c r="AF144" s="80" t="str">
        <f>Q144&amp;"/"&amp;R144</f>
        <v>3/2</v>
      </c>
      <c r="AH144" s="20" t="str">
        <f t="shared" si="114"/>
        <v>오창읍 코아루</v>
      </c>
      <c r="AI144" s="88">
        <f t="shared" si="115"/>
        <v>35</v>
      </c>
      <c r="AJ144" s="80" t="str">
        <f>IF(AI144="","",$AJ$2)</f>
        <v>A-</v>
      </c>
      <c r="AK144" s="80" t="s">
        <v>13</v>
      </c>
      <c r="AL144" s="80" t="s">
        <v>62</v>
      </c>
      <c r="AM144" s="80" t="s">
        <v>63</v>
      </c>
      <c r="AN144" s="80" t="str">
        <f>IF(AI144="","",$AN$2)</f>
        <v>C</v>
      </c>
      <c r="AO144" s="80" t="str">
        <f>IF(N144="","",IF(N144&gt;=$AO$1/100,"O","X"))</f>
        <v>O</v>
      </c>
      <c r="AP144" s="80" t="str">
        <f>IF(I144="","",IF(I144&lt;=$AP$1,"O","X"))</f>
        <v>O</v>
      </c>
      <c r="AQ144" s="80" t="str">
        <f>IF(O144="","",IF(O144&lt;=$AQ$1,"O","X"))</f>
        <v>O</v>
      </c>
      <c r="AR144" s="80" t="str">
        <f>IF(M144="","",IF(M144&lt;=$AR$1,"O","X"))</f>
        <v>O</v>
      </c>
      <c r="AS144" s="80" t="s">
        <v>2</v>
      </c>
      <c r="AT144" s="80" t="str">
        <f>IF(OR(F144="",AI144=""),"",IF(AND((F144&lt;=85),(AI144&gt;=15)),"O","X"))</f>
        <v>O</v>
      </c>
      <c r="AU144" s="80" t="str">
        <f>IF(C144="","",IF(C144&gt;=$AU$1,"O","X"))</f>
        <v>O</v>
      </c>
      <c r="AV144" s="80" t="str">
        <f>IF(AO144="","",IF(AND(AO144="O",AP144="O",AR144="O",AT144="O",AU144="O"),"후보","X"))</f>
        <v>후보</v>
      </c>
    </row>
    <row r="145" spans="1:48" s="37" customFormat="1" ht="12" x14ac:dyDescent="0.3">
      <c r="A145" s="75" t="s">
        <v>1176</v>
      </c>
      <c r="B145" s="76" t="s">
        <v>1040</v>
      </c>
      <c r="C145" s="86">
        <v>948</v>
      </c>
      <c r="D145" s="87">
        <v>116.8</v>
      </c>
      <c r="E145" s="88">
        <v>35</v>
      </c>
      <c r="F145" s="87">
        <v>85</v>
      </c>
      <c r="G145" s="17">
        <v>26</v>
      </c>
      <c r="H145" s="89">
        <v>177</v>
      </c>
      <c r="I145" s="90">
        <v>32500</v>
      </c>
      <c r="J145" s="90" t="s">
        <v>70</v>
      </c>
      <c r="K145" s="90"/>
      <c r="L145" s="90"/>
      <c r="M145" s="91">
        <f>I145-K145</f>
        <v>32500</v>
      </c>
      <c r="N145" s="4">
        <f>IF(ISERROR(K145/I145),"",K145/I145)</f>
        <v>0</v>
      </c>
      <c r="O145" s="92">
        <f>I145/E145</f>
        <v>928.57142857142856</v>
      </c>
      <c r="P145" s="92">
        <f>K145/E145</f>
        <v>0</v>
      </c>
      <c r="Q145" s="80">
        <v>3</v>
      </c>
      <c r="R145" s="80">
        <v>2</v>
      </c>
      <c r="S145" s="80" t="s">
        <v>61</v>
      </c>
      <c r="T145" s="5" t="s">
        <v>545</v>
      </c>
      <c r="U145" s="9"/>
      <c r="W145" s="87">
        <f t="shared" si="118"/>
        <v>116.8</v>
      </c>
      <c r="X145" s="88">
        <f t="shared" si="118"/>
        <v>35</v>
      </c>
      <c r="Y145" s="93">
        <f t="shared" si="119"/>
        <v>177</v>
      </c>
      <c r="Z145" s="91">
        <f t="shared" si="119"/>
        <v>32500</v>
      </c>
      <c r="AA145" s="91">
        <f>K145</f>
        <v>0</v>
      </c>
      <c r="AB145" s="91">
        <f t="shared" si="120"/>
        <v>32500</v>
      </c>
      <c r="AC145" s="4">
        <f t="shared" si="120"/>
        <v>0</v>
      </c>
      <c r="AD145" s="92">
        <f t="shared" si="120"/>
        <v>928.57142857142856</v>
      </c>
      <c r="AE145" s="80" t="str">
        <f>S145</f>
        <v>계</v>
      </c>
      <c r="AF145" s="80" t="str">
        <f>Q145&amp;"/"&amp;R145</f>
        <v>3/2</v>
      </c>
      <c r="AH145" s="20" t="str">
        <f t="shared" si="114"/>
        <v>오창읍 코아루</v>
      </c>
      <c r="AI145" s="88">
        <f t="shared" si="115"/>
        <v>35</v>
      </c>
      <c r="AJ145" s="80" t="str">
        <f>IF(AI145="","",$AJ$2)</f>
        <v>A-</v>
      </c>
      <c r="AK145" s="80" t="s">
        <v>13</v>
      </c>
      <c r="AL145" s="80" t="s">
        <v>62</v>
      </c>
      <c r="AM145" s="80" t="s">
        <v>63</v>
      </c>
      <c r="AN145" s="80" t="str">
        <f>IF(AI145="","",$AN$2)</f>
        <v>C</v>
      </c>
      <c r="AO145" s="80" t="str">
        <f>IF(N145="","",IF(N145&gt;=$AO$1/100,"O","X"))</f>
        <v>X</v>
      </c>
      <c r="AP145" s="80" t="str">
        <f>IF(I145="","",IF(I145&lt;=$AP$1,"O","X"))</f>
        <v>O</v>
      </c>
      <c r="AQ145" s="80" t="str">
        <f>IF(O145="","",IF(O145&lt;=$AQ$1,"O","X"))</f>
        <v>O</v>
      </c>
      <c r="AR145" s="80" t="str">
        <f>IF(M145="","",IF(M145&lt;=$AR$1,"O","X"))</f>
        <v>X</v>
      </c>
      <c r="AS145" s="80" t="s">
        <v>2</v>
      </c>
      <c r="AT145" s="80" t="str">
        <f>IF(OR(F145="",AI145=""),"",IF(AND((F145&lt;=85),(AI145&gt;=15)),"O","X"))</f>
        <v>O</v>
      </c>
      <c r="AU145" s="80" t="str">
        <f>IF(C145="","",IF(C145&gt;=$AU$1,"O","X"))</f>
        <v>O</v>
      </c>
      <c r="AV145" s="80" t="str">
        <f>IF(AO145="","",IF(AND(AO145="O",AP145="O",AR145="O",AT145="O",AU145="O"),"후보","X"))</f>
        <v>X</v>
      </c>
    </row>
    <row r="146" spans="1:48" s="37" customFormat="1" ht="12" x14ac:dyDescent="0.3">
      <c r="A146" s="75" t="s">
        <v>1176</v>
      </c>
      <c r="B146" s="76" t="s">
        <v>1177</v>
      </c>
      <c r="C146" s="86">
        <v>948</v>
      </c>
      <c r="D146" s="87">
        <v>156.69999999999999</v>
      </c>
      <c r="E146" s="88">
        <v>47</v>
      </c>
      <c r="F146" s="87">
        <v>127.9</v>
      </c>
      <c r="G146" s="17">
        <v>39</v>
      </c>
      <c r="H146" s="89">
        <v>142</v>
      </c>
      <c r="I146" s="90">
        <v>39000</v>
      </c>
      <c r="J146" s="90" t="s">
        <v>68</v>
      </c>
      <c r="K146" s="90">
        <v>38000</v>
      </c>
      <c r="L146" s="90" t="s">
        <v>77</v>
      </c>
      <c r="M146" s="91">
        <f>I146-K146</f>
        <v>1000</v>
      </c>
      <c r="N146" s="4">
        <f>IF(ISERROR(K146/I146),"",K146/I146)</f>
        <v>0.97435897435897434</v>
      </c>
      <c r="O146" s="92">
        <f>I146/E146</f>
        <v>829.78723404255322</v>
      </c>
      <c r="P146" s="92">
        <f>K146/E146</f>
        <v>808.51063829787233</v>
      </c>
      <c r="Q146" s="80">
        <v>4</v>
      </c>
      <c r="R146" s="80">
        <v>2</v>
      </c>
      <c r="S146" s="80" t="s">
        <v>61</v>
      </c>
      <c r="T146" s="5">
        <v>156</v>
      </c>
      <c r="U146" s="9"/>
      <c r="W146" s="87">
        <f t="shared" si="118"/>
        <v>156.69999999999999</v>
      </c>
      <c r="X146" s="88">
        <f t="shared" si="118"/>
        <v>47</v>
      </c>
      <c r="Y146" s="93">
        <f t="shared" si="119"/>
        <v>142</v>
      </c>
      <c r="Z146" s="91">
        <f t="shared" si="119"/>
        <v>39000</v>
      </c>
      <c r="AA146" s="91">
        <f>K146</f>
        <v>38000</v>
      </c>
      <c r="AB146" s="91">
        <f t="shared" si="120"/>
        <v>1000</v>
      </c>
      <c r="AC146" s="4">
        <f t="shared" si="120"/>
        <v>0.97435897435897434</v>
      </c>
      <c r="AD146" s="92">
        <f t="shared" si="120"/>
        <v>829.78723404255322</v>
      </c>
      <c r="AE146" s="80" t="str">
        <f>S146</f>
        <v>계</v>
      </c>
      <c r="AF146" s="80" t="str">
        <f>Q146&amp;"/"&amp;R146</f>
        <v>4/2</v>
      </c>
      <c r="AH146" s="20" t="str">
        <f t="shared" si="114"/>
        <v>오창읍 코아루</v>
      </c>
      <c r="AI146" s="88">
        <f t="shared" si="115"/>
        <v>47</v>
      </c>
      <c r="AJ146" s="80" t="str">
        <f>IF(AI146="","",$AJ$2)</f>
        <v>A-</v>
      </c>
      <c r="AK146" s="80" t="s">
        <v>13</v>
      </c>
      <c r="AL146" s="80" t="s">
        <v>62</v>
      </c>
      <c r="AM146" s="80" t="s">
        <v>63</v>
      </c>
      <c r="AN146" s="80" t="str">
        <f>IF(AI146="","",$AN$2)</f>
        <v>C</v>
      </c>
      <c r="AO146" s="80" t="str">
        <f>IF(N146="","",IF(N146&gt;=$AO$1/100,"O","X"))</f>
        <v>O</v>
      </c>
      <c r="AP146" s="80" t="str">
        <f>IF(I146="","",IF(I146&lt;=$AP$1,"O","X"))</f>
        <v>O</v>
      </c>
      <c r="AQ146" s="80" t="str">
        <f>IF(O146="","",IF(O146&lt;=$AQ$1,"O","X"))</f>
        <v>O</v>
      </c>
      <c r="AR146" s="80" t="str">
        <f>IF(M146="","",IF(M146&lt;=$AR$1,"O","X"))</f>
        <v>O</v>
      </c>
      <c r="AS146" s="80" t="s">
        <v>2</v>
      </c>
      <c r="AT146" s="80" t="str">
        <f>IF(OR(F146="",AI146=""),"",IF(AND((F146&lt;=85),(AI146&gt;=15)),"O","X"))</f>
        <v>X</v>
      </c>
      <c r="AU146" s="80" t="str">
        <f>IF(C146="","",IF(C146&gt;=$AU$1,"O","X"))</f>
        <v>O</v>
      </c>
      <c r="AV146" s="80" t="str">
        <f>IF(AO146="","",IF(AND(AO146="O",AP146="O",AR146="O",AT146="O",AU146="O"),"후보","X"))</f>
        <v>X</v>
      </c>
    </row>
    <row r="147" spans="1:48" s="37" customFormat="1" ht="12" x14ac:dyDescent="0.3">
      <c r="A147" s="75" t="s">
        <v>1178</v>
      </c>
      <c r="B147" s="76" t="s">
        <v>1179</v>
      </c>
      <c r="C147" s="86">
        <v>1120</v>
      </c>
      <c r="D147" s="87">
        <v>84.7</v>
      </c>
      <c r="E147" s="88">
        <v>26</v>
      </c>
      <c r="F147" s="87">
        <v>59.9</v>
      </c>
      <c r="G147" s="17">
        <v>18</v>
      </c>
      <c r="H147" s="89">
        <v>284</v>
      </c>
      <c r="I147" s="90">
        <v>23500</v>
      </c>
      <c r="J147" s="90" t="s">
        <v>70</v>
      </c>
      <c r="K147" s="90">
        <v>23000</v>
      </c>
      <c r="L147" s="90" t="s">
        <v>67</v>
      </c>
      <c r="M147" s="91">
        <f>I147-K147</f>
        <v>500</v>
      </c>
      <c r="N147" s="4">
        <f>IF(ISERROR(K147/I147),"",K147/I147)</f>
        <v>0.97872340425531912</v>
      </c>
      <c r="O147" s="92">
        <f>I147/E147</f>
        <v>903.84615384615381</v>
      </c>
      <c r="P147" s="92">
        <f>K147/E147</f>
        <v>884.61538461538464</v>
      </c>
      <c r="Q147" s="80">
        <v>3</v>
      </c>
      <c r="R147" s="80">
        <v>2</v>
      </c>
      <c r="S147" s="80" t="s">
        <v>61</v>
      </c>
      <c r="T147" s="5" t="s">
        <v>83</v>
      </c>
      <c r="U147" s="9"/>
      <c r="W147" s="87">
        <f t="shared" si="118"/>
        <v>84.7</v>
      </c>
      <c r="X147" s="88">
        <f t="shared" si="118"/>
        <v>26</v>
      </c>
      <c r="Y147" s="93">
        <f t="shared" si="119"/>
        <v>284</v>
      </c>
      <c r="Z147" s="91">
        <f t="shared" si="119"/>
        <v>23500</v>
      </c>
      <c r="AA147" s="91">
        <f>K147</f>
        <v>23000</v>
      </c>
      <c r="AB147" s="91">
        <f t="shared" si="120"/>
        <v>500</v>
      </c>
      <c r="AC147" s="4">
        <f t="shared" si="120"/>
        <v>0.97872340425531912</v>
      </c>
      <c r="AD147" s="92">
        <f t="shared" si="120"/>
        <v>903.84615384615381</v>
      </c>
      <c r="AE147" s="80" t="str">
        <f>S147</f>
        <v>계</v>
      </c>
      <c r="AF147" s="80" t="str">
        <f>Q147&amp;"/"&amp;R147</f>
        <v>3/2</v>
      </c>
      <c r="AH147" s="20" t="str">
        <f t="shared" si="114"/>
        <v>오창읍 우림필유1차</v>
      </c>
      <c r="AI147" s="88">
        <f t="shared" si="115"/>
        <v>26</v>
      </c>
      <c r="AJ147" s="80" t="str">
        <f>IF(AI147="","",$AJ$2)</f>
        <v>A-</v>
      </c>
      <c r="AK147" s="80" t="s">
        <v>13</v>
      </c>
      <c r="AL147" s="80" t="s">
        <v>62</v>
      </c>
      <c r="AM147" s="80" t="s">
        <v>63</v>
      </c>
      <c r="AN147" s="80" t="str">
        <f>IF(AI147="","",$AN$2)</f>
        <v>C</v>
      </c>
      <c r="AO147" s="80" t="str">
        <f>IF(N147="","",IF(N147&gt;=$AO$1/100,"O","X"))</f>
        <v>O</v>
      </c>
      <c r="AP147" s="80" t="str">
        <f>IF(I147="","",IF(I147&lt;=$AP$1,"O","X"))</f>
        <v>O</v>
      </c>
      <c r="AQ147" s="80" t="str">
        <f>IF(O147="","",IF(O147&lt;=$AQ$1,"O","X"))</f>
        <v>O</v>
      </c>
      <c r="AR147" s="80" t="str">
        <f>IF(M147="","",IF(M147&lt;=$AR$1,"O","X"))</f>
        <v>O</v>
      </c>
      <c r="AS147" s="80" t="s">
        <v>2</v>
      </c>
      <c r="AT147" s="80" t="str">
        <f>IF(OR(F147="",AI147=""),"",IF(AND((F147&lt;=85),(AI147&gt;=15)),"O","X"))</f>
        <v>O</v>
      </c>
      <c r="AU147" s="80" t="str">
        <f>IF(C147="","",IF(C147&gt;=$AU$1,"O","X"))</f>
        <v>O</v>
      </c>
      <c r="AV147" s="80" t="str">
        <f>IF(AO147="","",IF(AND(AO147="O",AP147="O",AR147="O",AT147="O",AU147="O"),"후보","X"))</f>
        <v>후보</v>
      </c>
    </row>
    <row r="148" spans="1:48" s="37" customFormat="1" ht="12" x14ac:dyDescent="0.3">
      <c r="A148" s="75" t="s">
        <v>1178</v>
      </c>
      <c r="B148" s="76" t="s">
        <v>1027</v>
      </c>
      <c r="C148" s="86">
        <v>1120</v>
      </c>
      <c r="D148" s="87">
        <v>85.1</v>
      </c>
      <c r="E148" s="88">
        <v>26</v>
      </c>
      <c r="F148" s="87">
        <v>59.9</v>
      </c>
      <c r="G148" s="17">
        <v>18</v>
      </c>
      <c r="H148" s="89">
        <v>36</v>
      </c>
      <c r="I148" s="90"/>
      <c r="J148" s="90"/>
      <c r="K148" s="90"/>
      <c r="L148" s="90"/>
      <c r="M148" s="91">
        <f>I148-K148</f>
        <v>0</v>
      </c>
      <c r="N148" s="4" t="str">
        <f>IF(ISERROR(K148/I148),"",K148/I148)</f>
        <v/>
      </c>
      <c r="O148" s="92">
        <f>I148/E148</f>
        <v>0</v>
      </c>
      <c r="P148" s="92">
        <f>K148/E148</f>
        <v>0</v>
      </c>
      <c r="Q148" s="80">
        <v>3</v>
      </c>
      <c r="R148" s="80">
        <v>2</v>
      </c>
      <c r="S148" s="80" t="s">
        <v>61</v>
      </c>
      <c r="T148" s="5" t="s">
        <v>508</v>
      </c>
      <c r="U148" s="9"/>
      <c r="W148" s="87">
        <f t="shared" si="118"/>
        <v>85.1</v>
      </c>
      <c r="X148" s="88">
        <f t="shared" si="118"/>
        <v>26</v>
      </c>
      <c r="Y148" s="93">
        <f t="shared" si="119"/>
        <v>36</v>
      </c>
      <c r="Z148" s="91">
        <f t="shared" si="119"/>
        <v>0</v>
      </c>
      <c r="AA148" s="91">
        <f>K148</f>
        <v>0</v>
      </c>
      <c r="AB148" s="91">
        <f t="shared" si="120"/>
        <v>0</v>
      </c>
      <c r="AC148" s="4" t="str">
        <f t="shared" si="120"/>
        <v/>
      </c>
      <c r="AD148" s="92">
        <f t="shared" si="120"/>
        <v>0</v>
      </c>
      <c r="AE148" s="80" t="str">
        <f>S148</f>
        <v>계</v>
      </c>
      <c r="AF148" s="80" t="str">
        <f>Q148&amp;"/"&amp;R148</f>
        <v>3/2</v>
      </c>
      <c r="AH148" s="20" t="str">
        <f t="shared" si="114"/>
        <v>오창읍 우림필유1차</v>
      </c>
      <c r="AI148" s="88">
        <f t="shared" si="115"/>
        <v>26</v>
      </c>
      <c r="AJ148" s="80" t="str">
        <f>IF(AI148="","",$AJ$2)</f>
        <v>A-</v>
      </c>
      <c r="AK148" s="80" t="s">
        <v>13</v>
      </c>
      <c r="AL148" s="80" t="s">
        <v>62</v>
      </c>
      <c r="AM148" s="80" t="s">
        <v>63</v>
      </c>
      <c r="AN148" s="80" t="str">
        <f>IF(AI148="","",$AN$2)</f>
        <v>C</v>
      </c>
      <c r="AO148" s="80" t="str">
        <f>IF(N148="","",IF(N148&gt;=$AO$1/100,"O","X"))</f>
        <v/>
      </c>
      <c r="AP148" s="80" t="str">
        <f>IF(I148="","",IF(I148&lt;=$AP$1,"O","X"))</f>
        <v/>
      </c>
      <c r="AQ148" s="80" t="str">
        <f>IF(O148="","",IF(O148&lt;=$AQ$1,"O","X"))</f>
        <v>O</v>
      </c>
      <c r="AR148" s="80" t="str">
        <f>IF(M148="","",IF(M148&lt;=$AR$1,"O","X"))</f>
        <v>O</v>
      </c>
      <c r="AS148" s="80" t="s">
        <v>2</v>
      </c>
      <c r="AT148" s="80" t="str">
        <f>IF(OR(F148="",AI148=""),"",IF(AND((F148&lt;=85),(AI148&gt;=15)),"O","X"))</f>
        <v>O</v>
      </c>
      <c r="AU148" s="80" t="str">
        <f>IF(C148="","",IF(C148&gt;=$AU$1,"O","X"))</f>
        <v>O</v>
      </c>
      <c r="AV148" s="80" t="str">
        <f>IF(AO148="","",IF(AND(AO148="O",AP148="O",AR148="O",AT148="O",AU148="O"),"후보","X"))</f>
        <v/>
      </c>
    </row>
    <row r="149" spans="1:48" s="37" customFormat="1" ht="12" x14ac:dyDescent="0.3">
      <c r="A149" s="75" t="s">
        <v>1180</v>
      </c>
      <c r="B149" s="76" t="s">
        <v>1179</v>
      </c>
      <c r="C149" s="86">
        <v>1120</v>
      </c>
      <c r="D149" s="87">
        <v>113.2</v>
      </c>
      <c r="E149" s="88">
        <v>34</v>
      </c>
      <c r="F149" s="87">
        <v>84.9</v>
      </c>
      <c r="G149" s="17">
        <v>26</v>
      </c>
      <c r="H149" s="89">
        <v>552</v>
      </c>
      <c r="I149" s="90">
        <v>31000</v>
      </c>
      <c r="J149" s="90" t="s">
        <v>66</v>
      </c>
      <c r="K149" s="90">
        <v>28000</v>
      </c>
      <c r="L149" s="90" t="s">
        <v>66</v>
      </c>
      <c r="M149" s="91">
        <f>I149-K149</f>
        <v>3000</v>
      </c>
      <c r="N149" s="4">
        <f>IF(ISERROR(K149/I149),"",K149/I149)</f>
        <v>0.90322580645161288</v>
      </c>
      <c r="O149" s="92">
        <f>I149/E149</f>
        <v>911.76470588235293</v>
      </c>
      <c r="P149" s="92">
        <f>K149/E149</f>
        <v>823.52941176470586</v>
      </c>
      <c r="Q149" s="80">
        <v>3</v>
      </c>
      <c r="R149" s="80">
        <v>2</v>
      </c>
      <c r="S149" s="80" t="s">
        <v>61</v>
      </c>
      <c r="T149" s="5">
        <v>113</v>
      </c>
      <c r="U149" s="9"/>
      <c r="W149" s="87">
        <f t="shared" si="118"/>
        <v>113.2</v>
      </c>
      <c r="X149" s="88">
        <f t="shared" si="118"/>
        <v>34</v>
      </c>
      <c r="Y149" s="93">
        <f t="shared" si="119"/>
        <v>552</v>
      </c>
      <c r="Z149" s="91">
        <f t="shared" si="119"/>
        <v>31000</v>
      </c>
      <c r="AA149" s="91">
        <f>K149</f>
        <v>28000</v>
      </c>
      <c r="AB149" s="91">
        <f t="shared" si="120"/>
        <v>3000</v>
      </c>
      <c r="AC149" s="4">
        <f t="shared" si="120"/>
        <v>0.90322580645161288</v>
      </c>
      <c r="AD149" s="92">
        <f t="shared" si="120"/>
        <v>911.76470588235293</v>
      </c>
      <c r="AE149" s="80" t="str">
        <f>S149</f>
        <v>계</v>
      </c>
      <c r="AF149" s="80" t="str">
        <f>Q149&amp;"/"&amp;R149</f>
        <v>3/2</v>
      </c>
      <c r="AH149" s="20" t="str">
        <f t="shared" si="114"/>
        <v>오창읍 우림필유1차</v>
      </c>
      <c r="AI149" s="88">
        <f t="shared" si="115"/>
        <v>34</v>
      </c>
      <c r="AJ149" s="80" t="str">
        <f>IF(AI149="","",$AJ$2)</f>
        <v>A-</v>
      </c>
      <c r="AK149" s="80" t="s">
        <v>13</v>
      </c>
      <c r="AL149" s="80" t="s">
        <v>62</v>
      </c>
      <c r="AM149" s="80" t="s">
        <v>63</v>
      </c>
      <c r="AN149" s="80" t="str">
        <f>IF(AI149="","",$AN$2)</f>
        <v>C</v>
      </c>
      <c r="AO149" s="80" t="str">
        <f>IF(N149="","",IF(N149&gt;=$AO$1/100,"O","X"))</f>
        <v>O</v>
      </c>
      <c r="AP149" s="80" t="str">
        <f>IF(I149="","",IF(I149&lt;=$AP$1,"O","X"))</f>
        <v>O</v>
      </c>
      <c r="AQ149" s="80" t="str">
        <f>IF(O149="","",IF(O149&lt;=$AQ$1,"O","X"))</f>
        <v>O</v>
      </c>
      <c r="AR149" s="80" t="str">
        <f>IF(M149="","",IF(M149&lt;=$AR$1,"O","X"))</f>
        <v>O</v>
      </c>
      <c r="AS149" s="80" t="s">
        <v>2</v>
      </c>
      <c r="AT149" s="80" t="str">
        <f>IF(OR(F149="",AI149=""),"",IF(AND((F149&lt;=85),(AI149&gt;=15)),"O","X"))</f>
        <v>O</v>
      </c>
      <c r="AU149" s="80" t="str">
        <f>IF(C149="","",IF(C149&gt;=$AU$1,"O","X"))</f>
        <v>O</v>
      </c>
      <c r="AV149" s="80" t="str">
        <f>IF(AO149="","",IF(AND(AO149="O",AP149="O",AR149="O",AT149="O",AU149="O"),"후보","X"))</f>
        <v>후보</v>
      </c>
    </row>
    <row r="150" spans="1:48" s="37" customFormat="1" ht="12" x14ac:dyDescent="0.3">
      <c r="A150" s="75" t="s">
        <v>1181</v>
      </c>
      <c r="B150" s="76" t="s">
        <v>1182</v>
      </c>
      <c r="C150" s="86">
        <v>1120</v>
      </c>
      <c r="D150" s="87">
        <v>151</v>
      </c>
      <c r="E150" s="88">
        <v>46</v>
      </c>
      <c r="F150" s="87">
        <v>120.1</v>
      </c>
      <c r="G150" s="17">
        <v>36</v>
      </c>
      <c r="H150" s="89">
        <v>248</v>
      </c>
      <c r="I150" s="90">
        <v>40000</v>
      </c>
      <c r="J150" s="90" t="s">
        <v>80</v>
      </c>
      <c r="K150" s="90">
        <v>40000</v>
      </c>
      <c r="L150" s="90" t="s">
        <v>86</v>
      </c>
      <c r="M150" s="91">
        <f>I150-K150</f>
        <v>0</v>
      </c>
      <c r="N150" s="4">
        <f>IF(ISERROR(K150/I150),"",K150/I150)</f>
        <v>1</v>
      </c>
      <c r="O150" s="92">
        <f>I150/E150</f>
        <v>869.56521739130437</v>
      </c>
      <c r="P150" s="92">
        <f>K150/E150</f>
        <v>869.56521739130437</v>
      </c>
      <c r="Q150" s="80">
        <v>4</v>
      </c>
      <c r="R150" s="80">
        <v>2</v>
      </c>
      <c r="S150" s="80" t="s">
        <v>61</v>
      </c>
      <c r="T150" s="5">
        <v>150</v>
      </c>
      <c r="U150" s="9"/>
      <c r="W150" s="87">
        <f t="shared" si="118"/>
        <v>151</v>
      </c>
      <c r="X150" s="88">
        <f t="shared" si="118"/>
        <v>46</v>
      </c>
      <c r="Y150" s="93">
        <f t="shared" si="119"/>
        <v>248</v>
      </c>
      <c r="Z150" s="91">
        <f t="shared" si="119"/>
        <v>40000</v>
      </c>
      <c r="AA150" s="91">
        <f>K150</f>
        <v>40000</v>
      </c>
      <c r="AB150" s="91">
        <f t="shared" si="120"/>
        <v>0</v>
      </c>
      <c r="AC150" s="4">
        <f t="shared" si="120"/>
        <v>1</v>
      </c>
      <c r="AD150" s="92">
        <f t="shared" si="120"/>
        <v>869.56521739130437</v>
      </c>
      <c r="AE150" s="80" t="str">
        <f>S150</f>
        <v>계</v>
      </c>
      <c r="AF150" s="80" t="str">
        <f>Q150&amp;"/"&amp;R150</f>
        <v>4/2</v>
      </c>
      <c r="AH150" s="20" t="str">
        <f t="shared" si="114"/>
        <v>오창읍 우림필유1차</v>
      </c>
      <c r="AI150" s="88">
        <f t="shared" si="115"/>
        <v>46</v>
      </c>
      <c r="AJ150" s="80" t="str">
        <f>IF(AI150="","",$AJ$2)</f>
        <v>A-</v>
      </c>
      <c r="AK150" s="80" t="s">
        <v>13</v>
      </c>
      <c r="AL150" s="80" t="s">
        <v>62</v>
      </c>
      <c r="AM150" s="80" t="s">
        <v>63</v>
      </c>
      <c r="AN150" s="80" t="str">
        <f>IF(AI150="","",$AN$2)</f>
        <v>C</v>
      </c>
      <c r="AO150" s="80" t="str">
        <f>IF(N150="","",IF(N150&gt;=$AO$1/100,"O","X"))</f>
        <v>O</v>
      </c>
      <c r="AP150" s="80" t="str">
        <f>IF(I150="","",IF(I150&lt;=$AP$1,"O","X"))</f>
        <v>O</v>
      </c>
      <c r="AQ150" s="80" t="str">
        <f>IF(O150="","",IF(O150&lt;=$AQ$1,"O","X"))</f>
        <v>O</v>
      </c>
      <c r="AR150" s="80" t="str">
        <f>IF(M150="","",IF(M150&lt;=$AR$1,"O","X"))</f>
        <v>O</v>
      </c>
      <c r="AS150" s="80" t="s">
        <v>2</v>
      </c>
      <c r="AT150" s="80" t="str">
        <f>IF(OR(F150="",AI150=""),"",IF(AND((F150&lt;=85),(AI150&gt;=15)),"O","X"))</f>
        <v>X</v>
      </c>
      <c r="AU150" s="80" t="str">
        <f>IF(C150="","",IF(C150&gt;=$AU$1,"O","X"))</f>
        <v>O</v>
      </c>
      <c r="AV150" s="80" t="str">
        <f>IF(AO150="","",IF(AND(AO150="O",AP150="O",AR150="O",AT150="O",AU150="O"),"후보","X"))</f>
        <v>X</v>
      </c>
    </row>
    <row r="151" spans="1:48" s="37" customFormat="1" ht="12" x14ac:dyDescent="0.3">
      <c r="A151" s="75" t="s">
        <v>1183</v>
      </c>
      <c r="B151" s="76" t="s">
        <v>1184</v>
      </c>
      <c r="C151" s="86">
        <v>210</v>
      </c>
      <c r="D151" s="87">
        <v>74.599999999999994</v>
      </c>
      <c r="E151" s="88">
        <v>23</v>
      </c>
      <c r="F151" s="87">
        <v>60</v>
      </c>
      <c r="G151" s="17">
        <v>18</v>
      </c>
      <c r="H151" s="89">
        <v>210</v>
      </c>
      <c r="I151" s="90"/>
      <c r="J151" s="90"/>
      <c r="K151" s="90"/>
      <c r="L151" s="90"/>
      <c r="M151" s="91">
        <f>I151-K151</f>
        <v>0</v>
      </c>
      <c r="N151" s="4" t="str">
        <f>IF(ISERROR(K151/I151),"",K151/I151)</f>
        <v/>
      </c>
      <c r="O151" s="92">
        <f>I151/E151</f>
        <v>0</v>
      </c>
      <c r="P151" s="92">
        <f>K151/E151</f>
        <v>0</v>
      </c>
      <c r="Q151" s="80">
        <v>3</v>
      </c>
      <c r="R151" s="80">
        <v>1</v>
      </c>
      <c r="S151" s="80" t="s">
        <v>61</v>
      </c>
      <c r="T151" s="5">
        <v>74</v>
      </c>
      <c r="U151" s="9"/>
      <c r="W151" s="87">
        <f>D151</f>
        <v>74.599999999999994</v>
      </c>
      <c r="X151" s="88">
        <f>E151</f>
        <v>23</v>
      </c>
      <c r="Y151" s="93">
        <f>H151</f>
        <v>210</v>
      </c>
      <c r="Z151" s="91">
        <f>I151</f>
        <v>0</v>
      </c>
      <c r="AA151" s="91">
        <f>K151</f>
        <v>0</v>
      </c>
      <c r="AB151" s="91">
        <f>M151</f>
        <v>0</v>
      </c>
      <c r="AC151" s="4" t="str">
        <f>N151</f>
        <v/>
      </c>
      <c r="AD151" s="92">
        <f>O151</f>
        <v>0</v>
      </c>
      <c r="AE151" s="80" t="str">
        <f>S151</f>
        <v>계</v>
      </c>
      <c r="AF151" s="80" t="str">
        <f>Q151&amp;"/"&amp;R151</f>
        <v>3/1</v>
      </c>
      <c r="AH151" s="20" t="str">
        <f t="shared" si="114"/>
        <v>오창읍 덕성그린</v>
      </c>
      <c r="AI151" s="88">
        <f t="shared" si="115"/>
        <v>23</v>
      </c>
      <c r="AJ151" s="80" t="str">
        <f>IF(AI151="","",$AJ$2)</f>
        <v>A-</v>
      </c>
      <c r="AK151" s="80" t="s">
        <v>13</v>
      </c>
      <c r="AL151" s="80" t="s">
        <v>62</v>
      </c>
      <c r="AM151" s="80" t="s">
        <v>63</v>
      </c>
      <c r="AN151" s="80" t="str">
        <f>IF(AI151="","",$AN$2)</f>
        <v>C</v>
      </c>
      <c r="AO151" s="80" t="str">
        <f>IF(N151="","",IF(N151&gt;=$AO$1/100,"O","X"))</f>
        <v/>
      </c>
      <c r="AP151" s="80" t="str">
        <f>IF(I151="","",IF(I151&lt;=$AP$1,"O","X"))</f>
        <v/>
      </c>
      <c r="AQ151" s="80" t="str">
        <f>IF(O151="","",IF(O151&lt;=$AQ$1,"O","X"))</f>
        <v>O</v>
      </c>
      <c r="AR151" s="80" t="str">
        <f>IF(M151="","",IF(M151&lt;=$AR$1,"O","X"))</f>
        <v>O</v>
      </c>
      <c r="AS151" s="80" t="s">
        <v>2</v>
      </c>
      <c r="AT151" s="80" t="str">
        <f>IF(OR(F151="",AI151=""),"",IF(AND((F151&lt;=85),(AI151&gt;=15)),"O","X"))</f>
        <v>O</v>
      </c>
      <c r="AU151" s="80" t="str">
        <f>IF(C151="","",IF(C151&gt;=$AU$1,"O","X"))</f>
        <v>X</v>
      </c>
      <c r="AV151" s="80" t="str">
        <f>IF(AO151="","",IF(AND(AO151="O",AP151="O",AR151="O",AT151="O",AU151="O"),"후보","X"))</f>
        <v/>
      </c>
    </row>
    <row r="152" spans="1:48" s="37" customFormat="1" ht="12" x14ac:dyDescent="0.3">
      <c r="A152" s="75" t="s">
        <v>1185</v>
      </c>
      <c r="B152" s="76" t="s">
        <v>1186</v>
      </c>
      <c r="C152" s="86">
        <v>236</v>
      </c>
      <c r="D152" s="87">
        <v>40.200000000000003</v>
      </c>
      <c r="E152" s="88">
        <v>12</v>
      </c>
      <c r="F152" s="87">
        <v>30.3</v>
      </c>
      <c r="G152" s="17">
        <v>9</v>
      </c>
      <c r="H152" s="89">
        <v>10</v>
      </c>
      <c r="I152" s="90"/>
      <c r="J152" s="90"/>
      <c r="K152" s="90"/>
      <c r="L152" s="90"/>
      <c r="M152" s="91">
        <f>I152-K152</f>
        <v>0</v>
      </c>
      <c r="N152" s="4" t="str">
        <f>IF(ISERROR(K152/I152),"",K152/I152)</f>
        <v/>
      </c>
      <c r="O152" s="92">
        <f>I152/E152</f>
        <v>0</v>
      </c>
      <c r="P152" s="92">
        <f>K152/E152</f>
        <v>0</v>
      </c>
      <c r="Q152" s="80">
        <v>2</v>
      </c>
      <c r="R152" s="80">
        <v>1</v>
      </c>
      <c r="S152" s="80" t="s">
        <v>85</v>
      </c>
      <c r="T152" s="5">
        <v>40</v>
      </c>
      <c r="U152" s="9"/>
      <c r="W152" s="87">
        <f t="shared" ref="W152:X167" si="121">D152</f>
        <v>40.200000000000003</v>
      </c>
      <c r="X152" s="88">
        <f t="shared" si="121"/>
        <v>12</v>
      </c>
      <c r="Y152" s="93">
        <f t="shared" ref="Y152:Z167" si="122">H152</f>
        <v>10</v>
      </c>
      <c r="Z152" s="91">
        <f t="shared" si="122"/>
        <v>0</v>
      </c>
      <c r="AA152" s="91">
        <f>K152</f>
        <v>0</v>
      </c>
      <c r="AB152" s="91">
        <f t="shared" ref="AB152:AD167" si="123">M152</f>
        <v>0</v>
      </c>
      <c r="AC152" s="4" t="str">
        <f t="shared" si="123"/>
        <v/>
      </c>
      <c r="AD152" s="92">
        <f t="shared" si="123"/>
        <v>0</v>
      </c>
      <c r="AE152" s="80" t="str">
        <f>S152</f>
        <v>복</v>
      </c>
      <c r="AF152" s="80" t="str">
        <f>Q152&amp;"/"&amp;R152</f>
        <v>2/1</v>
      </c>
      <c r="AH152" s="20" t="str">
        <f t="shared" si="114"/>
        <v>우암동 우암세원</v>
      </c>
      <c r="AI152" s="88">
        <f t="shared" si="115"/>
        <v>12</v>
      </c>
      <c r="AJ152" s="80" t="str">
        <f>IF(AI152="","",$AJ$2)</f>
        <v>A-</v>
      </c>
      <c r="AK152" s="80" t="s">
        <v>13</v>
      </c>
      <c r="AL152" s="80" t="s">
        <v>62</v>
      </c>
      <c r="AM152" s="80" t="s">
        <v>63</v>
      </c>
      <c r="AN152" s="80" t="str">
        <f>IF(AI152="","",$AN$2)</f>
        <v>C</v>
      </c>
      <c r="AO152" s="80" t="str">
        <f>IF(N152="","",IF(N152&gt;=$AO$1/100,"O","X"))</f>
        <v/>
      </c>
      <c r="AP152" s="80" t="str">
        <f>IF(I152="","",IF(I152&lt;=$AP$1,"O","X"))</f>
        <v/>
      </c>
      <c r="AQ152" s="80" t="str">
        <f>IF(O152="","",IF(O152&lt;=$AQ$1,"O","X"))</f>
        <v>O</v>
      </c>
      <c r="AR152" s="80" t="str">
        <f>IF(M152="","",IF(M152&lt;=$AR$1,"O","X"))</f>
        <v>O</v>
      </c>
      <c r="AS152" s="80" t="s">
        <v>2</v>
      </c>
      <c r="AT152" s="80" t="str">
        <f>IF(OR(F152="",AI152=""),"",IF(AND((F152&lt;=85),(AI152&gt;=15)),"O","X"))</f>
        <v>X</v>
      </c>
      <c r="AU152" s="80" t="str">
        <f>IF(C152="","",IF(C152&gt;=$AU$1,"O","X"))</f>
        <v>X</v>
      </c>
      <c r="AV152" s="80" t="str">
        <f>IF(AO152="","",IF(AND(AO152="O",AP152="O",AR152="O",AT152="O",AU152="O"),"후보","X"))</f>
        <v/>
      </c>
    </row>
    <row r="153" spans="1:48" s="37" customFormat="1" ht="12" x14ac:dyDescent="0.3">
      <c r="A153" s="75" t="s">
        <v>1187</v>
      </c>
      <c r="B153" s="76" t="s">
        <v>1186</v>
      </c>
      <c r="C153" s="86">
        <v>236</v>
      </c>
      <c r="D153" s="87">
        <v>45.3</v>
      </c>
      <c r="E153" s="88">
        <v>14</v>
      </c>
      <c r="F153" s="87">
        <v>34.200000000000003</v>
      </c>
      <c r="G153" s="17">
        <v>10</v>
      </c>
      <c r="H153" s="89">
        <v>9</v>
      </c>
      <c r="I153" s="90"/>
      <c r="J153" s="90"/>
      <c r="K153" s="90"/>
      <c r="L153" s="90"/>
      <c r="M153" s="91">
        <f>I153-K153</f>
        <v>0</v>
      </c>
      <c r="N153" s="4" t="str">
        <f>IF(ISERROR(K153/I153),"",K153/I153)</f>
        <v/>
      </c>
      <c r="O153" s="92">
        <f>I153/E153</f>
        <v>0</v>
      </c>
      <c r="P153" s="92">
        <f>K153/E153</f>
        <v>0</v>
      </c>
      <c r="Q153" s="80">
        <v>2</v>
      </c>
      <c r="R153" s="80">
        <v>1</v>
      </c>
      <c r="S153" s="80" t="s">
        <v>85</v>
      </c>
      <c r="T153" s="5">
        <v>45</v>
      </c>
      <c r="U153" s="9"/>
      <c r="W153" s="87">
        <f t="shared" si="121"/>
        <v>45.3</v>
      </c>
      <c r="X153" s="88">
        <f t="shared" si="121"/>
        <v>14</v>
      </c>
      <c r="Y153" s="93">
        <f t="shared" si="122"/>
        <v>9</v>
      </c>
      <c r="Z153" s="91">
        <f t="shared" si="122"/>
        <v>0</v>
      </c>
      <c r="AA153" s="91">
        <f>K153</f>
        <v>0</v>
      </c>
      <c r="AB153" s="91">
        <f t="shared" si="123"/>
        <v>0</v>
      </c>
      <c r="AC153" s="4" t="str">
        <f t="shared" si="123"/>
        <v/>
      </c>
      <c r="AD153" s="92">
        <f t="shared" si="123"/>
        <v>0</v>
      </c>
      <c r="AE153" s="80" t="str">
        <f>S153</f>
        <v>복</v>
      </c>
      <c r="AF153" s="80" t="str">
        <f>Q153&amp;"/"&amp;R153</f>
        <v>2/1</v>
      </c>
      <c r="AH153" s="20" t="str">
        <f t="shared" si="114"/>
        <v>우암동 우암세원</v>
      </c>
      <c r="AI153" s="88">
        <f t="shared" si="115"/>
        <v>14</v>
      </c>
      <c r="AJ153" s="80" t="str">
        <f>IF(AI153="","",$AJ$2)</f>
        <v>A-</v>
      </c>
      <c r="AK153" s="80" t="s">
        <v>13</v>
      </c>
      <c r="AL153" s="80" t="s">
        <v>62</v>
      </c>
      <c r="AM153" s="80" t="s">
        <v>63</v>
      </c>
      <c r="AN153" s="80" t="str">
        <f>IF(AI153="","",$AN$2)</f>
        <v>C</v>
      </c>
      <c r="AO153" s="80" t="str">
        <f>IF(N153="","",IF(N153&gt;=$AO$1/100,"O","X"))</f>
        <v/>
      </c>
      <c r="AP153" s="80" t="str">
        <f>IF(I153="","",IF(I153&lt;=$AP$1,"O","X"))</f>
        <v/>
      </c>
      <c r="AQ153" s="80" t="str">
        <f>IF(O153="","",IF(O153&lt;=$AQ$1,"O","X"))</f>
        <v>O</v>
      </c>
      <c r="AR153" s="80" t="str">
        <f>IF(M153="","",IF(M153&lt;=$AR$1,"O","X"))</f>
        <v>O</v>
      </c>
      <c r="AS153" s="80" t="s">
        <v>2</v>
      </c>
      <c r="AT153" s="80" t="str">
        <f>IF(OR(F153="",AI153=""),"",IF(AND((F153&lt;=85),(AI153&gt;=15)),"O","X"))</f>
        <v>X</v>
      </c>
      <c r="AU153" s="80" t="str">
        <f>IF(C153="","",IF(C153&gt;=$AU$1,"O","X"))</f>
        <v>X</v>
      </c>
      <c r="AV153" s="80" t="str">
        <f>IF(AO153="","",IF(AND(AO153="O",AP153="O",AR153="O",AT153="O",AU153="O"),"후보","X"))</f>
        <v/>
      </c>
    </row>
    <row r="154" spans="1:48" s="37" customFormat="1" ht="12" x14ac:dyDescent="0.3">
      <c r="A154" s="75" t="s">
        <v>1187</v>
      </c>
      <c r="B154" s="76" t="s">
        <v>1017</v>
      </c>
      <c r="C154" s="86">
        <v>236</v>
      </c>
      <c r="D154" s="87">
        <v>54.5</v>
      </c>
      <c r="E154" s="88">
        <v>16</v>
      </c>
      <c r="F154" s="87">
        <v>41</v>
      </c>
      <c r="G154" s="17">
        <v>12</v>
      </c>
      <c r="H154" s="89">
        <v>217</v>
      </c>
      <c r="I154" s="90"/>
      <c r="J154" s="90"/>
      <c r="K154" s="90"/>
      <c r="L154" s="90"/>
      <c r="M154" s="91">
        <f>I154-K154</f>
        <v>0</v>
      </c>
      <c r="N154" s="4" t="str">
        <f>IF(ISERROR(K154/I154),"",K154/I154)</f>
        <v/>
      </c>
      <c r="O154" s="92">
        <f>I154/E154</f>
        <v>0</v>
      </c>
      <c r="P154" s="92">
        <f>K154/E154</f>
        <v>0</v>
      </c>
      <c r="Q154" s="80">
        <v>2</v>
      </c>
      <c r="R154" s="80">
        <v>1</v>
      </c>
      <c r="S154" s="80" t="s">
        <v>85</v>
      </c>
      <c r="T154" s="5">
        <v>54</v>
      </c>
      <c r="U154" s="9"/>
      <c r="W154" s="87">
        <f t="shared" si="121"/>
        <v>54.5</v>
      </c>
      <c r="X154" s="88">
        <f t="shared" si="121"/>
        <v>16</v>
      </c>
      <c r="Y154" s="93">
        <f t="shared" si="122"/>
        <v>217</v>
      </c>
      <c r="Z154" s="91">
        <f t="shared" si="122"/>
        <v>0</v>
      </c>
      <c r="AA154" s="91">
        <f>K154</f>
        <v>0</v>
      </c>
      <c r="AB154" s="91">
        <f t="shared" si="123"/>
        <v>0</v>
      </c>
      <c r="AC154" s="4" t="str">
        <f t="shared" si="123"/>
        <v/>
      </c>
      <c r="AD154" s="92">
        <f t="shared" si="123"/>
        <v>0</v>
      </c>
      <c r="AE154" s="80" t="str">
        <f>S154</f>
        <v>복</v>
      </c>
      <c r="AF154" s="80" t="str">
        <f>Q154&amp;"/"&amp;R154</f>
        <v>2/1</v>
      </c>
      <c r="AH154" s="20" t="str">
        <f t="shared" si="114"/>
        <v>우암동 우암세원</v>
      </c>
      <c r="AI154" s="88">
        <f t="shared" si="115"/>
        <v>16</v>
      </c>
      <c r="AJ154" s="80" t="str">
        <f>IF(AI154="","",$AJ$2)</f>
        <v>A-</v>
      </c>
      <c r="AK154" s="80" t="s">
        <v>13</v>
      </c>
      <c r="AL154" s="80" t="s">
        <v>62</v>
      </c>
      <c r="AM154" s="80" t="s">
        <v>63</v>
      </c>
      <c r="AN154" s="80" t="str">
        <f>IF(AI154="","",$AN$2)</f>
        <v>C</v>
      </c>
      <c r="AO154" s="80" t="str">
        <f>IF(N154="","",IF(N154&gt;=$AO$1/100,"O","X"))</f>
        <v/>
      </c>
      <c r="AP154" s="80" t="str">
        <f>IF(I154="","",IF(I154&lt;=$AP$1,"O","X"))</f>
        <v/>
      </c>
      <c r="AQ154" s="80" t="str">
        <f>IF(O154="","",IF(O154&lt;=$AQ$1,"O","X"))</f>
        <v>O</v>
      </c>
      <c r="AR154" s="80" t="str">
        <f>IF(M154="","",IF(M154&lt;=$AR$1,"O","X"))</f>
        <v>O</v>
      </c>
      <c r="AS154" s="80" t="s">
        <v>2</v>
      </c>
      <c r="AT154" s="80" t="str">
        <f>IF(OR(F154="",AI154=""),"",IF(AND((F154&lt;=85),(AI154&gt;=15)),"O","X"))</f>
        <v>O</v>
      </c>
      <c r="AU154" s="80" t="str">
        <f>IF(C154="","",IF(C154&gt;=$AU$1,"O","X"))</f>
        <v>X</v>
      </c>
      <c r="AV154" s="80" t="str">
        <f>IF(AO154="","",IF(AND(AO154="O",AP154="O",AR154="O",AT154="O",AU154="O"),"후보","X"))</f>
        <v/>
      </c>
    </row>
    <row r="155" spans="1:48" s="37" customFormat="1" ht="12" x14ac:dyDescent="0.3">
      <c r="A155" s="75" t="s">
        <v>1188</v>
      </c>
      <c r="B155" s="76" t="s">
        <v>1189</v>
      </c>
      <c r="C155" s="86">
        <v>299</v>
      </c>
      <c r="D155" s="87">
        <v>26.4</v>
      </c>
      <c r="E155" s="88">
        <v>8</v>
      </c>
      <c r="F155" s="87">
        <v>15.2</v>
      </c>
      <c r="G155" s="17">
        <v>5</v>
      </c>
      <c r="H155" s="89">
        <v>17</v>
      </c>
      <c r="I155" s="90"/>
      <c r="J155" s="90"/>
      <c r="K155" s="90"/>
      <c r="L155" s="90"/>
      <c r="M155" s="91">
        <f t="shared" ref="M155:M165" si="124">I155-K155</f>
        <v>0</v>
      </c>
      <c r="N155" s="4" t="str">
        <f t="shared" ref="N155:N165" si="125">IF(ISERROR(K155/I155),"",K155/I155)</f>
        <v/>
      </c>
      <c r="O155" s="92">
        <f t="shared" ref="O155:O165" si="126">I155/E155</f>
        <v>0</v>
      </c>
      <c r="P155" s="92">
        <f t="shared" ref="P155:P165" si="127">K155/E155</f>
        <v>0</v>
      </c>
      <c r="Q155" s="80">
        <v>1</v>
      </c>
      <c r="R155" s="80">
        <v>1</v>
      </c>
      <c r="S155" s="80" t="s">
        <v>85</v>
      </c>
      <c r="T155" s="5" t="s">
        <v>615</v>
      </c>
      <c r="U155" s="9"/>
      <c r="W155" s="87">
        <f t="shared" si="121"/>
        <v>26.4</v>
      </c>
      <c r="X155" s="88">
        <f t="shared" si="121"/>
        <v>8</v>
      </c>
      <c r="Y155" s="93">
        <f t="shared" si="122"/>
        <v>17</v>
      </c>
      <c r="Z155" s="91">
        <f t="shared" si="122"/>
        <v>0</v>
      </c>
      <c r="AA155" s="91">
        <f t="shared" ref="AA155:AA165" si="128">K155</f>
        <v>0</v>
      </c>
      <c r="AB155" s="91">
        <f t="shared" si="123"/>
        <v>0</v>
      </c>
      <c r="AC155" s="4" t="str">
        <f t="shared" si="123"/>
        <v/>
      </c>
      <c r="AD155" s="92">
        <f t="shared" si="123"/>
        <v>0</v>
      </c>
      <c r="AE155" s="80" t="str">
        <f t="shared" ref="AE155:AE165" si="129">S155</f>
        <v>복</v>
      </c>
      <c r="AF155" s="80" t="str">
        <f t="shared" ref="AF155:AF165" si="130">Q155&amp;"/"&amp;R155</f>
        <v>1/1</v>
      </c>
      <c r="AH155" s="20" t="str">
        <f t="shared" si="114"/>
        <v>우암동 일진캠퍼스타워</v>
      </c>
      <c r="AI155" s="88">
        <f t="shared" si="115"/>
        <v>8</v>
      </c>
      <c r="AJ155" s="80" t="str">
        <f t="shared" ref="AJ155:AJ165" si="131">IF(AI155="","",$AJ$2)</f>
        <v>A-</v>
      </c>
      <c r="AK155" s="80" t="s">
        <v>13</v>
      </c>
      <c r="AL155" s="80" t="s">
        <v>62</v>
      </c>
      <c r="AM155" s="80" t="s">
        <v>63</v>
      </c>
      <c r="AN155" s="80" t="str">
        <f t="shared" ref="AN155:AN165" si="132">IF(AI155="","",$AN$2)</f>
        <v>C</v>
      </c>
      <c r="AO155" s="80" t="str">
        <f t="shared" ref="AO155:AO165" si="133">IF(N155="","",IF(N155&gt;=$AO$1/100,"O","X"))</f>
        <v/>
      </c>
      <c r="AP155" s="80" t="str">
        <f t="shared" ref="AP155:AP165" si="134">IF(I155="","",IF(I155&lt;=$AP$1,"O","X"))</f>
        <v/>
      </c>
      <c r="AQ155" s="80" t="str">
        <f t="shared" ref="AQ155:AQ165" si="135">IF(O155="","",IF(O155&lt;=$AQ$1,"O","X"))</f>
        <v>O</v>
      </c>
      <c r="AR155" s="80" t="str">
        <f t="shared" ref="AR155:AR165" si="136">IF(M155="","",IF(M155&lt;=$AR$1,"O","X"))</f>
        <v>O</v>
      </c>
      <c r="AS155" s="80" t="s">
        <v>2</v>
      </c>
      <c r="AT155" s="80" t="str">
        <f t="shared" ref="AT155:AT165" si="137">IF(OR(F155="",AI155=""),"",IF(AND((F155&lt;=85),(AI155&gt;=15)),"O","X"))</f>
        <v>X</v>
      </c>
      <c r="AU155" s="80" t="str">
        <f t="shared" ref="AU155:AU165" si="138">IF(C155="","",IF(C155&gt;=$AU$1,"O","X"))</f>
        <v>X</v>
      </c>
      <c r="AV155" s="80" t="str">
        <f t="shared" ref="AV155:AV165" si="139">IF(AO155="","",IF(AND(AO155="O",AP155="O",AR155="O",AT155="O",AU155="O"),"후보","X"))</f>
        <v/>
      </c>
    </row>
    <row r="156" spans="1:48" s="37" customFormat="1" ht="12" x14ac:dyDescent="0.3">
      <c r="A156" s="75" t="s">
        <v>1188</v>
      </c>
      <c r="B156" s="76" t="s">
        <v>1189</v>
      </c>
      <c r="C156" s="86">
        <v>299</v>
      </c>
      <c r="D156" s="87">
        <v>27.7</v>
      </c>
      <c r="E156" s="88">
        <v>8</v>
      </c>
      <c r="F156" s="87">
        <v>16.2</v>
      </c>
      <c r="G156" s="17">
        <v>5</v>
      </c>
      <c r="H156" s="89">
        <v>194</v>
      </c>
      <c r="I156" s="90"/>
      <c r="J156" s="90"/>
      <c r="K156" s="90"/>
      <c r="L156" s="90"/>
      <c r="M156" s="91">
        <f t="shared" si="124"/>
        <v>0</v>
      </c>
      <c r="N156" s="4" t="str">
        <f t="shared" si="125"/>
        <v/>
      </c>
      <c r="O156" s="92">
        <f t="shared" si="126"/>
        <v>0</v>
      </c>
      <c r="P156" s="92">
        <f t="shared" si="127"/>
        <v>0</v>
      </c>
      <c r="Q156" s="80">
        <v>1</v>
      </c>
      <c r="R156" s="80">
        <v>1</v>
      </c>
      <c r="S156" s="80" t="s">
        <v>85</v>
      </c>
      <c r="T156" s="5" t="s">
        <v>121</v>
      </c>
      <c r="U156" s="9"/>
      <c r="W156" s="87">
        <f t="shared" si="121"/>
        <v>27.7</v>
      </c>
      <c r="X156" s="88">
        <f t="shared" si="121"/>
        <v>8</v>
      </c>
      <c r="Y156" s="93">
        <f t="shared" si="122"/>
        <v>194</v>
      </c>
      <c r="Z156" s="91">
        <f t="shared" si="122"/>
        <v>0</v>
      </c>
      <c r="AA156" s="91">
        <f t="shared" si="128"/>
        <v>0</v>
      </c>
      <c r="AB156" s="91">
        <f t="shared" si="123"/>
        <v>0</v>
      </c>
      <c r="AC156" s="4" t="str">
        <f t="shared" si="123"/>
        <v/>
      </c>
      <c r="AD156" s="92">
        <f t="shared" si="123"/>
        <v>0</v>
      </c>
      <c r="AE156" s="80" t="str">
        <f t="shared" si="129"/>
        <v>복</v>
      </c>
      <c r="AF156" s="80" t="str">
        <f t="shared" si="130"/>
        <v>1/1</v>
      </c>
      <c r="AH156" s="20" t="str">
        <f t="shared" si="114"/>
        <v>우암동 일진캠퍼스타워</v>
      </c>
      <c r="AI156" s="88">
        <f t="shared" si="115"/>
        <v>8</v>
      </c>
      <c r="AJ156" s="80" t="str">
        <f t="shared" si="131"/>
        <v>A-</v>
      </c>
      <c r="AK156" s="80" t="s">
        <v>13</v>
      </c>
      <c r="AL156" s="80" t="s">
        <v>62</v>
      </c>
      <c r="AM156" s="80" t="s">
        <v>63</v>
      </c>
      <c r="AN156" s="80" t="str">
        <f t="shared" si="132"/>
        <v>C</v>
      </c>
      <c r="AO156" s="80" t="str">
        <f t="shared" si="133"/>
        <v/>
      </c>
      <c r="AP156" s="80" t="str">
        <f t="shared" si="134"/>
        <v/>
      </c>
      <c r="AQ156" s="80" t="str">
        <f t="shared" si="135"/>
        <v>O</v>
      </c>
      <c r="AR156" s="80" t="str">
        <f t="shared" si="136"/>
        <v>O</v>
      </c>
      <c r="AS156" s="80" t="s">
        <v>2</v>
      </c>
      <c r="AT156" s="80" t="str">
        <f t="shared" si="137"/>
        <v>X</v>
      </c>
      <c r="AU156" s="80" t="str">
        <f t="shared" si="138"/>
        <v>X</v>
      </c>
      <c r="AV156" s="80" t="str">
        <f t="shared" si="139"/>
        <v/>
      </c>
    </row>
    <row r="157" spans="1:48" s="37" customFormat="1" ht="12" x14ac:dyDescent="0.3">
      <c r="A157" s="75" t="s">
        <v>1188</v>
      </c>
      <c r="B157" s="76" t="s">
        <v>1189</v>
      </c>
      <c r="C157" s="86">
        <v>299</v>
      </c>
      <c r="D157" s="87">
        <v>29.8</v>
      </c>
      <c r="E157" s="88">
        <v>9</v>
      </c>
      <c r="F157" s="87">
        <v>17.2</v>
      </c>
      <c r="G157" s="17">
        <v>5</v>
      </c>
      <c r="H157" s="89">
        <v>17</v>
      </c>
      <c r="I157" s="90"/>
      <c r="J157" s="90"/>
      <c r="K157" s="90"/>
      <c r="L157" s="90"/>
      <c r="M157" s="91">
        <f t="shared" si="124"/>
        <v>0</v>
      </c>
      <c r="N157" s="4" t="str">
        <f t="shared" si="125"/>
        <v/>
      </c>
      <c r="O157" s="92">
        <f t="shared" si="126"/>
        <v>0</v>
      </c>
      <c r="P157" s="92">
        <f t="shared" si="127"/>
        <v>0</v>
      </c>
      <c r="Q157" s="80">
        <v>1</v>
      </c>
      <c r="R157" s="80">
        <v>1</v>
      </c>
      <c r="S157" s="80" t="s">
        <v>85</v>
      </c>
      <c r="T157" s="5" t="s">
        <v>619</v>
      </c>
      <c r="U157" s="9"/>
      <c r="W157" s="87">
        <f t="shared" si="121"/>
        <v>29.8</v>
      </c>
      <c r="X157" s="88">
        <f t="shared" si="121"/>
        <v>9</v>
      </c>
      <c r="Y157" s="93">
        <f t="shared" si="122"/>
        <v>17</v>
      </c>
      <c r="Z157" s="91">
        <f t="shared" si="122"/>
        <v>0</v>
      </c>
      <c r="AA157" s="91">
        <f t="shared" si="128"/>
        <v>0</v>
      </c>
      <c r="AB157" s="91">
        <f t="shared" si="123"/>
        <v>0</v>
      </c>
      <c r="AC157" s="4" t="str">
        <f t="shared" si="123"/>
        <v/>
      </c>
      <c r="AD157" s="92">
        <f t="shared" si="123"/>
        <v>0</v>
      </c>
      <c r="AE157" s="80" t="str">
        <f t="shared" si="129"/>
        <v>복</v>
      </c>
      <c r="AF157" s="80" t="str">
        <f t="shared" si="130"/>
        <v>1/1</v>
      </c>
      <c r="AH157" s="20" t="str">
        <f t="shared" si="114"/>
        <v>우암동 일진캠퍼스타워</v>
      </c>
      <c r="AI157" s="88">
        <f t="shared" si="115"/>
        <v>9</v>
      </c>
      <c r="AJ157" s="80" t="str">
        <f t="shared" si="131"/>
        <v>A-</v>
      </c>
      <c r="AK157" s="80" t="s">
        <v>13</v>
      </c>
      <c r="AL157" s="80" t="s">
        <v>62</v>
      </c>
      <c r="AM157" s="80" t="s">
        <v>63</v>
      </c>
      <c r="AN157" s="80" t="str">
        <f t="shared" si="132"/>
        <v>C</v>
      </c>
      <c r="AO157" s="80" t="str">
        <f t="shared" si="133"/>
        <v/>
      </c>
      <c r="AP157" s="80" t="str">
        <f t="shared" si="134"/>
        <v/>
      </c>
      <c r="AQ157" s="80" t="str">
        <f t="shared" si="135"/>
        <v>O</v>
      </c>
      <c r="AR157" s="80" t="str">
        <f t="shared" si="136"/>
        <v>O</v>
      </c>
      <c r="AS157" s="80" t="s">
        <v>2</v>
      </c>
      <c r="AT157" s="80" t="str">
        <f t="shared" si="137"/>
        <v>X</v>
      </c>
      <c r="AU157" s="80" t="str">
        <f t="shared" si="138"/>
        <v>X</v>
      </c>
      <c r="AV157" s="80" t="str">
        <f t="shared" si="139"/>
        <v/>
      </c>
    </row>
    <row r="158" spans="1:48" s="37" customFormat="1" ht="12" x14ac:dyDescent="0.3">
      <c r="A158" s="75" t="s">
        <v>1190</v>
      </c>
      <c r="B158" s="76" t="s">
        <v>1191</v>
      </c>
      <c r="C158" s="86">
        <v>299</v>
      </c>
      <c r="D158" s="87">
        <v>30.4</v>
      </c>
      <c r="E158" s="88">
        <v>9</v>
      </c>
      <c r="F158" s="87">
        <v>17.5</v>
      </c>
      <c r="G158" s="17">
        <v>5</v>
      </c>
      <c r="H158" s="89">
        <v>17</v>
      </c>
      <c r="I158" s="90"/>
      <c r="J158" s="90"/>
      <c r="K158" s="90"/>
      <c r="L158" s="90"/>
      <c r="M158" s="91">
        <f t="shared" si="124"/>
        <v>0</v>
      </c>
      <c r="N158" s="4" t="str">
        <f t="shared" si="125"/>
        <v/>
      </c>
      <c r="O158" s="92">
        <f t="shared" si="126"/>
        <v>0</v>
      </c>
      <c r="P158" s="92">
        <f t="shared" si="127"/>
        <v>0</v>
      </c>
      <c r="Q158" s="80">
        <v>1</v>
      </c>
      <c r="R158" s="80">
        <v>1</v>
      </c>
      <c r="S158" s="80" t="s">
        <v>61</v>
      </c>
      <c r="T158" s="5" t="s">
        <v>620</v>
      </c>
      <c r="U158" s="9"/>
      <c r="W158" s="87">
        <f t="shared" si="121"/>
        <v>30.4</v>
      </c>
      <c r="X158" s="88">
        <f t="shared" si="121"/>
        <v>9</v>
      </c>
      <c r="Y158" s="93">
        <f t="shared" si="122"/>
        <v>17</v>
      </c>
      <c r="Z158" s="91">
        <f t="shared" si="122"/>
        <v>0</v>
      </c>
      <c r="AA158" s="91">
        <f t="shared" si="128"/>
        <v>0</v>
      </c>
      <c r="AB158" s="91">
        <f t="shared" si="123"/>
        <v>0</v>
      </c>
      <c r="AC158" s="4" t="str">
        <f t="shared" si="123"/>
        <v/>
      </c>
      <c r="AD158" s="92">
        <f t="shared" si="123"/>
        <v>0</v>
      </c>
      <c r="AE158" s="80" t="str">
        <f t="shared" si="129"/>
        <v>계</v>
      </c>
      <c r="AF158" s="80" t="str">
        <f t="shared" si="130"/>
        <v>1/1</v>
      </c>
      <c r="AH158" s="20" t="str">
        <f t="shared" si="114"/>
        <v>우암동 일진캠퍼스타워</v>
      </c>
      <c r="AI158" s="88">
        <f t="shared" si="115"/>
        <v>9</v>
      </c>
      <c r="AJ158" s="80" t="str">
        <f t="shared" si="131"/>
        <v>A-</v>
      </c>
      <c r="AK158" s="80" t="s">
        <v>13</v>
      </c>
      <c r="AL158" s="80" t="s">
        <v>62</v>
      </c>
      <c r="AM158" s="80" t="s">
        <v>63</v>
      </c>
      <c r="AN158" s="80" t="str">
        <f t="shared" si="132"/>
        <v>C</v>
      </c>
      <c r="AO158" s="80" t="str">
        <f t="shared" si="133"/>
        <v/>
      </c>
      <c r="AP158" s="80" t="str">
        <f t="shared" si="134"/>
        <v/>
      </c>
      <c r="AQ158" s="80" t="str">
        <f t="shared" si="135"/>
        <v>O</v>
      </c>
      <c r="AR158" s="80" t="str">
        <f t="shared" si="136"/>
        <v>O</v>
      </c>
      <c r="AS158" s="80" t="s">
        <v>2</v>
      </c>
      <c r="AT158" s="80" t="str">
        <f t="shared" si="137"/>
        <v>X</v>
      </c>
      <c r="AU158" s="80" t="str">
        <f t="shared" si="138"/>
        <v>X</v>
      </c>
      <c r="AV158" s="80" t="str">
        <f t="shared" si="139"/>
        <v/>
      </c>
    </row>
    <row r="159" spans="1:48" s="37" customFormat="1" ht="12" x14ac:dyDescent="0.3">
      <c r="A159" s="75" t="s">
        <v>1192</v>
      </c>
      <c r="B159" s="76" t="s">
        <v>1191</v>
      </c>
      <c r="C159" s="86">
        <v>299</v>
      </c>
      <c r="D159" s="87">
        <v>35.200000000000003</v>
      </c>
      <c r="E159" s="88">
        <v>11</v>
      </c>
      <c r="F159" s="87">
        <v>21</v>
      </c>
      <c r="G159" s="17">
        <v>6</v>
      </c>
      <c r="H159" s="89">
        <v>1</v>
      </c>
      <c r="I159" s="90"/>
      <c r="J159" s="90"/>
      <c r="K159" s="90"/>
      <c r="L159" s="90"/>
      <c r="M159" s="91">
        <f t="shared" si="124"/>
        <v>0</v>
      </c>
      <c r="N159" s="4" t="str">
        <f t="shared" si="125"/>
        <v/>
      </c>
      <c r="O159" s="92">
        <f t="shared" si="126"/>
        <v>0</v>
      </c>
      <c r="P159" s="92">
        <f t="shared" si="127"/>
        <v>0</v>
      </c>
      <c r="Q159" s="80">
        <v>1</v>
      </c>
      <c r="R159" s="80">
        <v>1</v>
      </c>
      <c r="S159" s="80" t="s">
        <v>85</v>
      </c>
      <c r="T159" s="5" t="s">
        <v>621</v>
      </c>
      <c r="U159" s="9"/>
      <c r="W159" s="87">
        <f t="shared" si="121"/>
        <v>35.200000000000003</v>
      </c>
      <c r="X159" s="88">
        <f t="shared" si="121"/>
        <v>11</v>
      </c>
      <c r="Y159" s="93">
        <f t="shared" si="122"/>
        <v>1</v>
      </c>
      <c r="Z159" s="91">
        <f t="shared" si="122"/>
        <v>0</v>
      </c>
      <c r="AA159" s="91">
        <f t="shared" si="128"/>
        <v>0</v>
      </c>
      <c r="AB159" s="91">
        <f t="shared" si="123"/>
        <v>0</v>
      </c>
      <c r="AC159" s="4" t="str">
        <f t="shared" si="123"/>
        <v/>
      </c>
      <c r="AD159" s="92">
        <f t="shared" si="123"/>
        <v>0</v>
      </c>
      <c r="AE159" s="80" t="str">
        <f t="shared" si="129"/>
        <v>복</v>
      </c>
      <c r="AF159" s="80" t="str">
        <f t="shared" si="130"/>
        <v>1/1</v>
      </c>
      <c r="AH159" s="20" t="str">
        <f t="shared" si="114"/>
        <v>우암동 일진캠퍼스타워</v>
      </c>
      <c r="AI159" s="88">
        <f t="shared" si="115"/>
        <v>11</v>
      </c>
      <c r="AJ159" s="80" t="str">
        <f t="shared" si="131"/>
        <v>A-</v>
      </c>
      <c r="AK159" s="80" t="s">
        <v>13</v>
      </c>
      <c r="AL159" s="80" t="s">
        <v>62</v>
      </c>
      <c r="AM159" s="80" t="s">
        <v>63</v>
      </c>
      <c r="AN159" s="80" t="str">
        <f t="shared" si="132"/>
        <v>C</v>
      </c>
      <c r="AO159" s="80" t="str">
        <f t="shared" si="133"/>
        <v/>
      </c>
      <c r="AP159" s="80" t="str">
        <f t="shared" si="134"/>
        <v/>
      </c>
      <c r="AQ159" s="80" t="str">
        <f t="shared" si="135"/>
        <v>O</v>
      </c>
      <c r="AR159" s="80" t="str">
        <f t="shared" si="136"/>
        <v>O</v>
      </c>
      <c r="AS159" s="80" t="s">
        <v>2</v>
      </c>
      <c r="AT159" s="80" t="str">
        <f t="shared" si="137"/>
        <v>X</v>
      </c>
      <c r="AU159" s="80" t="str">
        <f t="shared" si="138"/>
        <v>X</v>
      </c>
      <c r="AV159" s="80" t="str">
        <f t="shared" si="139"/>
        <v/>
      </c>
    </row>
    <row r="160" spans="1:48" s="37" customFormat="1" ht="12" x14ac:dyDescent="0.3">
      <c r="A160" s="75" t="s">
        <v>1192</v>
      </c>
      <c r="B160" s="76" t="s">
        <v>1193</v>
      </c>
      <c r="C160" s="86">
        <v>299</v>
      </c>
      <c r="D160" s="87">
        <v>36.6</v>
      </c>
      <c r="E160" s="88">
        <v>11</v>
      </c>
      <c r="F160" s="87">
        <v>21</v>
      </c>
      <c r="G160" s="17">
        <v>6</v>
      </c>
      <c r="H160" s="89">
        <v>16</v>
      </c>
      <c r="I160" s="90"/>
      <c r="J160" s="90"/>
      <c r="K160" s="90"/>
      <c r="L160" s="90"/>
      <c r="M160" s="91">
        <f t="shared" si="124"/>
        <v>0</v>
      </c>
      <c r="N160" s="4" t="str">
        <f t="shared" si="125"/>
        <v/>
      </c>
      <c r="O160" s="92">
        <f t="shared" si="126"/>
        <v>0</v>
      </c>
      <c r="P160" s="92">
        <f t="shared" si="127"/>
        <v>0</v>
      </c>
      <c r="Q160" s="80">
        <v>1</v>
      </c>
      <c r="R160" s="80">
        <v>1</v>
      </c>
      <c r="S160" s="80" t="s">
        <v>85</v>
      </c>
      <c r="T160" s="5" t="s">
        <v>622</v>
      </c>
      <c r="U160" s="9"/>
      <c r="W160" s="87">
        <f t="shared" si="121"/>
        <v>36.6</v>
      </c>
      <c r="X160" s="88">
        <f t="shared" si="121"/>
        <v>11</v>
      </c>
      <c r="Y160" s="93">
        <f t="shared" si="122"/>
        <v>16</v>
      </c>
      <c r="Z160" s="91">
        <f t="shared" si="122"/>
        <v>0</v>
      </c>
      <c r="AA160" s="91">
        <f t="shared" si="128"/>
        <v>0</v>
      </c>
      <c r="AB160" s="91">
        <f t="shared" si="123"/>
        <v>0</v>
      </c>
      <c r="AC160" s="4" t="str">
        <f t="shared" si="123"/>
        <v/>
      </c>
      <c r="AD160" s="92">
        <f t="shared" si="123"/>
        <v>0</v>
      </c>
      <c r="AE160" s="80" t="str">
        <f t="shared" si="129"/>
        <v>복</v>
      </c>
      <c r="AF160" s="80" t="str">
        <f t="shared" si="130"/>
        <v>1/1</v>
      </c>
      <c r="AH160" s="20" t="str">
        <f t="shared" si="114"/>
        <v>우암동 일진캠퍼스타워</v>
      </c>
      <c r="AI160" s="88">
        <f t="shared" si="115"/>
        <v>11</v>
      </c>
      <c r="AJ160" s="80" t="str">
        <f t="shared" si="131"/>
        <v>A-</v>
      </c>
      <c r="AK160" s="80" t="s">
        <v>13</v>
      </c>
      <c r="AL160" s="80" t="s">
        <v>62</v>
      </c>
      <c r="AM160" s="80" t="s">
        <v>63</v>
      </c>
      <c r="AN160" s="80" t="str">
        <f t="shared" si="132"/>
        <v>C</v>
      </c>
      <c r="AO160" s="80" t="str">
        <f t="shared" si="133"/>
        <v/>
      </c>
      <c r="AP160" s="80" t="str">
        <f t="shared" si="134"/>
        <v/>
      </c>
      <c r="AQ160" s="80" t="str">
        <f t="shared" si="135"/>
        <v>O</v>
      </c>
      <c r="AR160" s="80" t="str">
        <f t="shared" si="136"/>
        <v>O</v>
      </c>
      <c r="AS160" s="80" t="s">
        <v>2</v>
      </c>
      <c r="AT160" s="80" t="str">
        <f t="shared" si="137"/>
        <v>X</v>
      </c>
      <c r="AU160" s="80" t="str">
        <f t="shared" si="138"/>
        <v>X</v>
      </c>
      <c r="AV160" s="80" t="str">
        <f t="shared" si="139"/>
        <v/>
      </c>
    </row>
    <row r="161" spans="1:48" s="37" customFormat="1" ht="12" x14ac:dyDescent="0.3">
      <c r="A161" s="75" t="s">
        <v>1194</v>
      </c>
      <c r="B161" s="76" t="s">
        <v>1195</v>
      </c>
      <c r="C161" s="86">
        <v>299</v>
      </c>
      <c r="D161" s="87">
        <v>38.700000000000003</v>
      </c>
      <c r="E161" s="88">
        <v>12</v>
      </c>
      <c r="F161" s="87">
        <v>23.2</v>
      </c>
      <c r="G161" s="17">
        <v>7</v>
      </c>
      <c r="H161" s="89">
        <v>16</v>
      </c>
      <c r="I161" s="90"/>
      <c r="J161" s="90"/>
      <c r="K161" s="90"/>
      <c r="L161" s="90"/>
      <c r="M161" s="91">
        <f t="shared" si="124"/>
        <v>0</v>
      </c>
      <c r="N161" s="4" t="str">
        <f t="shared" si="125"/>
        <v/>
      </c>
      <c r="O161" s="92">
        <f t="shared" si="126"/>
        <v>0</v>
      </c>
      <c r="P161" s="92">
        <f t="shared" si="127"/>
        <v>0</v>
      </c>
      <c r="Q161" s="80">
        <v>1</v>
      </c>
      <c r="R161" s="80">
        <v>1</v>
      </c>
      <c r="S161" s="80" t="s">
        <v>85</v>
      </c>
      <c r="T161" s="5" t="s">
        <v>623</v>
      </c>
      <c r="U161" s="9"/>
      <c r="W161" s="87">
        <f t="shared" si="121"/>
        <v>38.700000000000003</v>
      </c>
      <c r="X161" s="88">
        <f t="shared" si="121"/>
        <v>12</v>
      </c>
      <c r="Y161" s="93">
        <f t="shared" si="122"/>
        <v>16</v>
      </c>
      <c r="Z161" s="91">
        <f t="shared" si="122"/>
        <v>0</v>
      </c>
      <c r="AA161" s="91">
        <f t="shared" si="128"/>
        <v>0</v>
      </c>
      <c r="AB161" s="91">
        <f t="shared" si="123"/>
        <v>0</v>
      </c>
      <c r="AC161" s="4" t="str">
        <f t="shared" si="123"/>
        <v/>
      </c>
      <c r="AD161" s="92">
        <f t="shared" si="123"/>
        <v>0</v>
      </c>
      <c r="AE161" s="80" t="str">
        <f t="shared" si="129"/>
        <v>복</v>
      </c>
      <c r="AF161" s="80" t="str">
        <f t="shared" si="130"/>
        <v>1/1</v>
      </c>
      <c r="AH161" s="20" t="str">
        <f t="shared" si="114"/>
        <v>우암동 일진캠퍼스타워</v>
      </c>
      <c r="AI161" s="88">
        <f t="shared" si="115"/>
        <v>12</v>
      </c>
      <c r="AJ161" s="80" t="str">
        <f t="shared" si="131"/>
        <v>A-</v>
      </c>
      <c r="AK161" s="80" t="s">
        <v>13</v>
      </c>
      <c r="AL161" s="80" t="s">
        <v>62</v>
      </c>
      <c r="AM161" s="80" t="s">
        <v>63</v>
      </c>
      <c r="AN161" s="80" t="str">
        <f t="shared" si="132"/>
        <v>C</v>
      </c>
      <c r="AO161" s="80" t="str">
        <f t="shared" si="133"/>
        <v/>
      </c>
      <c r="AP161" s="80" t="str">
        <f t="shared" si="134"/>
        <v/>
      </c>
      <c r="AQ161" s="80" t="str">
        <f t="shared" si="135"/>
        <v>O</v>
      </c>
      <c r="AR161" s="80" t="str">
        <f t="shared" si="136"/>
        <v>O</v>
      </c>
      <c r="AS161" s="80" t="s">
        <v>2</v>
      </c>
      <c r="AT161" s="80" t="str">
        <f t="shared" si="137"/>
        <v>X</v>
      </c>
      <c r="AU161" s="80" t="str">
        <f t="shared" si="138"/>
        <v>X</v>
      </c>
      <c r="AV161" s="80" t="str">
        <f t="shared" si="139"/>
        <v/>
      </c>
    </row>
    <row r="162" spans="1:48" s="37" customFormat="1" ht="12" x14ac:dyDescent="0.3">
      <c r="A162" s="75" t="s">
        <v>1196</v>
      </c>
      <c r="B162" s="76" t="s">
        <v>1197</v>
      </c>
      <c r="C162" s="86">
        <v>299</v>
      </c>
      <c r="D162" s="87">
        <v>40.200000000000003</v>
      </c>
      <c r="E162" s="88">
        <v>12</v>
      </c>
      <c r="F162" s="87">
        <v>23.7</v>
      </c>
      <c r="G162" s="17">
        <v>7</v>
      </c>
      <c r="H162" s="89">
        <v>1</v>
      </c>
      <c r="I162" s="90"/>
      <c r="J162" s="90"/>
      <c r="K162" s="90"/>
      <c r="L162" s="90"/>
      <c r="M162" s="91">
        <f t="shared" si="124"/>
        <v>0</v>
      </c>
      <c r="N162" s="4" t="str">
        <f t="shared" si="125"/>
        <v/>
      </c>
      <c r="O162" s="92">
        <f t="shared" si="126"/>
        <v>0</v>
      </c>
      <c r="P162" s="92">
        <f t="shared" si="127"/>
        <v>0</v>
      </c>
      <c r="Q162" s="80">
        <v>1</v>
      </c>
      <c r="R162" s="80">
        <v>1</v>
      </c>
      <c r="S162" s="80" t="s">
        <v>85</v>
      </c>
      <c r="T162" s="5" t="s">
        <v>624</v>
      </c>
      <c r="U162" s="9"/>
      <c r="W162" s="87">
        <f t="shared" si="121"/>
        <v>40.200000000000003</v>
      </c>
      <c r="X162" s="88">
        <f t="shared" si="121"/>
        <v>12</v>
      </c>
      <c r="Y162" s="93">
        <f t="shared" si="122"/>
        <v>1</v>
      </c>
      <c r="Z162" s="91">
        <f t="shared" si="122"/>
        <v>0</v>
      </c>
      <c r="AA162" s="91">
        <f t="shared" si="128"/>
        <v>0</v>
      </c>
      <c r="AB162" s="91">
        <f t="shared" si="123"/>
        <v>0</v>
      </c>
      <c r="AC162" s="4" t="str">
        <f t="shared" si="123"/>
        <v/>
      </c>
      <c r="AD162" s="92">
        <f t="shared" si="123"/>
        <v>0</v>
      </c>
      <c r="AE162" s="80" t="str">
        <f t="shared" si="129"/>
        <v>복</v>
      </c>
      <c r="AF162" s="80" t="str">
        <f t="shared" si="130"/>
        <v>1/1</v>
      </c>
      <c r="AH162" s="20" t="str">
        <f t="shared" si="114"/>
        <v>우암동 일진캠퍼스타워</v>
      </c>
      <c r="AI162" s="88">
        <f t="shared" si="115"/>
        <v>12</v>
      </c>
      <c r="AJ162" s="80" t="str">
        <f t="shared" si="131"/>
        <v>A-</v>
      </c>
      <c r="AK162" s="80" t="s">
        <v>13</v>
      </c>
      <c r="AL162" s="80" t="s">
        <v>62</v>
      </c>
      <c r="AM162" s="80" t="s">
        <v>63</v>
      </c>
      <c r="AN162" s="80" t="str">
        <f t="shared" si="132"/>
        <v>C</v>
      </c>
      <c r="AO162" s="80" t="str">
        <f t="shared" si="133"/>
        <v/>
      </c>
      <c r="AP162" s="80" t="str">
        <f t="shared" si="134"/>
        <v/>
      </c>
      <c r="AQ162" s="80" t="str">
        <f t="shared" si="135"/>
        <v>O</v>
      </c>
      <c r="AR162" s="80" t="str">
        <f t="shared" si="136"/>
        <v>O</v>
      </c>
      <c r="AS162" s="80" t="s">
        <v>2</v>
      </c>
      <c r="AT162" s="80" t="str">
        <f t="shared" si="137"/>
        <v>X</v>
      </c>
      <c r="AU162" s="80" t="str">
        <f t="shared" si="138"/>
        <v>X</v>
      </c>
      <c r="AV162" s="80" t="str">
        <f t="shared" si="139"/>
        <v/>
      </c>
    </row>
    <row r="163" spans="1:48" s="37" customFormat="1" ht="12" x14ac:dyDescent="0.3">
      <c r="A163" s="75" t="s">
        <v>1198</v>
      </c>
      <c r="B163" s="76" t="s">
        <v>1041</v>
      </c>
      <c r="C163" s="86">
        <v>299</v>
      </c>
      <c r="D163" s="87">
        <v>43.3</v>
      </c>
      <c r="E163" s="88">
        <v>13</v>
      </c>
      <c r="F163" s="87">
        <v>25.6</v>
      </c>
      <c r="G163" s="17">
        <v>8</v>
      </c>
      <c r="H163" s="89">
        <v>18</v>
      </c>
      <c r="I163" s="90"/>
      <c r="J163" s="90"/>
      <c r="K163" s="90"/>
      <c r="L163" s="90"/>
      <c r="M163" s="91">
        <f t="shared" si="124"/>
        <v>0</v>
      </c>
      <c r="N163" s="4" t="str">
        <f t="shared" si="125"/>
        <v/>
      </c>
      <c r="O163" s="92">
        <f t="shared" si="126"/>
        <v>0</v>
      </c>
      <c r="P163" s="92">
        <f t="shared" si="127"/>
        <v>0</v>
      </c>
      <c r="Q163" s="80">
        <v>1</v>
      </c>
      <c r="R163" s="80">
        <v>1</v>
      </c>
      <c r="S163" s="80" t="s">
        <v>85</v>
      </c>
      <c r="T163" s="5" t="s">
        <v>625</v>
      </c>
      <c r="U163" s="9"/>
      <c r="W163" s="87">
        <f t="shared" si="121"/>
        <v>43.3</v>
      </c>
      <c r="X163" s="88">
        <f t="shared" si="121"/>
        <v>13</v>
      </c>
      <c r="Y163" s="93">
        <f t="shared" si="122"/>
        <v>18</v>
      </c>
      <c r="Z163" s="91">
        <f t="shared" si="122"/>
        <v>0</v>
      </c>
      <c r="AA163" s="91">
        <f t="shared" si="128"/>
        <v>0</v>
      </c>
      <c r="AB163" s="91">
        <f t="shared" si="123"/>
        <v>0</v>
      </c>
      <c r="AC163" s="4" t="str">
        <f t="shared" si="123"/>
        <v/>
      </c>
      <c r="AD163" s="92">
        <f t="shared" si="123"/>
        <v>0</v>
      </c>
      <c r="AE163" s="80" t="str">
        <f t="shared" si="129"/>
        <v>복</v>
      </c>
      <c r="AF163" s="80" t="str">
        <f t="shared" si="130"/>
        <v>1/1</v>
      </c>
      <c r="AH163" s="20" t="str">
        <f t="shared" si="114"/>
        <v>우암동 일진캠퍼스타워</v>
      </c>
      <c r="AI163" s="88">
        <f t="shared" si="115"/>
        <v>13</v>
      </c>
      <c r="AJ163" s="80" t="str">
        <f t="shared" si="131"/>
        <v>A-</v>
      </c>
      <c r="AK163" s="80" t="s">
        <v>13</v>
      </c>
      <c r="AL163" s="80" t="s">
        <v>62</v>
      </c>
      <c r="AM163" s="80" t="s">
        <v>63</v>
      </c>
      <c r="AN163" s="80" t="str">
        <f t="shared" si="132"/>
        <v>C</v>
      </c>
      <c r="AO163" s="80" t="str">
        <f t="shared" si="133"/>
        <v/>
      </c>
      <c r="AP163" s="80" t="str">
        <f t="shared" si="134"/>
        <v/>
      </c>
      <c r="AQ163" s="80" t="str">
        <f t="shared" si="135"/>
        <v>O</v>
      </c>
      <c r="AR163" s="80" t="str">
        <f t="shared" si="136"/>
        <v>O</v>
      </c>
      <c r="AS163" s="80" t="s">
        <v>2</v>
      </c>
      <c r="AT163" s="80" t="str">
        <f t="shared" si="137"/>
        <v>X</v>
      </c>
      <c r="AU163" s="80" t="str">
        <f t="shared" si="138"/>
        <v>X</v>
      </c>
      <c r="AV163" s="80" t="str">
        <f t="shared" si="139"/>
        <v/>
      </c>
    </row>
    <row r="164" spans="1:48" s="37" customFormat="1" ht="12" x14ac:dyDescent="0.3">
      <c r="A164" s="75" t="s">
        <v>1198</v>
      </c>
      <c r="B164" s="76" t="s">
        <v>1199</v>
      </c>
      <c r="C164" s="86">
        <v>299</v>
      </c>
      <c r="D164" s="87">
        <v>46.1</v>
      </c>
      <c r="E164" s="88">
        <v>14</v>
      </c>
      <c r="F164" s="87">
        <v>27.8</v>
      </c>
      <c r="G164" s="17">
        <v>8</v>
      </c>
      <c r="H164" s="89">
        <v>1</v>
      </c>
      <c r="I164" s="90"/>
      <c r="J164" s="90"/>
      <c r="K164" s="90"/>
      <c r="L164" s="90"/>
      <c r="M164" s="91">
        <f t="shared" si="124"/>
        <v>0</v>
      </c>
      <c r="N164" s="4" t="str">
        <f t="shared" si="125"/>
        <v/>
      </c>
      <c r="O164" s="92">
        <f t="shared" si="126"/>
        <v>0</v>
      </c>
      <c r="P164" s="92">
        <f t="shared" si="127"/>
        <v>0</v>
      </c>
      <c r="Q164" s="80">
        <v>1</v>
      </c>
      <c r="R164" s="80">
        <v>1</v>
      </c>
      <c r="S164" s="80" t="s">
        <v>85</v>
      </c>
      <c r="T164" s="5" t="s">
        <v>626</v>
      </c>
      <c r="U164" s="9"/>
      <c r="W164" s="87">
        <f t="shared" si="121"/>
        <v>46.1</v>
      </c>
      <c r="X164" s="88">
        <f t="shared" si="121"/>
        <v>14</v>
      </c>
      <c r="Y164" s="93">
        <f t="shared" si="122"/>
        <v>1</v>
      </c>
      <c r="Z164" s="91">
        <f t="shared" si="122"/>
        <v>0</v>
      </c>
      <c r="AA164" s="91">
        <f t="shared" si="128"/>
        <v>0</v>
      </c>
      <c r="AB164" s="91">
        <f t="shared" si="123"/>
        <v>0</v>
      </c>
      <c r="AC164" s="4" t="str">
        <f t="shared" si="123"/>
        <v/>
      </c>
      <c r="AD164" s="92">
        <f t="shared" si="123"/>
        <v>0</v>
      </c>
      <c r="AE164" s="80" t="str">
        <f t="shared" si="129"/>
        <v>복</v>
      </c>
      <c r="AF164" s="80" t="str">
        <f t="shared" si="130"/>
        <v>1/1</v>
      </c>
      <c r="AH164" s="20" t="str">
        <f t="shared" si="114"/>
        <v>우암동 일진캠퍼스타워</v>
      </c>
      <c r="AI164" s="88">
        <f t="shared" si="115"/>
        <v>14</v>
      </c>
      <c r="AJ164" s="80" t="str">
        <f t="shared" si="131"/>
        <v>A-</v>
      </c>
      <c r="AK164" s="80" t="s">
        <v>13</v>
      </c>
      <c r="AL164" s="80" t="s">
        <v>62</v>
      </c>
      <c r="AM164" s="80" t="s">
        <v>63</v>
      </c>
      <c r="AN164" s="80" t="str">
        <f t="shared" si="132"/>
        <v>C</v>
      </c>
      <c r="AO164" s="80" t="str">
        <f t="shared" si="133"/>
        <v/>
      </c>
      <c r="AP164" s="80" t="str">
        <f t="shared" si="134"/>
        <v/>
      </c>
      <c r="AQ164" s="80" t="str">
        <f t="shared" si="135"/>
        <v>O</v>
      </c>
      <c r="AR164" s="80" t="str">
        <f t="shared" si="136"/>
        <v>O</v>
      </c>
      <c r="AS164" s="80" t="s">
        <v>2</v>
      </c>
      <c r="AT164" s="80" t="str">
        <f t="shared" si="137"/>
        <v>X</v>
      </c>
      <c r="AU164" s="80" t="str">
        <f t="shared" si="138"/>
        <v>X</v>
      </c>
      <c r="AV164" s="80" t="str">
        <f t="shared" si="139"/>
        <v/>
      </c>
    </row>
    <row r="165" spans="1:48" s="37" customFormat="1" ht="12" x14ac:dyDescent="0.3">
      <c r="A165" s="75" t="s">
        <v>1200</v>
      </c>
      <c r="B165" s="76" t="s">
        <v>1201</v>
      </c>
      <c r="C165" s="86">
        <v>299</v>
      </c>
      <c r="D165" s="87">
        <v>48.6</v>
      </c>
      <c r="E165" s="88">
        <v>15</v>
      </c>
      <c r="F165" s="87">
        <v>29.3</v>
      </c>
      <c r="G165" s="17">
        <v>9</v>
      </c>
      <c r="H165" s="89">
        <v>1</v>
      </c>
      <c r="I165" s="90"/>
      <c r="J165" s="90"/>
      <c r="K165" s="90"/>
      <c r="L165" s="90"/>
      <c r="M165" s="91">
        <f t="shared" si="124"/>
        <v>0</v>
      </c>
      <c r="N165" s="4" t="str">
        <f t="shared" si="125"/>
        <v/>
      </c>
      <c r="O165" s="92">
        <f t="shared" si="126"/>
        <v>0</v>
      </c>
      <c r="P165" s="92">
        <f t="shared" si="127"/>
        <v>0</v>
      </c>
      <c r="Q165" s="80">
        <v>1</v>
      </c>
      <c r="R165" s="80">
        <v>1</v>
      </c>
      <c r="S165" s="80" t="s">
        <v>85</v>
      </c>
      <c r="T165" s="5" t="s">
        <v>627</v>
      </c>
      <c r="U165" s="9"/>
      <c r="W165" s="87">
        <f t="shared" si="121"/>
        <v>48.6</v>
      </c>
      <c r="X165" s="88">
        <f t="shared" si="121"/>
        <v>15</v>
      </c>
      <c r="Y165" s="93">
        <f t="shared" si="122"/>
        <v>1</v>
      </c>
      <c r="Z165" s="91">
        <f t="shared" si="122"/>
        <v>0</v>
      </c>
      <c r="AA165" s="91">
        <f t="shared" si="128"/>
        <v>0</v>
      </c>
      <c r="AB165" s="91">
        <f t="shared" si="123"/>
        <v>0</v>
      </c>
      <c r="AC165" s="4" t="str">
        <f t="shared" si="123"/>
        <v/>
      </c>
      <c r="AD165" s="92">
        <f t="shared" si="123"/>
        <v>0</v>
      </c>
      <c r="AE165" s="80" t="str">
        <f t="shared" si="129"/>
        <v>복</v>
      </c>
      <c r="AF165" s="80" t="str">
        <f t="shared" si="130"/>
        <v>1/1</v>
      </c>
      <c r="AH165" s="20" t="str">
        <f t="shared" si="114"/>
        <v>우암동 일진캠퍼스타워</v>
      </c>
      <c r="AI165" s="88">
        <f t="shared" si="115"/>
        <v>15</v>
      </c>
      <c r="AJ165" s="80" t="str">
        <f t="shared" si="131"/>
        <v>A-</v>
      </c>
      <c r="AK165" s="80" t="s">
        <v>13</v>
      </c>
      <c r="AL165" s="80" t="s">
        <v>62</v>
      </c>
      <c r="AM165" s="80" t="s">
        <v>63</v>
      </c>
      <c r="AN165" s="80" t="str">
        <f t="shared" si="132"/>
        <v>C</v>
      </c>
      <c r="AO165" s="80" t="str">
        <f t="shared" si="133"/>
        <v/>
      </c>
      <c r="AP165" s="80" t="str">
        <f t="shared" si="134"/>
        <v/>
      </c>
      <c r="AQ165" s="80" t="str">
        <f t="shared" si="135"/>
        <v>O</v>
      </c>
      <c r="AR165" s="80" t="str">
        <f t="shared" si="136"/>
        <v>O</v>
      </c>
      <c r="AS165" s="80" t="s">
        <v>2</v>
      </c>
      <c r="AT165" s="80" t="str">
        <f t="shared" si="137"/>
        <v>O</v>
      </c>
      <c r="AU165" s="80" t="str">
        <f t="shared" si="138"/>
        <v>X</v>
      </c>
      <c r="AV165" s="80" t="str">
        <f t="shared" si="139"/>
        <v/>
      </c>
    </row>
    <row r="166" spans="1:48" s="37" customFormat="1" ht="12" x14ac:dyDescent="0.3">
      <c r="A166" s="75" t="s">
        <v>1202</v>
      </c>
      <c r="B166" s="76" t="s">
        <v>1042</v>
      </c>
      <c r="C166" s="86">
        <v>345</v>
      </c>
      <c r="D166" s="87">
        <v>33.6</v>
      </c>
      <c r="E166" s="88">
        <v>10</v>
      </c>
      <c r="F166" s="87">
        <v>26.1</v>
      </c>
      <c r="G166" s="17">
        <v>8</v>
      </c>
      <c r="H166" s="89">
        <v>179</v>
      </c>
      <c r="I166" s="90">
        <v>5000</v>
      </c>
      <c r="J166" s="90" t="s">
        <v>70</v>
      </c>
      <c r="K166" s="90"/>
      <c r="L166" s="90"/>
      <c r="M166" s="91">
        <f>I166-K166</f>
        <v>5000</v>
      </c>
      <c r="N166" s="4">
        <f>IF(ISERROR(K166/I166),"",K166/I166)</f>
        <v>0</v>
      </c>
      <c r="O166" s="92">
        <f>I166/E166</f>
        <v>500</v>
      </c>
      <c r="P166" s="92">
        <f>K166/E166</f>
        <v>0</v>
      </c>
      <c r="Q166" s="80">
        <v>1</v>
      </c>
      <c r="R166" s="80">
        <v>1</v>
      </c>
      <c r="S166" s="80" t="s">
        <v>61</v>
      </c>
      <c r="T166" s="5">
        <v>33</v>
      </c>
      <c r="U166" s="9"/>
      <c r="W166" s="87">
        <f t="shared" si="121"/>
        <v>33.6</v>
      </c>
      <c r="X166" s="88">
        <f t="shared" si="121"/>
        <v>10</v>
      </c>
      <c r="Y166" s="93">
        <f t="shared" si="122"/>
        <v>179</v>
      </c>
      <c r="Z166" s="91">
        <f t="shared" si="122"/>
        <v>5000</v>
      </c>
      <c r="AA166" s="91">
        <f>K166</f>
        <v>0</v>
      </c>
      <c r="AB166" s="91">
        <f t="shared" si="123"/>
        <v>5000</v>
      </c>
      <c r="AC166" s="4">
        <f t="shared" si="123"/>
        <v>0</v>
      </c>
      <c r="AD166" s="92">
        <f t="shared" si="123"/>
        <v>500</v>
      </c>
      <c r="AE166" s="80" t="str">
        <f>S166</f>
        <v>계</v>
      </c>
      <c r="AF166" s="80" t="str">
        <f>Q166&amp;"/"&amp;R166</f>
        <v>1/1</v>
      </c>
      <c r="AH166" s="20" t="str">
        <f t="shared" si="114"/>
        <v>우암동 덕일한마음</v>
      </c>
      <c r="AI166" s="88">
        <f t="shared" si="115"/>
        <v>10</v>
      </c>
      <c r="AJ166" s="80" t="str">
        <f>IF(AI166="","",$AJ$2)</f>
        <v>A-</v>
      </c>
      <c r="AK166" s="80" t="s">
        <v>13</v>
      </c>
      <c r="AL166" s="80" t="s">
        <v>62</v>
      </c>
      <c r="AM166" s="80" t="s">
        <v>63</v>
      </c>
      <c r="AN166" s="80" t="str">
        <f>IF(AI166="","",$AN$2)</f>
        <v>C</v>
      </c>
      <c r="AO166" s="80" t="str">
        <f>IF(N166="","",IF(N166&gt;=$AO$1/100,"O","X"))</f>
        <v>X</v>
      </c>
      <c r="AP166" s="80" t="str">
        <f>IF(I166="","",IF(I166&lt;=$AP$1,"O","X"))</f>
        <v>O</v>
      </c>
      <c r="AQ166" s="80" t="str">
        <f>IF(O166="","",IF(O166&lt;=$AQ$1,"O","X"))</f>
        <v>O</v>
      </c>
      <c r="AR166" s="80" t="str">
        <f>IF(M166="","",IF(M166&lt;=$AR$1,"O","X"))</f>
        <v>O</v>
      </c>
      <c r="AS166" s="80" t="s">
        <v>2</v>
      </c>
      <c r="AT166" s="80" t="str">
        <f>IF(OR(F166="",AI166=""),"",IF(AND((F166&lt;=85),(AI166&gt;=15)),"O","X"))</f>
        <v>X</v>
      </c>
      <c r="AU166" s="80" t="str">
        <f>IF(C166="","",IF(C166&gt;=$AU$1,"O","X"))</f>
        <v>O</v>
      </c>
      <c r="AV166" s="80" t="str">
        <f>IF(AO166="","",IF(AND(AO166="O",AP166="O",AR166="O",AT166="O",AU166="O"),"후보","X"))</f>
        <v>X</v>
      </c>
    </row>
    <row r="167" spans="1:48" s="37" customFormat="1" ht="12" x14ac:dyDescent="0.3">
      <c r="A167" s="75" t="s">
        <v>1203</v>
      </c>
      <c r="B167" s="76" t="s">
        <v>1204</v>
      </c>
      <c r="C167" s="86">
        <v>345</v>
      </c>
      <c r="D167" s="87">
        <v>108.7</v>
      </c>
      <c r="E167" s="88">
        <v>33</v>
      </c>
      <c r="F167" s="87">
        <v>84.8</v>
      </c>
      <c r="G167" s="17">
        <v>26</v>
      </c>
      <c r="H167" s="89">
        <v>163</v>
      </c>
      <c r="I167" s="90"/>
      <c r="J167" s="90"/>
      <c r="K167" s="90"/>
      <c r="L167" s="90"/>
      <c r="M167" s="91">
        <f>I167-K167</f>
        <v>0</v>
      </c>
      <c r="N167" s="4" t="str">
        <f>IF(ISERROR(K167/I167),"",K167/I167)</f>
        <v/>
      </c>
      <c r="O167" s="92">
        <f>I167/E167</f>
        <v>0</v>
      </c>
      <c r="P167" s="92">
        <f>K167/E167</f>
        <v>0</v>
      </c>
      <c r="Q167" s="80">
        <v>3</v>
      </c>
      <c r="R167" s="80">
        <v>2</v>
      </c>
      <c r="S167" s="80" t="s">
        <v>61</v>
      </c>
      <c r="T167" s="5">
        <v>108</v>
      </c>
      <c r="U167" s="9"/>
      <c r="W167" s="87">
        <f t="shared" si="121"/>
        <v>108.7</v>
      </c>
      <c r="X167" s="88">
        <f t="shared" si="121"/>
        <v>33</v>
      </c>
      <c r="Y167" s="93">
        <f t="shared" si="122"/>
        <v>163</v>
      </c>
      <c r="Z167" s="91">
        <f t="shared" si="122"/>
        <v>0</v>
      </c>
      <c r="AA167" s="91">
        <f>K167</f>
        <v>0</v>
      </c>
      <c r="AB167" s="91">
        <f t="shared" si="123"/>
        <v>0</v>
      </c>
      <c r="AC167" s="4" t="str">
        <f t="shared" si="123"/>
        <v/>
      </c>
      <c r="AD167" s="92">
        <f t="shared" si="123"/>
        <v>0</v>
      </c>
      <c r="AE167" s="80" t="str">
        <f>S167</f>
        <v>계</v>
      </c>
      <c r="AF167" s="80" t="str">
        <f>Q167&amp;"/"&amp;R167</f>
        <v>3/2</v>
      </c>
      <c r="AH167" s="20" t="str">
        <f t="shared" si="114"/>
        <v>우암동 덕일한마음</v>
      </c>
      <c r="AI167" s="88">
        <f t="shared" si="115"/>
        <v>33</v>
      </c>
      <c r="AJ167" s="80" t="str">
        <f>IF(AI167="","",$AJ$2)</f>
        <v>A-</v>
      </c>
      <c r="AK167" s="80" t="s">
        <v>13</v>
      </c>
      <c r="AL167" s="80" t="s">
        <v>62</v>
      </c>
      <c r="AM167" s="80" t="s">
        <v>63</v>
      </c>
      <c r="AN167" s="80" t="str">
        <f>IF(AI167="","",$AN$2)</f>
        <v>C</v>
      </c>
      <c r="AO167" s="80" t="str">
        <f>IF(N167="","",IF(N167&gt;=$AO$1/100,"O","X"))</f>
        <v/>
      </c>
      <c r="AP167" s="80" t="str">
        <f>IF(I167="","",IF(I167&lt;=$AP$1,"O","X"))</f>
        <v/>
      </c>
      <c r="AQ167" s="80" t="str">
        <f>IF(O167="","",IF(O167&lt;=$AQ$1,"O","X"))</f>
        <v>O</v>
      </c>
      <c r="AR167" s="80" t="str">
        <f>IF(M167="","",IF(M167&lt;=$AR$1,"O","X"))</f>
        <v>O</v>
      </c>
      <c r="AS167" s="80" t="s">
        <v>2</v>
      </c>
      <c r="AT167" s="80" t="str">
        <f>IF(OR(F167="",AI167=""),"",IF(AND((F167&lt;=85),(AI167&gt;=15)),"O","X"))</f>
        <v>O</v>
      </c>
      <c r="AU167" s="80" t="str">
        <f>IF(C167="","",IF(C167&gt;=$AU$1,"O","X"))</f>
        <v>O</v>
      </c>
      <c r="AV167" s="80" t="str">
        <f>IF(AO167="","",IF(AND(AO167="O",AP167="O",AR167="O",AT167="O",AU167="O"),"후보","X"))</f>
        <v/>
      </c>
    </row>
    <row r="168" spans="1:48" s="37" customFormat="1" ht="12" x14ac:dyDescent="0.3">
      <c r="A168" s="75" t="s">
        <v>1205</v>
      </c>
      <c r="B168" s="76" t="s">
        <v>1206</v>
      </c>
      <c r="C168" s="86">
        <v>345</v>
      </c>
      <c r="D168" s="87">
        <v>209.9</v>
      </c>
      <c r="E168" s="88">
        <v>63</v>
      </c>
      <c r="F168" s="87">
        <v>163.6</v>
      </c>
      <c r="G168" s="17">
        <v>50</v>
      </c>
      <c r="H168" s="89">
        <v>3</v>
      </c>
      <c r="I168" s="90"/>
      <c r="J168" s="90"/>
      <c r="K168" s="90"/>
      <c r="L168" s="90"/>
      <c r="M168" s="91">
        <f>I168-K168</f>
        <v>0</v>
      </c>
      <c r="N168" s="4" t="str">
        <f>IF(ISERROR(K168/I168),"",K168/I168)</f>
        <v/>
      </c>
      <c r="O168" s="92">
        <f>I168/E168</f>
        <v>0</v>
      </c>
      <c r="P168" s="92">
        <f>K168/E168</f>
        <v>0</v>
      </c>
      <c r="Q168" s="80">
        <v>5</v>
      </c>
      <c r="R168" s="80">
        <v>2</v>
      </c>
      <c r="S168" s="80" t="s">
        <v>61</v>
      </c>
      <c r="T168" s="5">
        <v>209</v>
      </c>
      <c r="U168" s="9"/>
      <c r="W168" s="87">
        <f t="shared" ref="W168:X168" si="140">D168</f>
        <v>209.9</v>
      </c>
      <c r="X168" s="88">
        <f t="shared" si="140"/>
        <v>63</v>
      </c>
      <c r="Y168" s="93">
        <f t="shared" ref="Y168:Z168" si="141">H168</f>
        <v>3</v>
      </c>
      <c r="Z168" s="91">
        <f t="shared" si="141"/>
        <v>0</v>
      </c>
      <c r="AA168" s="91">
        <f>K168</f>
        <v>0</v>
      </c>
      <c r="AB168" s="91">
        <f t="shared" ref="AB168:AD183" si="142">M168</f>
        <v>0</v>
      </c>
      <c r="AC168" s="4" t="str">
        <f t="shared" si="142"/>
        <v/>
      </c>
      <c r="AD168" s="92">
        <f t="shared" si="142"/>
        <v>0</v>
      </c>
      <c r="AE168" s="80" t="str">
        <f>S168</f>
        <v>계</v>
      </c>
      <c r="AF168" s="80" t="str">
        <f>Q168&amp;"/"&amp;R168</f>
        <v>5/2</v>
      </c>
      <c r="AH168" s="20" t="str">
        <f t="shared" si="114"/>
        <v>우암동 덕일한마음</v>
      </c>
      <c r="AI168" s="88">
        <f t="shared" si="115"/>
        <v>63</v>
      </c>
      <c r="AJ168" s="80" t="str">
        <f>IF(AI168="","",$AJ$2)</f>
        <v>A-</v>
      </c>
      <c r="AK168" s="80" t="s">
        <v>13</v>
      </c>
      <c r="AL168" s="80" t="s">
        <v>62</v>
      </c>
      <c r="AM168" s="80" t="s">
        <v>63</v>
      </c>
      <c r="AN168" s="80" t="str">
        <f>IF(AI168="","",$AN$2)</f>
        <v>C</v>
      </c>
      <c r="AO168" s="80" t="str">
        <f>IF(N168="","",IF(N168&gt;=$AO$1/100,"O","X"))</f>
        <v/>
      </c>
      <c r="AP168" s="80" t="str">
        <f>IF(I168="","",IF(I168&lt;=$AP$1,"O","X"))</f>
        <v/>
      </c>
      <c r="AQ168" s="80" t="str">
        <f>IF(O168="","",IF(O168&lt;=$AQ$1,"O","X"))</f>
        <v>O</v>
      </c>
      <c r="AR168" s="80" t="str">
        <f>IF(M168="","",IF(M168&lt;=$AR$1,"O","X"))</f>
        <v>O</v>
      </c>
      <c r="AS168" s="80" t="s">
        <v>2</v>
      </c>
      <c r="AT168" s="80" t="str">
        <f>IF(OR(F168="",AI168=""),"",IF(AND((F168&lt;=85),(AI168&gt;=15)),"O","X"))</f>
        <v>X</v>
      </c>
      <c r="AU168" s="80" t="str">
        <f>IF(C168="","",IF(C168&gt;=$AU$1,"O","X"))</f>
        <v>O</v>
      </c>
      <c r="AV168" s="80" t="str">
        <f>IF(AO168="","",IF(AND(AO168="O",AP168="O",AR168="O",AT168="O",AU168="O"),"후보","X"))</f>
        <v/>
      </c>
    </row>
    <row r="169" spans="1:48" s="37" customFormat="1" ht="12" x14ac:dyDescent="0.3">
      <c r="A169" s="75" t="s">
        <v>1207</v>
      </c>
      <c r="B169" s="76" t="s">
        <v>1208</v>
      </c>
      <c r="C169" s="86">
        <v>275</v>
      </c>
      <c r="D169" s="87">
        <v>104</v>
      </c>
      <c r="E169" s="88">
        <v>31</v>
      </c>
      <c r="F169" s="87">
        <v>84.6</v>
      </c>
      <c r="G169" s="17">
        <v>26</v>
      </c>
      <c r="H169" s="89">
        <v>196</v>
      </c>
      <c r="I169" s="90"/>
      <c r="J169" s="90"/>
      <c r="K169" s="90"/>
      <c r="L169" s="90"/>
      <c r="M169" s="91">
        <f>I169-K169</f>
        <v>0</v>
      </c>
      <c r="N169" s="4" t="str">
        <f>IF(ISERROR(K169/I169),"",K169/I169)</f>
        <v/>
      </c>
      <c r="O169" s="92">
        <f>I169/E169</f>
        <v>0</v>
      </c>
      <c r="P169" s="92">
        <f>K169/E169</f>
        <v>0</v>
      </c>
      <c r="Q169" s="80">
        <v>3</v>
      </c>
      <c r="R169" s="80">
        <v>2</v>
      </c>
      <c r="S169" s="80" t="s">
        <v>61</v>
      </c>
      <c r="T169" s="5">
        <v>104</v>
      </c>
      <c r="U169" s="9"/>
      <c r="W169" s="87">
        <f>D169</f>
        <v>104</v>
      </c>
      <c r="X169" s="88">
        <f>E169</f>
        <v>31</v>
      </c>
      <c r="Y169" s="93">
        <f>H169</f>
        <v>196</v>
      </c>
      <c r="Z169" s="91">
        <f>I169</f>
        <v>0</v>
      </c>
      <c r="AA169" s="91">
        <f>K169</f>
        <v>0</v>
      </c>
      <c r="AB169" s="91">
        <f t="shared" si="142"/>
        <v>0</v>
      </c>
      <c r="AC169" s="4" t="str">
        <f t="shared" si="142"/>
        <v/>
      </c>
      <c r="AD169" s="92">
        <f t="shared" si="142"/>
        <v>0</v>
      </c>
      <c r="AE169" s="80" t="str">
        <f>S169</f>
        <v>계</v>
      </c>
      <c r="AF169" s="80" t="str">
        <f>Q169&amp;"/"&amp;R169</f>
        <v>3/2</v>
      </c>
      <c r="AH169" s="20" t="str">
        <f t="shared" si="114"/>
        <v>율량동 삼정2차</v>
      </c>
      <c r="AI169" s="88">
        <f t="shared" si="115"/>
        <v>31</v>
      </c>
      <c r="AJ169" s="80" t="str">
        <f>IF(AI169="","",$AJ$2)</f>
        <v>A-</v>
      </c>
      <c r="AK169" s="80" t="s">
        <v>13</v>
      </c>
      <c r="AL169" s="80" t="s">
        <v>62</v>
      </c>
      <c r="AM169" s="80" t="s">
        <v>63</v>
      </c>
      <c r="AN169" s="80" t="str">
        <f>IF(AI169="","",$AN$2)</f>
        <v>C</v>
      </c>
      <c r="AO169" s="80" t="str">
        <f>IF(N169="","",IF(N169&gt;=$AO$1/100,"O","X"))</f>
        <v/>
      </c>
      <c r="AP169" s="80" t="str">
        <f>IF(I169="","",IF(I169&lt;=$AP$1,"O","X"))</f>
        <v/>
      </c>
      <c r="AQ169" s="80" t="str">
        <f>IF(O169="","",IF(O169&lt;=$AQ$1,"O","X"))</f>
        <v>O</v>
      </c>
      <c r="AR169" s="80" t="str">
        <f>IF(M169="","",IF(M169&lt;=$AR$1,"O","X"))</f>
        <v>O</v>
      </c>
      <c r="AS169" s="80" t="s">
        <v>2</v>
      </c>
      <c r="AT169" s="80" t="str">
        <f>IF(OR(F169="",AI169=""),"",IF(AND((F169&lt;=85),(AI169&gt;=15)),"O","X"))</f>
        <v>O</v>
      </c>
      <c r="AU169" s="80" t="str">
        <f>IF(C169="","",IF(C169&gt;=$AU$1,"O","X"))</f>
        <v>X</v>
      </c>
      <c r="AV169" s="80" t="str">
        <f>IF(AO169="","",IF(AND(AO169="O",AP169="O",AR169="O",AT169="O",AU169="O"),"후보","X"))</f>
        <v/>
      </c>
    </row>
    <row r="170" spans="1:48" s="37" customFormat="1" ht="12" x14ac:dyDescent="0.3">
      <c r="A170" s="75" t="s">
        <v>1209</v>
      </c>
      <c r="B170" s="76" t="s">
        <v>1043</v>
      </c>
      <c r="C170" s="86">
        <v>275</v>
      </c>
      <c r="D170" s="87">
        <v>140.80000000000001</v>
      </c>
      <c r="E170" s="88">
        <v>43</v>
      </c>
      <c r="F170" s="87">
        <v>116.6</v>
      </c>
      <c r="G170" s="17">
        <v>35</v>
      </c>
      <c r="H170" s="89">
        <v>79</v>
      </c>
      <c r="I170" s="90"/>
      <c r="J170" s="90"/>
      <c r="K170" s="90"/>
      <c r="L170" s="90"/>
      <c r="M170" s="91">
        <f>I170-K170</f>
        <v>0</v>
      </c>
      <c r="N170" s="4" t="str">
        <f>IF(ISERROR(K170/I170),"",K170/I170)</f>
        <v/>
      </c>
      <c r="O170" s="92">
        <f>I170/E170</f>
        <v>0</v>
      </c>
      <c r="P170" s="92">
        <f>K170/E170</f>
        <v>0</v>
      </c>
      <c r="Q170" s="80">
        <v>4</v>
      </c>
      <c r="R170" s="80">
        <v>2</v>
      </c>
      <c r="S170" s="80" t="s">
        <v>61</v>
      </c>
      <c r="T170" s="5">
        <v>140</v>
      </c>
      <c r="U170" s="9"/>
      <c r="W170" s="87">
        <f>D170</f>
        <v>140.80000000000001</v>
      </c>
      <c r="X170" s="88">
        <f>E170</f>
        <v>43</v>
      </c>
      <c r="Y170" s="93">
        <f>H170</f>
        <v>79</v>
      </c>
      <c r="Z170" s="91">
        <f>I170</f>
        <v>0</v>
      </c>
      <c r="AA170" s="91">
        <f>K170</f>
        <v>0</v>
      </c>
      <c r="AB170" s="91">
        <f t="shared" si="142"/>
        <v>0</v>
      </c>
      <c r="AC170" s="4" t="str">
        <f t="shared" si="142"/>
        <v/>
      </c>
      <c r="AD170" s="92">
        <f t="shared" si="142"/>
        <v>0</v>
      </c>
      <c r="AE170" s="80" t="str">
        <f>S170</f>
        <v>계</v>
      </c>
      <c r="AF170" s="80" t="str">
        <f>Q170&amp;"/"&amp;R170</f>
        <v>4/2</v>
      </c>
      <c r="AH170" s="20" t="str">
        <f t="shared" si="114"/>
        <v>율량동 삼정2차</v>
      </c>
      <c r="AI170" s="88">
        <f t="shared" si="115"/>
        <v>43</v>
      </c>
      <c r="AJ170" s="80" t="str">
        <f>IF(AI170="","",$AJ$2)</f>
        <v>A-</v>
      </c>
      <c r="AK170" s="80" t="s">
        <v>13</v>
      </c>
      <c r="AL170" s="80" t="s">
        <v>62</v>
      </c>
      <c r="AM170" s="80" t="s">
        <v>63</v>
      </c>
      <c r="AN170" s="80" t="str">
        <f>IF(AI170="","",$AN$2)</f>
        <v>C</v>
      </c>
      <c r="AO170" s="80" t="str">
        <f>IF(N170="","",IF(N170&gt;=$AO$1/100,"O","X"))</f>
        <v/>
      </c>
      <c r="AP170" s="80" t="str">
        <f>IF(I170="","",IF(I170&lt;=$AP$1,"O","X"))</f>
        <v/>
      </c>
      <c r="AQ170" s="80" t="str">
        <f>IF(O170="","",IF(O170&lt;=$AQ$1,"O","X"))</f>
        <v>O</v>
      </c>
      <c r="AR170" s="80" t="str">
        <f>IF(M170="","",IF(M170&lt;=$AR$1,"O","X"))</f>
        <v>O</v>
      </c>
      <c r="AS170" s="80" t="s">
        <v>2</v>
      </c>
      <c r="AT170" s="80" t="str">
        <f>IF(OR(F170="",AI170=""),"",IF(AND((F170&lt;=85),(AI170&gt;=15)),"O","X"))</f>
        <v>X</v>
      </c>
      <c r="AU170" s="80" t="str">
        <f>IF(C170="","",IF(C170&gt;=$AU$1,"O","X"))</f>
        <v>X</v>
      </c>
      <c r="AV170" s="80" t="str">
        <f>IF(AO170="","",IF(AND(AO170="O",AP170="O",AR170="O",AT170="O",AU170="O"),"후보","X"))</f>
        <v/>
      </c>
    </row>
    <row r="171" spans="1:48" s="37" customFormat="1" ht="12" x14ac:dyDescent="0.3">
      <c r="A171" s="75" t="s">
        <v>1210</v>
      </c>
      <c r="B171" s="76" t="s">
        <v>1211</v>
      </c>
      <c r="C171" s="86">
        <v>614</v>
      </c>
      <c r="D171" s="87">
        <v>110.6</v>
      </c>
      <c r="E171" s="88">
        <v>33</v>
      </c>
      <c r="F171" s="87">
        <v>84.9</v>
      </c>
      <c r="G171" s="17">
        <v>26</v>
      </c>
      <c r="H171" s="89">
        <v>203</v>
      </c>
      <c r="I171" s="90">
        <v>44000</v>
      </c>
      <c r="J171" s="90" t="s">
        <v>64</v>
      </c>
      <c r="K171" s="90">
        <v>36000</v>
      </c>
      <c r="L171" s="90" t="s">
        <v>68</v>
      </c>
      <c r="M171" s="91">
        <f>I171-K171</f>
        <v>8000</v>
      </c>
      <c r="N171" s="4">
        <f>IF(ISERROR(K171/I171),"",K171/I171)</f>
        <v>0.81818181818181823</v>
      </c>
      <c r="O171" s="92">
        <f>I171/E171</f>
        <v>1333.3333333333333</v>
      </c>
      <c r="P171" s="92">
        <f>K171/E171</f>
        <v>1090.909090909091</v>
      </c>
      <c r="Q171" s="80">
        <v>3</v>
      </c>
      <c r="R171" s="80">
        <v>2</v>
      </c>
      <c r="S171" s="80" t="s">
        <v>61</v>
      </c>
      <c r="T171" s="5" t="s">
        <v>107</v>
      </c>
      <c r="U171" s="9"/>
      <c r="W171" s="87">
        <f t="shared" ref="W171:X175" si="143">D171</f>
        <v>110.6</v>
      </c>
      <c r="X171" s="88">
        <f t="shared" si="143"/>
        <v>33</v>
      </c>
      <c r="Y171" s="93">
        <f t="shared" ref="Y171:Z175" si="144">H171</f>
        <v>203</v>
      </c>
      <c r="Z171" s="91">
        <f t="shared" si="144"/>
        <v>44000</v>
      </c>
      <c r="AA171" s="91">
        <f>K171</f>
        <v>36000</v>
      </c>
      <c r="AB171" s="91">
        <f t="shared" si="142"/>
        <v>8000</v>
      </c>
      <c r="AC171" s="4">
        <f t="shared" si="142"/>
        <v>0.81818181818181823</v>
      </c>
      <c r="AD171" s="92">
        <f t="shared" si="142"/>
        <v>1333.3333333333333</v>
      </c>
      <c r="AE171" s="80" t="str">
        <f>S171</f>
        <v>계</v>
      </c>
      <c r="AF171" s="80" t="str">
        <f>Q171&amp;"/"&amp;R171</f>
        <v>3/2</v>
      </c>
      <c r="AH171" s="20" t="str">
        <f t="shared" si="114"/>
        <v>율량동 대원칸타빌4차</v>
      </c>
      <c r="AI171" s="88">
        <f t="shared" si="115"/>
        <v>33</v>
      </c>
      <c r="AJ171" s="80" t="str">
        <f>IF(AI171="","",$AJ$2)</f>
        <v>A-</v>
      </c>
      <c r="AK171" s="80" t="s">
        <v>13</v>
      </c>
      <c r="AL171" s="80" t="s">
        <v>62</v>
      </c>
      <c r="AM171" s="80" t="s">
        <v>63</v>
      </c>
      <c r="AN171" s="80" t="str">
        <f>IF(AI171="","",$AN$2)</f>
        <v>C</v>
      </c>
      <c r="AO171" s="80" t="str">
        <f>IF(N171="","",IF(N171&gt;=$AO$1/100,"O","X"))</f>
        <v>O</v>
      </c>
      <c r="AP171" s="80" t="str">
        <f>IF(I171="","",IF(I171&lt;=$AP$1,"O","X"))</f>
        <v>O</v>
      </c>
      <c r="AQ171" s="80" t="str">
        <f>IF(O171="","",IF(O171&lt;=$AQ$1,"O","X"))</f>
        <v>X</v>
      </c>
      <c r="AR171" s="80" t="str">
        <f>IF(M171="","",IF(M171&lt;=$AR$1,"O","X"))</f>
        <v>X</v>
      </c>
      <c r="AS171" s="80" t="s">
        <v>2</v>
      </c>
      <c r="AT171" s="80" t="str">
        <f>IF(OR(F171="",AI171=""),"",IF(AND((F171&lt;=85),(AI171&gt;=15)),"O","X"))</f>
        <v>O</v>
      </c>
      <c r="AU171" s="80" t="str">
        <f>IF(C171="","",IF(C171&gt;=$AU$1,"O","X"))</f>
        <v>O</v>
      </c>
      <c r="AV171" s="80" t="str">
        <f>IF(AO171="","",IF(AND(AO171="O",AP171="O",AR171="O",AT171="O",AU171="O"),"후보","X"))</f>
        <v>X</v>
      </c>
    </row>
    <row r="172" spans="1:48" s="37" customFormat="1" ht="12" x14ac:dyDescent="0.3">
      <c r="A172" s="75" t="s">
        <v>1210</v>
      </c>
      <c r="B172" s="76" t="s">
        <v>1211</v>
      </c>
      <c r="C172" s="86">
        <v>614</v>
      </c>
      <c r="D172" s="87">
        <v>110.2</v>
      </c>
      <c r="E172" s="88">
        <v>33</v>
      </c>
      <c r="F172" s="87">
        <v>84.8</v>
      </c>
      <c r="G172" s="17">
        <v>26</v>
      </c>
      <c r="H172" s="89">
        <v>89</v>
      </c>
      <c r="I172" s="90">
        <v>43000</v>
      </c>
      <c r="J172" s="90" t="s">
        <v>77</v>
      </c>
      <c r="K172" s="90"/>
      <c r="L172" s="90"/>
      <c r="M172" s="91">
        <f>I172-K172</f>
        <v>43000</v>
      </c>
      <c r="N172" s="4">
        <f>IF(ISERROR(K172/I172),"",K172/I172)</f>
        <v>0</v>
      </c>
      <c r="O172" s="92">
        <f>I172/E172</f>
        <v>1303.030303030303</v>
      </c>
      <c r="P172" s="92">
        <f>K172/E172</f>
        <v>0</v>
      </c>
      <c r="Q172" s="80">
        <v>3</v>
      </c>
      <c r="R172" s="80">
        <v>2</v>
      </c>
      <c r="S172" s="80" t="s">
        <v>61</v>
      </c>
      <c r="T172" s="5" t="s">
        <v>663</v>
      </c>
      <c r="U172" s="9"/>
      <c r="W172" s="87">
        <f t="shared" si="143"/>
        <v>110.2</v>
      </c>
      <c r="X172" s="88">
        <f t="shared" si="143"/>
        <v>33</v>
      </c>
      <c r="Y172" s="93">
        <f t="shared" si="144"/>
        <v>89</v>
      </c>
      <c r="Z172" s="91">
        <f t="shared" si="144"/>
        <v>43000</v>
      </c>
      <c r="AA172" s="91">
        <f>K172</f>
        <v>0</v>
      </c>
      <c r="AB172" s="91">
        <f t="shared" si="142"/>
        <v>43000</v>
      </c>
      <c r="AC172" s="4">
        <f t="shared" si="142"/>
        <v>0</v>
      </c>
      <c r="AD172" s="92">
        <f t="shared" si="142"/>
        <v>1303.030303030303</v>
      </c>
      <c r="AE172" s="80" t="str">
        <f>S172</f>
        <v>계</v>
      </c>
      <c r="AF172" s="80" t="str">
        <f>Q172&amp;"/"&amp;R172</f>
        <v>3/2</v>
      </c>
      <c r="AH172" s="20" t="str">
        <f t="shared" si="114"/>
        <v>율량동 대원칸타빌4차</v>
      </c>
      <c r="AI172" s="88">
        <f t="shared" si="115"/>
        <v>33</v>
      </c>
      <c r="AJ172" s="80" t="str">
        <f>IF(AI172="","",$AJ$2)</f>
        <v>A-</v>
      </c>
      <c r="AK172" s="80" t="s">
        <v>13</v>
      </c>
      <c r="AL172" s="80" t="s">
        <v>62</v>
      </c>
      <c r="AM172" s="80" t="s">
        <v>63</v>
      </c>
      <c r="AN172" s="80" t="str">
        <f>IF(AI172="","",$AN$2)</f>
        <v>C</v>
      </c>
      <c r="AO172" s="80" t="str">
        <f>IF(N172="","",IF(N172&gt;=$AO$1/100,"O","X"))</f>
        <v>X</v>
      </c>
      <c r="AP172" s="80" t="str">
        <f>IF(I172="","",IF(I172&lt;=$AP$1,"O","X"))</f>
        <v>O</v>
      </c>
      <c r="AQ172" s="80" t="str">
        <f>IF(O172="","",IF(O172&lt;=$AQ$1,"O","X"))</f>
        <v>X</v>
      </c>
      <c r="AR172" s="80" t="str">
        <f>IF(M172="","",IF(M172&lt;=$AR$1,"O","X"))</f>
        <v>X</v>
      </c>
      <c r="AS172" s="80" t="s">
        <v>2</v>
      </c>
      <c r="AT172" s="80" t="str">
        <f>IF(OR(F172="",AI172=""),"",IF(AND((F172&lt;=85),(AI172&gt;=15)),"O","X"))</f>
        <v>O</v>
      </c>
      <c r="AU172" s="80" t="str">
        <f>IF(C172="","",IF(C172&gt;=$AU$1,"O","X"))</f>
        <v>O</v>
      </c>
      <c r="AV172" s="80" t="str">
        <f>IF(AO172="","",IF(AND(AO172="O",AP172="O",AR172="O",AT172="O",AU172="O"),"후보","X"))</f>
        <v>X</v>
      </c>
    </row>
    <row r="173" spans="1:48" s="37" customFormat="1" ht="12" x14ac:dyDescent="0.3">
      <c r="A173" s="75" t="s">
        <v>1212</v>
      </c>
      <c r="B173" s="76" t="s">
        <v>1213</v>
      </c>
      <c r="C173" s="86">
        <v>614</v>
      </c>
      <c r="D173" s="87">
        <v>111.9</v>
      </c>
      <c r="E173" s="88">
        <v>34</v>
      </c>
      <c r="F173" s="87">
        <v>84.9</v>
      </c>
      <c r="G173" s="17">
        <v>26</v>
      </c>
      <c r="H173" s="89">
        <v>115</v>
      </c>
      <c r="I173" s="90">
        <v>42000</v>
      </c>
      <c r="J173" s="90" t="s">
        <v>70</v>
      </c>
      <c r="K173" s="90"/>
      <c r="L173" s="90"/>
      <c r="M173" s="91">
        <f>I173-K173</f>
        <v>42000</v>
      </c>
      <c r="N173" s="4">
        <f>IF(ISERROR(K173/I173),"",K173/I173)</f>
        <v>0</v>
      </c>
      <c r="O173" s="92">
        <f>I173/E173</f>
        <v>1235.2941176470588</v>
      </c>
      <c r="P173" s="92">
        <f>K173/E173</f>
        <v>0</v>
      </c>
      <c r="Q173" s="80">
        <v>3</v>
      </c>
      <c r="R173" s="80">
        <v>2</v>
      </c>
      <c r="S173" s="80" t="s">
        <v>61</v>
      </c>
      <c r="T173" s="5" t="s">
        <v>664</v>
      </c>
      <c r="U173" s="9"/>
      <c r="W173" s="87">
        <f t="shared" si="143"/>
        <v>111.9</v>
      </c>
      <c r="X173" s="88">
        <f t="shared" si="143"/>
        <v>34</v>
      </c>
      <c r="Y173" s="93">
        <f t="shared" si="144"/>
        <v>115</v>
      </c>
      <c r="Z173" s="91">
        <f t="shared" si="144"/>
        <v>42000</v>
      </c>
      <c r="AA173" s="91">
        <f>K173</f>
        <v>0</v>
      </c>
      <c r="AB173" s="91">
        <f t="shared" si="142"/>
        <v>42000</v>
      </c>
      <c r="AC173" s="4">
        <f t="shared" si="142"/>
        <v>0</v>
      </c>
      <c r="AD173" s="92">
        <f t="shared" si="142"/>
        <v>1235.2941176470588</v>
      </c>
      <c r="AE173" s="80" t="str">
        <f>S173</f>
        <v>계</v>
      </c>
      <c r="AF173" s="80" t="str">
        <f>Q173&amp;"/"&amp;R173</f>
        <v>3/2</v>
      </c>
      <c r="AH173" s="20" t="str">
        <f t="shared" si="114"/>
        <v>율량동 대원칸타빌4차</v>
      </c>
      <c r="AI173" s="88">
        <f t="shared" si="115"/>
        <v>34</v>
      </c>
      <c r="AJ173" s="80" t="str">
        <f>IF(AI173="","",$AJ$2)</f>
        <v>A-</v>
      </c>
      <c r="AK173" s="80" t="s">
        <v>13</v>
      </c>
      <c r="AL173" s="80" t="s">
        <v>62</v>
      </c>
      <c r="AM173" s="80" t="s">
        <v>63</v>
      </c>
      <c r="AN173" s="80" t="str">
        <f>IF(AI173="","",$AN$2)</f>
        <v>C</v>
      </c>
      <c r="AO173" s="80" t="str">
        <f>IF(N173="","",IF(N173&gt;=$AO$1/100,"O","X"))</f>
        <v>X</v>
      </c>
      <c r="AP173" s="80" t="str">
        <f>IF(I173="","",IF(I173&lt;=$AP$1,"O","X"))</f>
        <v>O</v>
      </c>
      <c r="AQ173" s="80" t="str">
        <f>IF(O173="","",IF(O173&lt;=$AQ$1,"O","X"))</f>
        <v>X</v>
      </c>
      <c r="AR173" s="80" t="str">
        <f>IF(M173="","",IF(M173&lt;=$AR$1,"O","X"))</f>
        <v>X</v>
      </c>
      <c r="AS173" s="80" t="s">
        <v>2</v>
      </c>
      <c r="AT173" s="80" t="str">
        <f>IF(OR(F173="",AI173=""),"",IF(AND((F173&lt;=85),(AI173&gt;=15)),"O","X"))</f>
        <v>O</v>
      </c>
      <c r="AU173" s="80" t="str">
        <f>IF(C173="","",IF(C173&gt;=$AU$1,"O","X"))</f>
        <v>O</v>
      </c>
      <c r="AV173" s="80" t="str">
        <f>IF(AO173="","",IF(AND(AO173="O",AP173="O",AR173="O",AT173="O",AU173="O"),"후보","X"))</f>
        <v>X</v>
      </c>
    </row>
    <row r="174" spans="1:48" s="37" customFormat="1" ht="12" x14ac:dyDescent="0.3">
      <c r="A174" s="75" t="s">
        <v>1214</v>
      </c>
      <c r="B174" s="76" t="s">
        <v>1215</v>
      </c>
      <c r="C174" s="86">
        <v>614</v>
      </c>
      <c r="D174" s="87">
        <v>131.30000000000001</v>
      </c>
      <c r="E174" s="88">
        <v>40</v>
      </c>
      <c r="F174" s="87">
        <v>105.6</v>
      </c>
      <c r="G174" s="17">
        <v>32</v>
      </c>
      <c r="H174" s="89">
        <v>198</v>
      </c>
      <c r="I174" s="90"/>
      <c r="J174" s="90"/>
      <c r="K174" s="90"/>
      <c r="L174" s="90"/>
      <c r="M174" s="91">
        <f>I174-K174</f>
        <v>0</v>
      </c>
      <c r="N174" s="4" t="str">
        <f>IF(ISERROR(K174/I174),"",K174/I174)</f>
        <v/>
      </c>
      <c r="O174" s="92">
        <f>I174/E174</f>
        <v>0</v>
      </c>
      <c r="P174" s="92">
        <f>K174/E174</f>
        <v>0</v>
      </c>
      <c r="Q174" s="80">
        <v>3</v>
      </c>
      <c r="R174" s="80">
        <v>2</v>
      </c>
      <c r="S174" s="80" t="s">
        <v>61</v>
      </c>
      <c r="T174" s="5">
        <v>131</v>
      </c>
      <c r="U174" s="9"/>
      <c r="W174" s="87">
        <f t="shared" si="143"/>
        <v>131.30000000000001</v>
      </c>
      <c r="X174" s="88">
        <f t="shared" si="143"/>
        <v>40</v>
      </c>
      <c r="Y174" s="93">
        <f t="shared" si="144"/>
        <v>198</v>
      </c>
      <c r="Z174" s="91">
        <f t="shared" si="144"/>
        <v>0</v>
      </c>
      <c r="AA174" s="91">
        <f>K174</f>
        <v>0</v>
      </c>
      <c r="AB174" s="91">
        <f t="shared" si="142"/>
        <v>0</v>
      </c>
      <c r="AC174" s="4" t="str">
        <f t="shared" si="142"/>
        <v/>
      </c>
      <c r="AD174" s="92">
        <f t="shared" si="142"/>
        <v>0</v>
      </c>
      <c r="AE174" s="80" t="str">
        <f>S174</f>
        <v>계</v>
      </c>
      <c r="AF174" s="80" t="str">
        <f>Q174&amp;"/"&amp;R174</f>
        <v>3/2</v>
      </c>
      <c r="AH174" s="20" t="str">
        <f t="shared" si="114"/>
        <v>율량동 대원칸타빌4차</v>
      </c>
      <c r="AI174" s="88">
        <f t="shared" si="115"/>
        <v>40</v>
      </c>
      <c r="AJ174" s="80" t="str">
        <f>IF(AI174="","",$AJ$2)</f>
        <v>A-</v>
      </c>
      <c r="AK174" s="80" t="s">
        <v>13</v>
      </c>
      <c r="AL174" s="80" t="s">
        <v>62</v>
      </c>
      <c r="AM174" s="80" t="s">
        <v>63</v>
      </c>
      <c r="AN174" s="80" t="str">
        <f>IF(AI174="","",$AN$2)</f>
        <v>C</v>
      </c>
      <c r="AO174" s="80" t="str">
        <f>IF(N174="","",IF(N174&gt;=$AO$1/100,"O","X"))</f>
        <v/>
      </c>
      <c r="AP174" s="80" t="str">
        <f>IF(I174="","",IF(I174&lt;=$AP$1,"O","X"))</f>
        <v/>
      </c>
      <c r="AQ174" s="80" t="str">
        <f>IF(O174="","",IF(O174&lt;=$AQ$1,"O","X"))</f>
        <v>O</v>
      </c>
      <c r="AR174" s="80" t="str">
        <f>IF(M174="","",IF(M174&lt;=$AR$1,"O","X"))</f>
        <v>O</v>
      </c>
      <c r="AS174" s="80" t="s">
        <v>2</v>
      </c>
      <c r="AT174" s="80" t="str">
        <f>IF(OR(F174="",AI174=""),"",IF(AND((F174&lt;=85),(AI174&gt;=15)),"O","X"))</f>
        <v>X</v>
      </c>
      <c r="AU174" s="80" t="str">
        <f>IF(C174="","",IF(C174&gt;=$AU$1,"O","X"))</f>
        <v>O</v>
      </c>
      <c r="AV174" s="80" t="str">
        <f>IF(AO174="","",IF(AND(AO174="O",AP174="O",AR174="O",AT174="O",AU174="O"),"후보","X"))</f>
        <v/>
      </c>
    </row>
    <row r="175" spans="1:48" s="37" customFormat="1" ht="12" x14ac:dyDescent="0.3">
      <c r="A175" s="75" t="s">
        <v>1216</v>
      </c>
      <c r="B175" s="76" t="s">
        <v>1217</v>
      </c>
      <c r="C175" s="86">
        <v>614</v>
      </c>
      <c r="D175" s="87">
        <v>163.69999999999999</v>
      </c>
      <c r="E175" s="88">
        <v>50</v>
      </c>
      <c r="F175" s="87">
        <v>131</v>
      </c>
      <c r="G175" s="17">
        <v>40</v>
      </c>
      <c r="H175" s="89">
        <v>9</v>
      </c>
      <c r="I175" s="90"/>
      <c r="J175" s="90"/>
      <c r="K175" s="90"/>
      <c r="L175" s="90"/>
      <c r="M175" s="91">
        <f>I175-K175</f>
        <v>0</v>
      </c>
      <c r="N175" s="4" t="str">
        <f>IF(ISERROR(K175/I175),"",K175/I175)</f>
        <v/>
      </c>
      <c r="O175" s="92">
        <f>I175/E175</f>
        <v>0</v>
      </c>
      <c r="P175" s="92">
        <f>K175/E175</f>
        <v>0</v>
      </c>
      <c r="Q175" s="80">
        <v>5</v>
      </c>
      <c r="R175" s="80">
        <v>4</v>
      </c>
      <c r="S175" s="80" t="s">
        <v>61</v>
      </c>
      <c r="T175" s="5">
        <v>163</v>
      </c>
      <c r="U175" s="9"/>
      <c r="W175" s="87">
        <f t="shared" si="143"/>
        <v>163.69999999999999</v>
      </c>
      <c r="X175" s="88">
        <f t="shared" si="143"/>
        <v>50</v>
      </c>
      <c r="Y175" s="93">
        <f t="shared" si="144"/>
        <v>9</v>
      </c>
      <c r="Z175" s="91">
        <f t="shared" si="144"/>
        <v>0</v>
      </c>
      <c r="AA175" s="91">
        <f>K175</f>
        <v>0</v>
      </c>
      <c r="AB175" s="91">
        <f t="shared" si="142"/>
        <v>0</v>
      </c>
      <c r="AC175" s="4" t="str">
        <f t="shared" si="142"/>
        <v/>
      </c>
      <c r="AD175" s="92">
        <f t="shared" si="142"/>
        <v>0</v>
      </c>
      <c r="AE175" s="80" t="str">
        <f>S175</f>
        <v>계</v>
      </c>
      <c r="AF175" s="80" t="str">
        <f>Q175&amp;"/"&amp;R175</f>
        <v>5/4</v>
      </c>
      <c r="AH175" s="20" t="str">
        <f t="shared" si="114"/>
        <v>율량동 대원칸타빌4차</v>
      </c>
      <c r="AI175" s="88">
        <f t="shared" si="115"/>
        <v>50</v>
      </c>
      <c r="AJ175" s="80" t="str">
        <f>IF(AI175="","",$AJ$2)</f>
        <v>A-</v>
      </c>
      <c r="AK175" s="80" t="s">
        <v>13</v>
      </c>
      <c r="AL175" s="80" t="s">
        <v>62</v>
      </c>
      <c r="AM175" s="80" t="s">
        <v>63</v>
      </c>
      <c r="AN175" s="80" t="str">
        <f>IF(AI175="","",$AN$2)</f>
        <v>C</v>
      </c>
      <c r="AO175" s="80" t="str">
        <f>IF(N175="","",IF(N175&gt;=$AO$1/100,"O","X"))</f>
        <v/>
      </c>
      <c r="AP175" s="80" t="str">
        <f>IF(I175="","",IF(I175&lt;=$AP$1,"O","X"))</f>
        <v/>
      </c>
      <c r="AQ175" s="80" t="str">
        <f>IF(O175="","",IF(O175&lt;=$AQ$1,"O","X"))</f>
        <v>O</v>
      </c>
      <c r="AR175" s="80" t="str">
        <f>IF(M175="","",IF(M175&lt;=$AR$1,"O","X"))</f>
        <v>O</v>
      </c>
      <c r="AS175" s="80" t="s">
        <v>2</v>
      </c>
      <c r="AT175" s="80" t="str">
        <f>IF(OR(F175="",AI175=""),"",IF(AND((F175&lt;=85),(AI175&gt;=15)),"O","X"))</f>
        <v>X</v>
      </c>
      <c r="AU175" s="80" t="str">
        <f>IF(C175="","",IF(C175&gt;=$AU$1,"O","X"))</f>
        <v>O</v>
      </c>
      <c r="AV175" s="80" t="str">
        <f>IF(AO175="","",IF(AND(AO175="O",AP175="O",AR175="O",AT175="O",AU175="O"),"후보","X"))</f>
        <v/>
      </c>
    </row>
    <row r="176" spans="1:48" s="37" customFormat="1" ht="12" x14ac:dyDescent="0.3">
      <c r="A176" s="75" t="s">
        <v>1218</v>
      </c>
      <c r="B176" s="76" t="s">
        <v>1219</v>
      </c>
      <c r="C176" s="86">
        <v>218</v>
      </c>
      <c r="D176" s="87">
        <v>84.5</v>
      </c>
      <c r="E176" s="88">
        <v>26</v>
      </c>
      <c r="F176" s="87">
        <v>70.8</v>
      </c>
      <c r="G176" s="17">
        <v>21</v>
      </c>
      <c r="H176" s="89">
        <v>72</v>
      </c>
      <c r="I176" s="90"/>
      <c r="J176" s="90"/>
      <c r="K176" s="90"/>
      <c r="L176" s="90"/>
      <c r="M176" s="91">
        <f>I176-K176</f>
        <v>0</v>
      </c>
      <c r="N176" s="4" t="str">
        <f>IF(ISERROR(K176/I176),"",K176/I176)</f>
        <v/>
      </c>
      <c r="O176" s="92">
        <f>I176/E176</f>
        <v>0</v>
      </c>
      <c r="P176" s="92">
        <f>K176/E176</f>
        <v>0</v>
      </c>
      <c r="Q176" s="80">
        <v>3</v>
      </c>
      <c r="R176" s="80">
        <v>1</v>
      </c>
      <c r="S176" s="80" t="s">
        <v>61</v>
      </c>
      <c r="T176" s="5">
        <v>84</v>
      </c>
      <c r="U176" s="9"/>
      <c r="W176" s="87">
        <f>D176</f>
        <v>84.5</v>
      </c>
      <c r="X176" s="88">
        <f>E176</f>
        <v>26</v>
      </c>
      <c r="Y176" s="93">
        <f>H176</f>
        <v>72</v>
      </c>
      <c r="Z176" s="91">
        <f>I176</f>
        <v>0</v>
      </c>
      <c r="AA176" s="91">
        <f>K176</f>
        <v>0</v>
      </c>
      <c r="AB176" s="91">
        <f t="shared" si="142"/>
        <v>0</v>
      </c>
      <c r="AC176" s="4" t="str">
        <f t="shared" si="142"/>
        <v/>
      </c>
      <c r="AD176" s="92">
        <f t="shared" si="142"/>
        <v>0</v>
      </c>
      <c r="AE176" s="80" t="str">
        <f>S176</f>
        <v>계</v>
      </c>
      <c r="AF176" s="80" t="str">
        <f>Q176&amp;"/"&amp;R176</f>
        <v>3/1</v>
      </c>
      <c r="AH176" s="20" t="str">
        <f t="shared" si="114"/>
        <v>율량동 삼정1차</v>
      </c>
      <c r="AI176" s="88">
        <f t="shared" si="115"/>
        <v>26</v>
      </c>
      <c r="AJ176" s="80" t="str">
        <f>IF(AI176="","",$AJ$2)</f>
        <v>A-</v>
      </c>
      <c r="AK176" s="80" t="s">
        <v>13</v>
      </c>
      <c r="AL176" s="80" t="s">
        <v>62</v>
      </c>
      <c r="AM176" s="80" t="s">
        <v>63</v>
      </c>
      <c r="AN176" s="80" t="str">
        <f>IF(AI176="","",$AN$2)</f>
        <v>C</v>
      </c>
      <c r="AO176" s="80" t="str">
        <f>IF(N176="","",IF(N176&gt;=$AO$1/100,"O","X"))</f>
        <v/>
      </c>
      <c r="AP176" s="80" t="str">
        <f>IF(I176="","",IF(I176&lt;=$AP$1,"O","X"))</f>
        <v/>
      </c>
      <c r="AQ176" s="80" t="str">
        <f>IF(O176="","",IF(O176&lt;=$AQ$1,"O","X"))</f>
        <v>O</v>
      </c>
      <c r="AR176" s="80" t="str">
        <f>IF(M176="","",IF(M176&lt;=$AR$1,"O","X"))</f>
        <v>O</v>
      </c>
      <c r="AS176" s="80" t="s">
        <v>2</v>
      </c>
      <c r="AT176" s="80" t="str">
        <f>IF(OR(F176="",AI176=""),"",IF(AND((F176&lt;=85),(AI176&gt;=15)),"O","X"))</f>
        <v>O</v>
      </c>
      <c r="AU176" s="80" t="str">
        <f>IF(C176="","",IF(C176&gt;=$AU$1,"O","X"))</f>
        <v>X</v>
      </c>
      <c r="AV176" s="80" t="str">
        <f>IF(AO176="","",IF(AND(AO176="O",AP176="O",AR176="O",AT176="O",AU176="O"),"후보","X"))</f>
        <v/>
      </c>
    </row>
    <row r="177" spans="1:48" s="37" customFormat="1" ht="12" x14ac:dyDescent="0.3">
      <c r="A177" s="75" t="s">
        <v>1220</v>
      </c>
      <c r="B177" s="76" t="s">
        <v>1047</v>
      </c>
      <c r="C177" s="86">
        <v>218</v>
      </c>
      <c r="D177" s="87">
        <v>85.8</v>
      </c>
      <c r="E177" s="88">
        <v>26</v>
      </c>
      <c r="F177" s="87">
        <v>72.400000000000006</v>
      </c>
      <c r="G177" s="17">
        <v>22</v>
      </c>
      <c r="H177" s="89">
        <v>146</v>
      </c>
      <c r="I177" s="90"/>
      <c r="J177" s="90"/>
      <c r="K177" s="90"/>
      <c r="L177" s="90"/>
      <c r="M177" s="91">
        <f>I177-K177</f>
        <v>0</v>
      </c>
      <c r="N177" s="4" t="str">
        <f>IF(ISERROR(K177/I177),"",K177/I177)</f>
        <v/>
      </c>
      <c r="O177" s="92">
        <f>I177/E177</f>
        <v>0</v>
      </c>
      <c r="P177" s="92">
        <f>K177/E177</f>
        <v>0</v>
      </c>
      <c r="Q177" s="80">
        <v>3</v>
      </c>
      <c r="R177" s="80">
        <v>1</v>
      </c>
      <c r="S177" s="80" t="s">
        <v>61</v>
      </c>
      <c r="T177" s="5">
        <v>85</v>
      </c>
      <c r="U177" s="9"/>
      <c r="W177" s="87">
        <f>D177</f>
        <v>85.8</v>
      </c>
      <c r="X177" s="88">
        <f>E177</f>
        <v>26</v>
      </c>
      <c r="Y177" s="93">
        <f>H177</f>
        <v>146</v>
      </c>
      <c r="Z177" s="91">
        <f>I177</f>
        <v>0</v>
      </c>
      <c r="AA177" s="91">
        <f>K177</f>
        <v>0</v>
      </c>
      <c r="AB177" s="91">
        <f t="shared" si="142"/>
        <v>0</v>
      </c>
      <c r="AC177" s="4" t="str">
        <f t="shared" si="142"/>
        <v/>
      </c>
      <c r="AD177" s="92">
        <f t="shared" si="142"/>
        <v>0</v>
      </c>
      <c r="AE177" s="80" t="str">
        <f>S177</f>
        <v>계</v>
      </c>
      <c r="AF177" s="80" t="str">
        <f>Q177&amp;"/"&amp;R177</f>
        <v>3/1</v>
      </c>
      <c r="AH177" s="20" t="str">
        <f t="shared" si="114"/>
        <v>율량동 삼정1차</v>
      </c>
      <c r="AI177" s="88">
        <f t="shared" si="115"/>
        <v>26</v>
      </c>
      <c r="AJ177" s="80" t="str">
        <f>IF(AI177="","",$AJ$2)</f>
        <v>A-</v>
      </c>
      <c r="AK177" s="80" t="s">
        <v>13</v>
      </c>
      <c r="AL177" s="80" t="s">
        <v>62</v>
      </c>
      <c r="AM177" s="80" t="s">
        <v>63</v>
      </c>
      <c r="AN177" s="80" t="str">
        <f>IF(AI177="","",$AN$2)</f>
        <v>C</v>
      </c>
      <c r="AO177" s="80" t="str">
        <f>IF(N177="","",IF(N177&gt;=$AO$1/100,"O","X"))</f>
        <v/>
      </c>
      <c r="AP177" s="80" t="str">
        <f>IF(I177="","",IF(I177&lt;=$AP$1,"O","X"))</f>
        <v/>
      </c>
      <c r="AQ177" s="80" t="str">
        <f>IF(O177="","",IF(O177&lt;=$AQ$1,"O","X"))</f>
        <v>O</v>
      </c>
      <c r="AR177" s="80" t="str">
        <f>IF(M177="","",IF(M177&lt;=$AR$1,"O","X"))</f>
        <v>O</v>
      </c>
      <c r="AS177" s="80" t="s">
        <v>2</v>
      </c>
      <c r="AT177" s="80" t="str">
        <f>IF(OR(F177="",AI177=""),"",IF(AND((F177&lt;=85),(AI177&gt;=15)),"O","X"))</f>
        <v>O</v>
      </c>
      <c r="AU177" s="80" t="str">
        <f>IF(C177="","",IF(C177&gt;=$AU$1,"O","X"))</f>
        <v>X</v>
      </c>
      <c r="AV177" s="80" t="str">
        <f>IF(AO177="","",IF(AND(AO177="O",AP177="O",AR177="O",AT177="O",AU177="O"),"후보","X"))</f>
        <v/>
      </c>
    </row>
    <row r="178" spans="1:48" s="37" customFormat="1" ht="12" x14ac:dyDescent="0.3">
      <c r="A178" s="75" t="s">
        <v>1221</v>
      </c>
      <c r="B178" s="76" t="s">
        <v>1049</v>
      </c>
      <c r="C178" s="86">
        <v>489</v>
      </c>
      <c r="D178" s="87">
        <v>69.2</v>
      </c>
      <c r="E178" s="88">
        <v>21</v>
      </c>
      <c r="F178" s="87">
        <v>59.8</v>
      </c>
      <c r="G178" s="17">
        <v>18</v>
      </c>
      <c r="H178" s="89">
        <v>176</v>
      </c>
      <c r="I178" s="90">
        <v>16500</v>
      </c>
      <c r="J178" s="90" t="s">
        <v>73</v>
      </c>
      <c r="K178" s="90"/>
      <c r="L178" s="90"/>
      <c r="M178" s="91">
        <f>I178-K178</f>
        <v>16500</v>
      </c>
      <c r="N178" s="4">
        <f>IF(ISERROR(K178/I178),"",K178/I178)</f>
        <v>0</v>
      </c>
      <c r="O178" s="92">
        <f>I178/E178</f>
        <v>785.71428571428567</v>
      </c>
      <c r="P178" s="92">
        <f>K178/E178</f>
        <v>0</v>
      </c>
      <c r="Q178" s="80">
        <v>3</v>
      </c>
      <c r="R178" s="80">
        <v>1</v>
      </c>
      <c r="S178" s="80" t="s">
        <v>61</v>
      </c>
      <c r="T178" s="5">
        <v>69</v>
      </c>
      <c r="U178" s="9"/>
      <c r="W178" s="87">
        <f t="shared" ref="W178:X187" si="145">D178</f>
        <v>69.2</v>
      </c>
      <c r="X178" s="88">
        <f t="shared" si="145"/>
        <v>21</v>
      </c>
      <c r="Y178" s="93">
        <f t="shared" ref="Y178:Z187" si="146">H178</f>
        <v>176</v>
      </c>
      <c r="Z178" s="91">
        <f t="shared" si="146"/>
        <v>16500</v>
      </c>
      <c r="AA178" s="91">
        <f>K178</f>
        <v>0</v>
      </c>
      <c r="AB178" s="91">
        <f t="shared" si="142"/>
        <v>16500</v>
      </c>
      <c r="AC178" s="4">
        <f t="shared" si="142"/>
        <v>0</v>
      </c>
      <c r="AD178" s="92">
        <f t="shared" si="142"/>
        <v>785.71428571428567</v>
      </c>
      <c r="AE178" s="80" t="str">
        <f>S178</f>
        <v>계</v>
      </c>
      <c r="AF178" s="80" t="str">
        <f>Q178&amp;"/"&amp;R178</f>
        <v>3/1</v>
      </c>
      <c r="AH178" s="20" t="str">
        <f t="shared" si="114"/>
        <v>율량동 현대</v>
      </c>
      <c r="AI178" s="88">
        <f t="shared" si="115"/>
        <v>21</v>
      </c>
      <c r="AJ178" s="80" t="str">
        <f>IF(AI178="","",$AJ$2)</f>
        <v>A-</v>
      </c>
      <c r="AK178" s="80" t="s">
        <v>13</v>
      </c>
      <c r="AL178" s="80" t="s">
        <v>62</v>
      </c>
      <c r="AM178" s="80" t="s">
        <v>63</v>
      </c>
      <c r="AN178" s="80" t="str">
        <f>IF(AI178="","",$AN$2)</f>
        <v>C</v>
      </c>
      <c r="AO178" s="80" t="str">
        <f>IF(N178="","",IF(N178&gt;=$AO$1/100,"O","X"))</f>
        <v>X</v>
      </c>
      <c r="AP178" s="80" t="str">
        <f>IF(I178="","",IF(I178&lt;=$AP$1,"O","X"))</f>
        <v>O</v>
      </c>
      <c r="AQ178" s="80" t="str">
        <f>IF(O178="","",IF(O178&lt;=$AQ$1,"O","X"))</f>
        <v>O</v>
      </c>
      <c r="AR178" s="80" t="str">
        <f>IF(M178="","",IF(M178&lt;=$AR$1,"O","X"))</f>
        <v>X</v>
      </c>
      <c r="AS178" s="80" t="s">
        <v>2</v>
      </c>
      <c r="AT178" s="80" t="str">
        <f>IF(OR(F178="",AI178=""),"",IF(AND((F178&lt;=85),(AI178&gt;=15)),"O","X"))</f>
        <v>O</v>
      </c>
      <c r="AU178" s="80" t="str">
        <f>IF(C178="","",IF(C178&gt;=$AU$1,"O","X"))</f>
        <v>O</v>
      </c>
      <c r="AV178" s="80" t="str">
        <f>IF(AO178="","",IF(AND(AO178="O",AP178="O",AR178="O",AT178="O",AU178="O"),"후보","X"))</f>
        <v>X</v>
      </c>
    </row>
    <row r="179" spans="1:48" s="37" customFormat="1" ht="12" x14ac:dyDescent="0.3">
      <c r="A179" s="75" t="s">
        <v>1222</v>
      </c>
      <c r="B179" s="76" t="s">
        <v>1223</v>
      </c>
      <c r="C179" s="86">
        <v>489</v>
      </c>
      <c r="D179" s="87">
        <v>97.6</v>
      </c>
      <c r="E179" s="88">
        <v>30</v>
      </c>
      <c r="F179" s="87">
        <v>84.4</v>
      </c>
      <c r="G179" s="17">
        <v>26</v>
      </c>
      <c r="H179" s="89">
        <v>228</v>
      </c>
      <c r="I179" s="90">
        <v>21000</v>
      </c>
      <c r="J179" s="90" t="s">
        <v>69</v>
      </c>
      <c r="K179" s="90"/>
      <c r="L179" s="90"/>
      <c r="M179" s="91">
        <f>I179-K179</f>
        <v>21000</v>
      </c>
      <c r="N179" s="4">
        <f>IF(ISERROR(K179/I179),"",K179/I179)</f>
        <v>0</v>
      </c>
      <c r="O179" s="92">
        <f>I179/E179</f>
        <v>700</v>
      </c>
      <c r="P179" s="92">
        <f>K179/E179</f>
        <v>0</v>
      </c>
      <c r="Q179" s="80">
        <v>3</v>
      </c>
      <c r="R179" s="80">
        <v>2</v>
      </c>
      <c r="S179" s="80" t="s">
        <v>61</v>
      </c>
      <c r="T179" s="5">
        <v>97</v>
      </c>
      <c r="U179" s="9"/>
      <c r="W179" s="87">
        <f t="shared" si="145"/>
        <v>97.6</v>
      </c>
      <c r="X179" s="88">
        <f t="shared" si="145"/>
        <v>30</v>
      </c>
      <c r="Y179" s="93">
        <f t="shared" si="146"/>
        <v>228</v>
      </c>
      <c r="Z179" s="91">
        <f t="shared" si="146"/>
        <v>21000</v>
      </c>
      <c r="AA179" s="91">
        <f>K179</f>
        <v>0</v>
      </c>
      <c r="AB179" s="91">
        <f t="shared" si="142"/>
        <v>21000</v>
      </c>
      <c r="AC179" s="4">
        <f t="shared" si="142"/>
        <v>0</v>
      </c>
      <c r="AD179" s="92">
        <f t="shared" si="142"/>
        <v>700</v>
      </c>
      <c r="AE179" s="80" t="str">
        <f>S179</f>
        <v>계</v>
      </c>
      <c r="AF179" s="80" t="str">
        <f>Q179&amp;"/"&amp;R179</f>
        <v>3/2</v>
      </c>
      <c r="AH179" s="20" t="str">
        <f t="shared" si="114"/>
        <v>율량동 현대</v>
      </c>
      <c r="AI179" s="88">
        <f t="shared" si="115"/>
        <v>30</v>
      </c>
      <c r="AJ179" s="80" t="str">
        <f>IF(AI179="","",$AJ$2)</f>
        <v>A-</v>
      </c>
      <c r="AK179" s="80" t="s">
        <v>13</v>
      </c>
      <c r="AL179" s="80" t="s">
        <v>62</v>
      </c>
      <c r="AM179" s="80" t="s">
        <v>63</v>
      </c>
      <c r="AN179" s="80" t="str">
        <f>IF(AI179="","",$AN$2)</f>
        <v>C</v>
      </c>
      <c r="AO179" s="80" t="str">
        <f>IF(N179="","",IF(N179&gt;=$AO$1/100,"O","X"))</f>
        <v>X</v>
      </c>
      <c r="AP179" s="80" t="str">
        <f>IF(I179="","",IF(I179&lt;=$AP$1,"O","X"))</f>
        <v>O</v>
      </c>
      <c r="AQ179" s="80" t="str">
        <f>IF(O179="","",IF(O179&lt;=$AQ$1,"O","X"))</f>
        <v>O</v>
      </c>
      <c r="AR179" s="80" t="str">
        <f>IF(M179="","",IF(M179&lt;=$AR$1,"O","X"))</f>
        <v>X</v>
      </c>
      <c r="AS179" s="80" t="s">
        <v>2</v>
      </c>
      <c r="AT179" s="80" t="str">
        <f>IF(OR(F179="",AI179=""),"",IF(AND((F179&lt;=85),(AI179&gt;=15)),"O","X"))</f>
        <v>O</v>
      </c>
      <c r="AU179" s="80" t="str">
        <f>IF(C179="","",IF(C179&gt;=$AU$1,"O","X"))</f>
        <v>O</v>
      </c>
      <c r="AV179" s="80" t="str">
        <f>IF(AO179="","",IF(AND(AO179="O",AP179="O",AR179="O",AT179="O",AU179="O"),"후보","X"))</f>
        <v>X</v>
      </c>
    </row>
    <row r="180" spans="1:48" s="37" customFormat="1" ht="12" x14ac:dyDescent="0.3">
      <c r="A180" s="75" t="s">
        <v>1224</v>
      </c>
      <c r="B180" s="76" t="s">
        <v>1225</v>
      </c>
      <c r="C180" s="86">
        <v>489</v>
      </c>
      <c r="D180" s="87">
        <v>154.80000000000001</v>
      </c>
      <c r="E180" s="88">
        <v>47</v>
      </c>
      <c r="F180" s="87">
        <v>133.80000000000001</v>
      </c>
      <c r="G180" s="17">
        <v>40</v>
      </c>
      <c r="H180" s="89">
        <v>85</v>
      </c>
      <c r="I180" s="90">
        <v>30000</v>
      </c>
      <c r="J180" s="90" t="s">
        <v>66</v>
      </c>
      <c r="K180" s="90"/>
      <c r="L180" s="90"/>
      <c r="M180" s="91">
        <f>I180-K180</f>
        <v>30000</v>
      </c>
      <c r="N180" s="4">
        <f>IF(ISERROR(K180/I180),"",K180/I180)</f>
        <v>0</v>
      </c>
      <c r="O180" s="92">
        <f>I180/E180</f>
        <v>638.29787234042556</v>
      </c>
      <c r="P180" s="92">
        <f>K180/E180</f>
        <v>0</v>
      </c>
      <c r="Q180" s="80">
        <v>4</v>
      </c>
      <c r="R180" s="80">
        <v>2</v>
      </c>
      <c r="S180" s="80" t="s">
        <v>61</v>
      </c>
      <c r="T180" s="5">
        <v>154</v>
      </c>
      <c r="U180" s="9"/>
      <c r="W180" s="87">
        <f t="shared" si="145"/>
        <v>154.80000000000001</v>
      </c>
      <c r="X180" s="88">
        <f t="shared" si="145"/>
        <v>47</v>
      </c>
      <c r="Y180" s="93">
        <f t="shared" si="146"/>
        <v>85</v>
      </c>
      <c r="Z180" s="91">
        <f t="shared" si="146"/>
        <v>30000</v>
      </c>
      <c r="AA180" s="91">
        <f>K180</f>
        <v>0</v>
      </c>
      <c r="AB180" s="91">
        <f t="shared" si="142"/>
        <v>30000</v>
      </c>
      <c r="AC180" s="4">
        <f t="shared" si="142"/>
        <v>0</v>
      </c>
      <c r="AD180" s="92">
        <f t="shared" si="142"/>
        <v>638.29787234042556</v>
      </c>
      <c r="AE180" s="80" t="str">
        <f>S180</f>
        <v>계</v>
      </c>
      <c r="AF180" s="80" t="str">
        <f>Q180&amp;"/"&amp;R180</f>
        <v>4/2</v>
      </c>
      <c r="AH180" s="20" t="str">
        <f t="shared" si="114"/>
        <v>율량동 현대</v>
      </c>
      <c r="AI180" s="88">
        <f t="shared" si="115"/>
        <v>47</v>
      </c>
      <c r="AJ180" s="80" t="str">
        <f>IF(AI180="","",$AJ$2)</f>
        <v>A-</v>
      </c>
      <c r="AK180" s="80" t="s">
        <v>13</v>
      </c>
      <c r="AL180" s="80" t="s">
        <v>62</v>
      </c>
      <c r="AM180" s="80" t="s">
        <v>63</v>
      </c>
      <c r="AN180" s="80" t="str">
        <f>IF(AI180="","",$AN$2)</f>
        <v>C</v>
      </c>
      <c r="AO180" s="80" t="str">
        <f>IF(N180="","",IF(N180&gt;=$AO$1/100,"O","X"))</f>
        <v>X</v>
      </c>
      <c r="AP180" s="80" t="str">
        <f>IF(I180="","",IF(I180&lt;=$AP$1,"O","X"))</f>
        <v>O</v>
      </c>
      <c r="AQ180" s="80" t="str">
        <f>IF(O180="","",IF(O180&lt;=$AQ$1,"O","X"))</f>
        <v>O</v>
      </c>
      <c r="AR180" s="80" t="str">
        <f>IF(M180="","",IF(M180&lt;=$AR$1,"O","X"))</f>
        <v>X</v>
      </c>
      <c r="AS180" s="80" t="s">
        <v>2</v>
      </c>
      <c r="AT180" s="80" t="str">
        <f>IF(OR(F180="",AI180=""),"",IF(AND((F180&lt;=85),(AI180&gt;=15)),"O","X"))</f>
        <v>X</v>
      </c>
      <c r="AU180" s="80" t="str">
        <f>IF(C180="","",IF(C180&gt;=$AU$1,"O","X"))</f>
        <v>O</v>
      </c>
      <c r="AV180" s="80" t="str">
        <f>IF(AO180="","",IF(AND(AO180="O",AP180="O",AR180="O",AT180="O",AU180="O"),"후보","X"))</f>
        <v>X</v>
      </c>
    </row>
    <row r="181" spans="1:48" s="37" customFormat="1" ht="12" x14ac:dyDescent="0.3">
      <c r="A181" s="75" t="s">
        <v>1226</v>
      </c>
      <c r="B181" s="76" t="s">
        <v>1227</v>
      </c>
      <c r="C181" s="86">
        <v>252</v>
      </c>
      <c r="D181" s="87">
        <v>51.9</v>
      </c>
      <c r="E181" s="88">
        <v>16</v>
      </c>
      <c r="F181" s="87">
        <v>26.6</v>
      </c>
      <c r="G181" s="17">
        <v>8</v>
      </c>
      <c r="H181" s="89">
        <v>15</v>
      </c>
      <c r="I181" s="90"/>
      <c r="J181" s="90"/>
      <c r="K181" s="90"/>
      <c r="L181" s="90"/>
      <c r="M181" s="91">
        <f>I181-K181</f>
        <v>0</v>
      </c>
      <c r="N181" s="4" t="str">
        <f>IF(ISERROR(K181/I181),"",K181/I181)</f>
        <v/>
      </c>
      <c r="O181" s="92">
        <f>I181/E181</f>
        <v>0</v>
      </c>
      <c r="P181" s="92">
        <f>K181/E181</f>
        <v>0</v>
      </c>
      <c r="Q181" s="80">
        <v>2</v>
      </c>
      <c r="R181" s="80">
        <v>1</v>
      </c>
      <c r="S181" s="80" t="s">
        <v>61</v>
      </c>
      <c r="T181" s="5">
        <v>51</v>
      </c>
      <c r="U181" s="9"/>
      <c r="W181" s="87">
        <f t="shared" si="145"/>
        <v>51.9</v>
      </c>
      <c r="X181" s="88">
        <f t="shared" si="145"/>
        <v>16</v>
      </c>
      <c r="Y181" s="93">
        <f t="shared" si="146"/>
        <v>15</v>
      </c>
      <c r="Z181" s="91">
        <f t="shared" si="146"/>
        <v>0</v>
      </c>
      <c r="AA181" s="91">
        <f>K181</f>
        <v>0</v>
      </c>
      <c r="AB181" s="91">
        <f t="shared" si="142"/>
        <v>0</v>
      </c>
      <c r="AC181" s="4" t="str">
        <f t="shared" si="142"/>
        <v/>
      </c>
      <c r="AD181" s="92">
        <f t="shared" si="142"/>
        <v>0</v>
      </c>
      <c r="AE181" s="80" t="str">
        <f>S181</f>
        <v>계</v>
      </c>
      <c r="AF181" s="80" t="str">
        <f>Q181&amp;"/"&amp;R181</f>
        <v>2/1</v>
      </c>
      <c r="AH181" s="20" t="str">
        <f t="shared" si="114"/>
        <v>율량동 신라(1292)</v>
      </c>
      <c r="AI181" s="88">
        <f t="shared" si="115"/>
        <v>16</v>
      </c>
      <c r="AJ181" s="80" t="str">
        <f>IF(AI181="","",$AJ$2)</f>
        <v>A-</v>
      </c>
      <c r="AK181" s="80" t="s">
        <v>13</v>
      </c>
      <c r="AL181" s="80" t="s">
        <v>62</v>
      </c>
      <c r="AM181" s="80" t="s">
        <v>63</v>
      </c>
      <c r="AN181" s="80" t="str">
        <f>IF(AI181="","",$AN$2)</f>
        <v>C</v>
      </c>
      <c r="AO181" s="80" t="str">
        <f>IF(N181="","",IF(N181&gt;=$AO$1/100,"O","X"))</f>
        <v/>
      </c>
      <c r="AP181" s="80" t="str">
        <f>IF(I181="","",IF(I181&lt;=$AP$1,"O","X"))</f>
        <v/>
      </c>
      <c r="AQ181" s="80" t="str">
        <f>IF(O181="","",IF(O181&lt;=$AQ$1,"O","X"))</f>
        <v>O</v>
      </c>
      <c r="AR181" s="80" t="str">
        <f>IF(M181="","",IF(M181&lt;=$AR$1,"O","X"))</f>
        <v>O</v>
      </c>
      <c r="AS181" s="80" t="s">
        <v>2</v>
      </c>
      <c r="AT181" s="80" t="str">
        <f>IF(OR(F181="",AI181=""),"",IF(AND((F181&lt;=85),(AI181&gt;=15)),"O","X"))</f>
        <v>O</v>
      </c>
      <c r="AU181" s="80" t="str">
        <f>IF(C181="","",IF(C181&gt;=$AU$1,"O","X"))</f>
        <v>X</v>
      </c>
      <c r="AV181" s="80" t="str">
        <f>IF(AO181="","",IF(AND(AO181="O",AP181="O",AR181="O",AT181="O",AU181="O"),"후보","X"))</f>
        <v/>
      </c>
    </row>
    <row r="182" spans="1:48" s="37" customFormat="1" ht="12" x14ac:dyDescent="0.3">
      <c r="A182" s="75" t="s">
        <v>1228</v>
      </c>
      <c r="B182" s="76" t="s">
        <v>1051</v>
      </c>
      <c r="C182" s="86">
        <v>252</v>
      </c>
      <c r="D182" s="87">
        <v>59.7</v>
      </c>
      <c r="E182" s="88">
        <v>18</v>
      </c>
      <c r="F182" s="87">
        <v>30.6</v>
      </c>
      <c r="G182" s="17">
        <v>9</v>
      </c>
      <c r="H182" s="89">
        <v>228</v>
      </c>
      <c r="I182" s="90"/>
      <c r="J182" s="90"/>
      <c r="K182" s="90"/>
      <c r="L182" s="90"/>
      <c r="M182" s="91">
        <f>I182-K182</f>
        <v>0</v>
      </c>
      <c r="N182" s="4" t="str">
        <f>IF(ISERROR(K182/I182),"",K182/I182)</f>
        <v/>
      </c>
      <c r="O182" s="92">
        <f>I182/E182</f>
        <v>0</v>
      </c>
      <c r="P182" s="92">
        <f>K182/E182</f>
        <v>0</v>
      </c>
      <c r="Q182" s="80">
        <v>2</v>
      </c>
      <c r="R182" s="80">
        <v>1</v>
      </c>
      <c r="S182" s="80" t="s">
        <v>61</v>
      </c>
      <c r="T182" s="5">
        <v>59</v>
      </c>
      <c r="U182" s="9"/>
      <c r="W182" s="87">
        <f t="shared" si="145"/>
        <v>59.7</v>
      </c>
      <c r="X182" s="88">
        <f t="shared" si="145"/>
        <v>18</v>
      </c>
      <c r="Y182" s="93">
        <f t="shared" si="146"/>
        <v>228</v>
      </c>
      <c r="Z182" s="91">
        <f t="shared" si="146"/>
        <v>0</v>
      </c>
      <c r="AA182" s="91">
        <f>K182</f>
        <v>0</v>
      </c>
      <c r="AB182" s="91">
        <f t="shared" si="142"/>
        <v>0</v>
      </c>
      <c r="AC182" s="4" t="str">
        <f t="shared" si="142"/>
        <v/>
      </c>
      <c r="AD182" s="92">
        <f t="shared" si="142"/>
        <v>0</v>
      </c>
      <c r="AE182" s="80" t="str">
        <f>S182</f>
        <v>계</v>
      </c>
      <c r="AF182" s="80" t="str">
        <f>Q182&amp;"/"&amp;R182</f>
        <v>2/1</v>
      </c>
      <c r="AH182" s="20" t="str">
        <f t="shared" si="114"/>
        <v>율량동 신라(1292)</v>
      </c>
      <c r="AI182" s="88">
        <f t="shared" si="115"/>
        <v>18</v>
      </c>
      <c r="AJ182" s="80" t="str">
        <f>IF(AI182="","",$AJ$2)</f>
        <v>A-</v>
      </c>
      <c r="AK182" s="80" t="s">
        <v>13</v>
      </c>
      <c r="AL182" s="80" t="s">
        <v>62</v>
      </c>
      <c r="AM182" s="80" t="s">
        <v>63</v>
      </c>
      <c r="AN182" s="80" t="str">
        <f>IF(AI182="","",$AN$2)</f>
        <v>C</v>
      </c>
      <c r="AO182" s="80" t="str">
        <f>IF(N182="","",IF(N182&gt;=$AO$1/100,"O","X"))</f>
        <v/>
      </c>
      <c r="AP182" s="80" t="str">
        <f>IF(I182="","",IF(I182&lt;=$AP$1,"O","X"))</f>
        <v/>
      </c>
      <c r="AQ182" s="80" t="str">
        <f>IF(O182="","",IF(O182&lt;=$AQ$1,"O","X"))</f>
        <v>O</v>
      </c>
      <c r="AR182" s="80" t="str">
        <f>IF(M182="","",IF(M182&lt;=$AR$1,"O","X"))</f>
        <v>O</v>
      </c>
      <c r="AS182" s="80" t="s">
        <v>2</v>
      </c>
      <c r="AT182" s="80" t="str">
        <f>IF(OR(F182="",AI182=""),"",IF(AND((F182&lt;=85),(AI182&gt;=15)),"O","X"))</f>
        <v>O</v>
      </c>
      <c r="AU182" s="80" t="str">
        <f>IF(C182="","",IF(C182&gt;=$AU$1,"O","X"))</f>
        <v>X</v>
      </c>
      <c r="AV182" s="80" t="str">
        <f>IF(AO182="","",IF(AND(AO182="O",AP182="O",AR182="O",AT182="O",AU182="O"),"후보","X"))</f>
        <v/>
      </c>
    </row>
    <row r="183" spans="1:48" s="37" customFormat="1" ht="12" x14ac:dyDescent="0.3">
      <c r="A183" s="75" t="s">
        <v>1228</v>
      </c>
      <c r="B183" s="76" t="s">
        <v>1051</v>
      </c>
      <c r="C183" s="86">
        <v>252</v>
      </c>
      <c r="D183" s="87">
        <v>62</v>
      </c>
      <c r="E183" s="88">
        <v>19</v>
      </c>
      <c r="F183" s="87">
        <v>31.8</v>
      </c>
      <c r="G183" s="17">
        <v>10</v>
      </c>
      <c r="H183" s="89">
        <v>7</v>
      </c>
      <c r="I183" s="90"/>
      <c r="J183" s="90"/>
      <c r="K183" s="90"/>
      <c r="L183" s="90"/>
      <c r="M183" s="91">
        <f>I183-K183</f>
        <v>0</v>
      </c>
      <c r="N183" s="4" t="str">
        <f>IF(ISERROR(K183/I183),"",K183/I183)</f>
        <v/>
      </c>
      <c r="O183" s="92">
        <f>I183/E183</f>
        <v>0</v>
      </c>
      <c r="P183" s="92">
        <f>K183/E183</f>
        <v>0</v>
      </c>
      <c r="Q183" s="80">
        <v>2</v>
      </c>
      <c r="R183" s="80">
        <v>1</v>
      </c>
      <c r="S183" s="80" t="s">
        <v>61</v>
      </c>
      <c r="T183" s="5">
        <v>62</v>
      </c>
      <c r="U183" s="9"/>
      <c r="W183" s="87">
        <f t="shared" si="145"/>
        <v>62</v>
      </c>
      <c r="X183" s="88">
        <f t="shared" si="145"/>
        <v>19</v>
      </c>
      <c r="Y183" s="93">
        <f t="shared" si="146"/>
        <v>7</v>
      </c>
      <c r="Z183" s="91">
        <f t="shared" si="146"/>
        <v>0</v>
      </c>
      <c r="AA183" s="91">
        <f>K183</f>
        <v>0</v>
      </c>
      <c r="AB183" s="91">
        <f t="shared" si="142"/>
        <v>0</v>
      </c>
      <c r="AC183" s="4" t="str">
        <f t="shared" si="142"/>
        <v/>
      </c>
      <c r="AD183" s="92">
        <f t="shared" si="142"/>
        <v>0</v>
      </c>
      <c r="AE183" s="80" t="str">
        <f>S183</f>
        <v>계</v>
      </c>
      <c r="AF183" s="80" t="str">
        <f>Q183&amp;"/"&amp;R183</f>
        <v>2/1</v>
      </c>
      <c r="AH183" s="20" t="str">
        <f t="shared" si="114"/>
        <v>율량동 신라(1292)</v>
      </c>
      <c r="AI183" s="88">
        <f t="shared" si="115"/>
        <v>19</v>
      </c>
      <c r="AJ183" s="80" t="str">
        <f>IF(AI183="","",$AJ$2)</f>
        <v>A-</v>
      </c>
      <c r="AK183" s="80" t="s">
        <v>13</v>
      </c>
      <c r="AL183" s="80" t="s">
        <v>62</v>
      </c>
      <c r="AM183" s="80" t="s">
        <v>63</v>
      </c>
      <c r="AN183" s="80" t="str">
        <f>IF(AI183="","",$AN$2)</f>
        <v>C</v>
      </c>
      <c r="AO183" s="80" t="str">
        <f>IF(N183="","",IF(N183&gt;=$AO$1/100,"O","X"))</f>
        <v/>
      </c>
      <c r="AP183" s="80" t="str">
        <f>IF(I183="","",IF(I183&lt;=$AP$1,"O","X"))</f>
        <v/>
      </c>
      <c r="AQ183" s="80" t="str">
        <f>IF(O183="","",IF(O183&lt;=$AQ$1,"O","X"))</f>
        <v>O</v>
      </c>
      <c r="AR183" s="80" t="str">
        <f>IF(M183="","",IF(M183&lt;=$AR$1,"O","X"))</f>
        <v>O</v>
      </c>
      <c r="AS183" s="80" t="s">
        <v>2</v>
      </c>
      <c r="AT183" s="80" t="str">
        <f>IF(OR(F183="",AI183=""),"",IF(AND((F183&lt;=85),(AI183&gt;=15)),"O","X"))</f>
        <v>O</v>
      </c>
      <c r="AU183" s="80" t="str">
        <f>IF(C183="","",IF(C183&gt;=$AU$1,"O","X"))</f>
        <v>X</v>
      </c>
      <c r="AV183" s="80" t="str">
        <f>IF(AO183="","",IF(AND(AO183="O",AP183="O",AR183="O",AT183="O",AU183="O"),"후보","X"))</f>
        <v/>
      </c>
    </row>
    <row r="184" spans="1:48" s="37" customFormat="1" ht="12" x14ac:dyDescent="0.3">
      <c r="A184" s="75" t="s">
        <v>1228</v>
      </c>
      <c r="B184" s="76" t="s">
        <v>1229</v>
      </c>
      <c r="C184" s="86">
        <v>252</v>
      </c>
      <c r="D184" s="87">
        <v>84.9</v>
      </c>
      <c r="E184" s="88">
        <v>26</v>
      </c>
      <c r="F184" s="87">
        <v>43.5</v>
      </c>
      <c r="G184" s="17">
        <v>13</v>
      </c>
      <c r="H184" s="89">
        <v>2</v>
      </c>
      <c r="I184" s="90"/>
      <c r="J184" s="90"/>
      <c r="K184" s="90"/>
      <c r="L184" s="90"/>
      <c r="M184" s="91">
        <f>I184-K184</f>
        <v>0</v>
      </c>
      <c r="N184" s="4" t="str">
        <f>IF(ISERROR(K184/I184),"",K184/I184)</f>
        <v/>
      </c>
      <c r="O184" s="92">
        <f>I184/E184</f>
        <v>0</v>
      </c>
      <c r="P184" s="92">
        <f>K184/E184</f>
        <v>0</v>
      </c>
      <c r="Q184" s="80">
        <v>3</v>
      </c>
      <c r="R184" s="80">
        <v>1</v>
      </c>
      <c r="S184" s="80" t="s">
        <v>61</v>
      </c>
      <c r="T184" s="5">
        <v>84</v>
      </c>
      <c r="U184" s="9"/>
      <c r="W184" s="87">
        <f t="shared" si="145"/>
        <v>84.9</v>
      </c>
      <c r="X184" s="88">
        <f t="shared" si="145"/>
        <v>26</v>
      </c>
      <c r="Y184" s="93">
        <f t="shared" si="146"/>
        <v>2</v>
      </c>
      <c r="Z184" s="91">
        <f t="shared" si="146"/>
        <v>0</v>
      </c>
      <c r="AA184" s="91">
        <f>K184</f>
        <v>0</v>
      </c>
      <c r="AB184" s="91">
        <f t="shared" ref="AB184:AD199" si="147">M184</f>
        <v>0</v>
      </c>
      <c r="AC184" s="4" t="str">
        <f t="shared" si="147"/>
        <v/>
      </c>
      <c r="AD184" s="92">
        <f t="shared" si="147"/>
        <v>0</v>
      </c>
      <c r="AE184" s="80" t="str">
        <f>S184</f>
        <v>계</v>
      </c>
      <c r="AF184" s="80" t="str">
        <f>Q184&amp;"/"&amp;R184</f>
        <v>3/1</v>
      </c>
      <c r="AH184" s="20" t="str">
        <f t="shared" si="114"/>
        <v>율량동 신라(1292)</v>
      </c>
      <c r="AI184" s="88">
        <f t="shared" si="115"/>
        <v>26</v>
      </c>
      <c r="AJ184" s="80" t="str">
        <f>IF(AI184="","",$AJ$2)</f>
        <v>A-</v>
      </c>
      <c r="AK184" s="80" t="s">
        <v>13</v>
      </c>
      <c r="AL184" s="80" t="s">
        <v>62</v>
      </c>
      <c r="AM184" s="80" t="s">
        <v>63</v>
      </c>
      <c r="AN184" s="80" t="str">
        <f>IF(AI184="","",$AN$2)</f>
        <v>C</v>
      </c>
      <c r="AO184" s="80" t="str">
        <f>IF(N184="","",IF(N184&gt;=$AO$1/100,"O","X"))</f>
        <v/>
      </c>
      <c r="AP184" s="80" t="str">
        <f>IF(I184="","",IF(I184&lt;=$AP$1,"O","X"))</f>
        <v/>
      </c>
      <c r="AQ184" s="80" t="str">
        <f>IF(O184="","",IF(O184&lt;=$AQ$1,"O","X"))</f>
        <v>O</v>
      </c>
      <c r="AR184" s="80" t="str">
        <f>IF(M184="","",IF(M184&lt;=$AR$1,"O","X"))</f>
        <v>O</v>
      </c>
      <c r="AS184" s="80" t="s">
        <v>2</v>
      </c>
      <c r="AT184" s="80" t="str">
        <f>IF(OR(F184="",AI184=""),"",IF(AND((F184&lt;=85),(AI184&gt;=15)),"O","X"))</f>
        <v>O</v>
      </c>
      <c r="AU184" s="80" t="str">
        <f>IF(C184="","",IF(C184&gt;=$AU$1,"O","X"))</f>
        <v>X</v>
      </c>
      <c r="AV184" s="80" t="str">
        <f>IF(AO184="","",IF(AND(AO184="O",AP184="O",AR184="O",AT184="O",AU184="O"),"후보","X"))</f>
        <v/>
      </c>
    </row>
    <row r="185" spans="1:48" s="37" customFormat="1" ht="12" x14ac:dyDescent="0.3">
      <c r="A185" s="75" t="s">
        <v>1230</v>
      </c>
      <c r="B185" s="76" t="s">
        <v>1231</v>
      </c>
      <c r="C185" s="86">
        <v>244</v>
      </c>
      <c r="D185" s="87">
        <v>32.9</v>
      </c>
      <c r="E185" s="88">
        <v>10</v>
      </c>
      <c r="F185" s="87">
        <v>24.4</v>
      </c>
      <c r="G185" s="17">
        <v>7</v>
      </c>
      <c r="H185" s="89">
        <v>31</v>
      </c>
      <c r="I185" s="90"/>
      <c r="J185" s="90"/>
      <c r="K185" s="90"/>
      <c r="L185" s="90"/>
      <c r="M185" s="91">
        <f>I185-K185</f>
        <v>0</v>
      </c>
      <c r="N185" s="4" t="str">
        <f>IF(ISERROR(K185/I185),"",K185/I185)</f>
        <v/>
      </c>
      <c r="O185" s="92">
        <f>I185/E185</f>
        <v>0</v>
      </c>
      <c r="P185" s="92">
        <f>K185/E185</f>
        <v>0</v>
      </c>
      <c r="Q185" s="80">
        <v>1</v>
      </c>
      <c r="R185" s="80">
        <v>1</v>
      </c>
      <c r="S185" s="80" t="s">
        <v>85</v>
      </c>
      <c r="T185" s="5">
        <v>32</v>
      </c>
      <c r="U185" s="9"/>
      <c r="W185" s="87">
        <f t="shared" si="145"/>
        <v>32.9</v>
      </c>
      <c r="X185" s="88">
        <f t="shared" si="145"/>
        <v>10</v>
      </c>
      <c r="Y185" s="93">
        <f t="shared" si="146"/>
        <v>31</v>
      </c>
      <c r="Z185" s="91">
        <f t="shared" si="146"/>
        <v>0</v>
      </c>
      <c r="AA185" s="91">
        <f>K185</f>
        <v>0</v>
      </c>
      <c r="AB185" s="91">
        <f t="shared" si="147"/>
        <v>0</v>
      </c>
      <c r="AC185" s="4" t="str">
        <f t="shared" si="147"/>
        <v/>
      </c>
      <c r="AD185" s="92">
        <f t="shared" si="147"/>
        <v>0</v>
      </c>
      <c r="AE185" s="80" t="str">
        <f>S185</f>
        <v>복</v>
      </c>
      <c r="AF185" s="80" t="str">
        <f>Q185&amp;"/"&amp;R185</f>
        <v>1/1</v>
      </c>
      <c r="AH185" s="20" t="str">
        <f t="shared" si="114"/>
        <v>율량동 율량부강마을</v>
      </c>
      <c r="AI185" s="88">
        <f t="shared" si="115"/>
        <v>10</v>
      </c>
      <c r="AJ185" s="80" t="str">
        <f>IF(AI185="","",$AJ$2)</f>
        <v>A-</v>
      </c>
      <c r="AK185" s="80" t="s">
        <v>13</v>
      </c>
      <c r="AL185" s="80" t="s">
        <v>62</v>
      </c>
      <c r="AM185" s="80" t="s">
        <v>63</v>
      </c>
      <c r="AN185" s="80" t="str">
        <f>IF(AI185="","",$AN$2)</f>
        <v>C</v>
      </c>
      <c r="AO185" s="80" t="str">
        <f>IF(N185="","",IF(N185&gt;=$AO$1/100,"O","X"))</f>
        <v/>
      </c>
      <c r="AP185" s="80" t="str">
        <f>IF(I185="","",IF(I185&lt;=$AP$1,"O","X"))</f>
        <v/>
      </c>
      <c r="AQ185" s="80" t="str">
        <f>IF(O185="","",IF(O185&lt;=$AQ$1,"O","X"))</f>
        <v>O</v>
      </c>
      <c r="AR185" s="80" t="str">
        <f>IF(M185="","",IF(M185&lt;=$AR$1,"O","X"))</f>
        <v>O</v>
      </c>
      <c r="AS185" s="80" t="s">
        <v>2</v>
      </c>
      <c r="AT185" s="80" t="str">
        <f>IF(OR(F185="",AI185=""),"",IF(AND((F185&lt;=85),(AI185&gt;=15)),"O","X"))</f>
        <v>X</v>
      </c>
      <c r="AU185" s="80" t="str">
        <f>IF(C185="","",IF(C185&gt;=$AU$1,"O","X"))</f>
        <v>X</v>
      </c>
      <c r="AV185" s="80" t="str">
        <f>IF(AO185="","",IF(AND(AO185="O",AP185="O",AR185="O",AT185="O",AU185="O"),"후보","X"))</f>
        <v/>
      </c>
    </row>
    <row r="186" spans="1:48" s="37" customFormat="1" ht="12" x14ac:dyDescent="0.3">
      <c r="A186" s="75" t="s">
        <v>1230</v>
      </c>
      <c r="B186" s="76" t="s">
        <v>1053</v>
      </c>
      <c r="C186" s="86">
        <v>244</v>
      </c>
      <c r="D186" s="87">
        <v>36</v>
      </c>
      <c r="E186" s="88">
        <v>11</v>
      </c>
      <c r="F186" s="87">
        <v>26.7</v>
      </c>
      <c r="G186" s="17">
        <v>8</v>
      </c>
      <c r="H186" s="89">
        <v>12</v>
      </c>
      <c r="I186" s="90"/>
      <c r="J186" s="90"/>
      <c r="K186" s="90"/>
      <c r="L186" s="90"/>
      <c r="M186" s="91">
        <f>I186-K186</f>
        <v>0</v>
      </c>
      <c r="N186" s="4" t="str">
        <f>IF(ISERROR(K186/I186),"",K186/I186)</f>
        <v/>
      </c>
      <c r="O186" s="92">
        <f>I186/E186</f>
        <v>0</v>
      </c>
      <c r="P186" s="92">
        <f>K186/E186</f>
        <v>0</v>
      </c>
      <c r="Q186" s="80">
        <v>1</v>
      </c>
      <c r="R186" s="80">
        <v>1</v>
      </c>
      <c r="S186" s="80" t="s">
        <v>85</v>
      </c>
      <c r="T186" s="5">
        <v>35</v>
      </c>
      <c r="U186" s="9"/>
      <c r="W186" s="87">
        <f t="shared" si="145"/>
        <v>36</v>
      </c>
      <c r="X186" s="88">
        <f t="shared" si="145"/>
        <v>11</v>
      </c>
      <c r="Y186" s="93">
        <f t="shared" si="146"/>
        <v>12</v>
      </c>
      <c r="Z186" s="91">
        <f t="shared" si="146"/>
        <v>0</v>
      </c>
      <c r="AA186" s="91">
        <f>K186</f>
        <v>0</v>
      </c>
      <c r="AB186" s="91">
        <f t="shared" si="147"/>
        <v>0</v>
      </c>
      <c r="AC186" s="4" t="str">
        <f t="shared" si="147"/>
        <v/>
      </c>
      <c r="AD186" s="92">
        <f t="shared" si="147"/>
        <v>0</v>
      </c>
      <c r="AE186" s="80" t="str">
        <f>S186</f>
        <v>복</v>
      </c>
      <c r="AF186" s="80" t="str">
        <f>Q186&amp;"/"&amp;R186</f>
        <v>1/1</v>
      </c>
      <c r="AH186" s="20" t="str">
        <f t="shared" si="114"/>
        <v>율량동 율량부강마을</v>
      </c>
      <c r="AI186" s="88">
        <f t="shared" si="115"/>
        <v>11</v>
      </c>
      <c r="AJ186" s="80" t="str">
        <f>IF(AI186="","",$AJ$2)</f>
        <v>A-</v>
      </c>
      <c r="AK186" s="80" t="s">
        <v>13</v>
      </c>
      <c r="AL186" s="80" t="s">
        <v>62</v>
      </c>
      <c r="AM186" s="80" t="s">
        <v>63</v>
      </c>
      <c r="AN186" s="80" t="str">
        <f>IF(AI186="","",$AN$2)</f>
        <v>C</v>
      </c>
      <c r="AO186" s="80" t="str">
        <f>IF(N186="","",IF(N186&gt;=$AO$1/100,"O","X"))</f>
        <v/>
      </c>
      <c r="AP186" s="80" t="str">
        <f>IF(I186="","",IF(I186&lt;=$AP$1,"O","X"))</f>
        <v/>
      </c>
      <c r="AQ186" s="80" t="str">
        <f>IF(O186="","",IF(O186&lt;=$AQ$1,"O","X"))</f>
        <v>O</v>
      </c>
      <c r="AR186" s="80" t="str">
        <f>IF(M186="","",IF(M186&lt;=$AR$1,"O","X"))</f>
        <v>O</v>
      </c>
      <c r="AS186" s="80" t="s">
        <v>2</v>
      </c>
      <c r="AT186" s="80" t="str">
        <f>IF(OR(F186="",AI186=""),"",IF(AND((F186&lt;=85),(AI186&gt;=15)),"O","X"))</f>
        <v>X</v>
      </c>
      <c r="AU186" s="80" t="str">
        <f>IF(C186="","",IF(C186&gt;=$AU$1,"O","X"))</f>
        <v>X</v>
      </c>
      <c r="AV186" s="80" t="str">
        <f>IF(AO186="","",IF(AND(AO186="O",AP186="O",AR186="O",AT186="O",AU186="O"),"후보","X"))</f>
        <v/>
      </c>
    </row>
    <row r="187" spans="1:48" s="37" customFormat="1" ht="12" x14ac:dyDescent="0.3">
      <c r="A187" s="75" t="s">
        <v>1232</v>
      </c>
      <c r="B187" s="76" t="s">
        <v>1233</v>
      </c>
      <c r="C187" s="86">
        <v>244</v>
      </c>
      <c r="D187" s="87">
        <v>39.1</v>
      </c>
      <c r="E187" s="88">
        <v>12</v>
      </c>
      <c r="F187" s="87">
        <v>29.1</v>
      </c>
      <c r="G187" s="17">
        <v>9</v>
      </c>
      <c r="H187" s="89">
        <v>201</v>
      </c>
      <c r="I187" s="90"/>
      <c r="J187" s="90"/>
      <c r="K187" s="90"/>
      <c r="L187" s="90"/>
      <c r="M187" s="91">
        <f>I187-K187</f>
        <v>0</v>
      </c>
      <c r="N187" s="4" t="str">
        <f>IF(ISERROR(K187/I187),"",K187/I187)</f>
        <v/>
      </c>
      <c r="O187" s="92">
        <f>I187/E187</f>
        <v>0</v>
      </c>
      <c r="P187" s="92">
        <f>K187/E187</f>
        <v>0</v>
      </c>
      <c r="Q187" s="80">
        <v>1</v>
      </c>
      <c r="R187" s="80">
        <v>1</v>
      </c>
      <c r="S187" s="80" t="s">
        <v>85</v>
      </c>
      <c r="T187" s="5">
        <v>39</v>
      </c>
      <c r="U187" s="9"/>
      <c r="W187" s="87">
        <f t="shared" si="145"/>
        <v>39.1</v>
      </c>
      <c r="X187" s="88">
        <f t="shared" si="145"/>
        <v>12</v>
      </c>
      <c r="Y187" s="93">
        <f t="shared" si="146"/>
        <v>201</v>
      </c>
      <c r="Z187" s="91">
        <f t="shared" si="146"/>
        <v>0</v>
      </c>
      <c r="AA187" s="91">
        <f>K187</f>
        <v>0</v>
      </c>
      <c r="AB187" s="91">
        <f t="shared" si="147"/>
        <v>0</v>
      </c>
      <c r="AC187" s="4" t="str">
        <f t="shared" si="147"/>
        <v/>
      </c>
      <c r="AD187" s="92">
        <f t="shared" si="147"/>
        <v>0</v>
      </c>
      <c r="AE187" s="80" t="str">
        <f>S187</f>
        <v>복</v>
      </c>
      <c r="AF187" s="80" t="str">
        <f>Q187&amp;"/"&amp;R187</f>
        <v>1/1</v>
      </c>
      <c r="AH187" s="20" t="str">
        <f t="shared" si="114"/>
        <v>율량동 율량부강마을</v>
      </c>
      <c r="AI187" s="88">
        <f t="shared" si="115"/>
        <v>12</v>
      </c>
      <c r="AJ187" s="80" t="str">
        <f>IF(AI187="","",$AJ$2)</f>
        <v>A-</v>
      </c>
      <c r="AK187" s="80" t="s">
        <v>13</v>
      </c>
      <c r="AL187" s="80" t="s">
        <v>62</v>
      </c>
      <c r="AM187" s="80" t="s">
        <v>63</v>
      </c>
      <c r="AN187" s="80" t="str">
        <f>IF(AI187="","",$AN$2)</f>
        <v>C</v>
      </c>
      <c r="AO187" s="80" t="str">
        <f>IF(N187="","",IF(N187&gt;=$AO$1/100,"O","X"))</f>
        <v/>
      </c>
      <c r="AP187" s="80" t="str">
        <f>IF(I187="","",IF(I187&lt;=$AP$1,"O","X"))</f>
        <v/>
      </c>
      <c r="AQ187" s="80" t="str">
        <f>IF(O187="","",IF(O187&lt;=$AQ$1,"O","X"))</f>
        <v>O</v>
      </c>
      <c r="AR187" s="80" t="str">
        <f>IF(M187="","",IF(M187&lt;=$AR$1,"O","X"))</f>
        <v>O</v>
      </c>
      <c r="AS187" s="80" t="s">
        <v>2</v>
      </c>
      <c r="AT187" s="80" t="str">
        <f>IF(OR(F187="",AI187=""),"",IF(AND((F187&lt;=85),(AI187&gt;=15)),"O","X"))</f>
        <v>X</v>
      </c>
      <c r="AU187" s="80" t="str">
        <f>IF(C187="","",IF(C187&gt;=$AU$1,"O","X"))</f>
        <v>X</v>
      </c>
      <c r="AV187" s="80" t="str">
        <f>IF(AO187="","",IF(AND(AO187="O",AP187="O",AR187="O",AT187="O",AU187="O"),"후보","X"))</f>
        <v/>
      </c>
    </row>
    <row r="188" spans="1:48" s="37" customFormat="1" ht="12" x14ac:dyDescent="0.3">
      <c r="A188" s="75" t="s">
        <v>1234</v>
      </c>
      <c r="B188" s="76" t="s">
        <v>1235</v>
      </c>
      <c r="C188" s="86">
        <v>690</v>
      </c>
      <c r="D188" s="87">
        <v>93.8</v>
      </c>
      <c r="E188" s="88">
        <v>28</v>
      </c>
      <c r="F188" s="87">
        <v>76.5</v>
      </c>
      <c r="G188" s="17">
        <v>23</v>
      </c>
      <c r="H188" s="89">
        <v>210</v>
      </c>
      <c r="I188" s="90">
        <v>17500</v>
      </c>
      <c r="J188" s="90" t="s">
        <v>59</v>
      </c>
      <c r="K188" s="90"/>
      <c r="L188" s="90"/>
      <c r="M188" s="91">
        <f>I188-K188</f>
        <v>17500</v>
      </c>
      <c r="N188" s="4">
        <f>IF(ISERROR(K188/I188),"",K188/I188)</f>
        <v>0</v>
      </c>
      <c r="O188" s="92">
        <f>I188/E188</f>
        <v>625</v>
      </c>
      <c r="P188" s="92">
        <f>K188/E188</f>
        <v>0</v>
      </c>
      <c r="Q188" s="80">
        <v>3</v>
      </c>
      <c r="R188" s="80">
        <v>1</v>
      </c>
      <c r="S188" s="80" t="s">
        <v>61</v>
      </c>
      <c r="T188" s="5">
        <v>93</v>
      </c>
      <c r="U188" s="9"/>
      <c r="W188" s="87">
        <f>D188</f>
        <v>93.8</v>
      </c>
      <c r="X188" s="88">
        <f>E188</f>
        <v>28</v>
      </c>
      <c r="Y188" s="93">
        <f>H188</f>
        <v>210</v>
      </c>
      <c r="Z188" s="91">
        <f>I188</f>
        <v>17500</v>
      </c>
      <c r="AA188" s="91">
        <f>K188</f>
        <v>0</v>
      </c>
      <c r="AB188" s="91">
        <f t="shared" si="147"/>
        <v>17500</v>
      </c>
      <c r="AC188" s="4">
        <f t="shared" si="147"/>
        <v>0</v>
      </c>
      <c r="AD188" s="92">
        <f t="shared" si="147"/>
        <v>625</v>
      </c>
      <c r="AE188" s="80" t="str">
        <f>S188</f>
        <v>계</v>
      </c>
      <c r="AF188" s="80" t="str">
        <f>Q188&amp;"/"&amp;R188</f>
        <v>3/1</v>
      </c>
      <c r="AH188" s="20" t="str">
        <f t="shared" si="114"/>
        <v>율량동 율량럭키</v>
      </c>
      <c r="AI188" s="88">
        <f t="shared" si="115"/>
        <v>28</v>
      </c>
      <c r="AJ188" s="80" t="str">
        <f>IF(AI188="","",$AJ$2)</f>
        <v>A-</v>
      </c>
      <c r="AK188" s="80" t="s">
        <v>13</v>
      </c>
      <c r="AL188" s="80" t="s">
        <v>62</v>
      </c>
      <c r="AM188" s="80" t="s">
        <v>63</v>
      </c>
      <c r="AN188" s="80" t="str">
        <f>IF(AI188="","",$AN$2)</f>
        <v>C</v>
      </c>
      <c r="AO188" s="80" t="str">
        <f>IF(N188="","",IF(N188&gt;=$AO$1/100,"O","X"))</f>
        <v>X</v>
      </c>
      <c r="AP188" s="80" t="str">
        <f>IF(I188="","",IF(I188&lt;=$AP$1,"O","X"))</f>
        <v>O</v>
      </c>
      <c r="AQ188" s="80" t="str">
        <f>IF(O188="","",IF(O188&lt;=$AQ$1,"O","X"))</f>
        <v>O</v>
      </c>
      <c r="AR188" s="80" t="str">
        <f>IF(M188="","",IF(M188&lt;=$AR$1,"O","X"))</f>
        <v>X</v>
      </c>
      <c r="AS188" s="80" t="s">
        <v>2</v>
      </c>
      <c r="AT188" s="80" t="str">
        <f>IF(OR(F188="",AI188=""),"",IF(AND((F188&lt;=85),(AI188&gt;=15)),"O","X"))</f>
        <v>O</v>
      </c>
      <c r="AU188" s="80" t="str">
        <f>IF(C188="","",IF(C188&gt;=$AU$1,"O","X"))</f>
        <v>O</v>
      </c>
      <c r="AV188" s="80" t="str">
        <f>IF(AO188="","",IF(AND(AO188="O",AP188="O",AR188="O",AT188="O",AU188="O"),"후보","X"))</f>
        <v>X</v>
      </c>
    </row>
    <row r="189" spans="1:48" s="37" customFormat="1" ht="12" x14ac:dyDescent="0.3">
      <c r="A189" s="75" t="s">
        <v>1234</v>
      </c>
      <c r="B189" s="76" t="s">
        <v>1235</v>
      </c>
      <c r="C189" s="86">
        <v>690</v>
      </c>
      <c r="D189" s="87">
        <v>102.7</v>
      </c>
      <c r="E189" s="88">
        <v>31</v>
      </c>
      <c r="F189" s="87">
        <v>85</v>
      </c>
      <c r="G189" s="17">
        <v>26</v>
      </c>
      <c r="H189" s="89">
        <v>480</v>
      </c>
      <c r="I189" s="90">
        <v>19000</v>
      </c>
      <c r="J189" s="90" t="s">
        <v>60</v>
      </c>
      <c r="K189" s="90"/>
      <c r="L189" s="90"/>
      <c r="M189" s="91">
        <f>I189-K189</f>
        <v>19000</v>
      </c>
      <c r="N189" s="4">
        <f>IF(ISERROR(K189/I189),"",K189/I189)</f>
        <v>0</v>
      </c>
      <c r="O189" s="92">
        <f>I189/E189</f>
        <v>612.90322580645159</v>
      </c>
      <c r="P189" s="92">
        <f>K189/E189</f>
        <v>0</v>
      </c>
      <c r="Q189" s="80">
        <v>3</v>
      </c>
      <c r="R189" s="80">
        <v>2</v>
      </c>
      <c r="S189" s="80" t="s">
        <v>61</v>
      </c>
      <c r="T189" s="5">
        <v>102</v>
      </c>
      <c r="U189" s="9"/>
      <c r="W189" s="87">
        <f>D189</f>
        <v>102.7</v>
      </c>
      <c r="X189" s="88">
        <f>E189</f>
        <v>31</v>
      </c>
      <c r="Y189" s="93">
        <f>H189</f>
        <v>480</v>
      </c>
      <c r="Z189" s="91">
        <f>I189</f>
        <v>19000</v>
      </c>
      <c r="AA189" s="91">
        <f>K189</f>
        <v>0</v>
      </c>
      <c r="AB189" s="91">
        <f t="shared" si="147"/>
        <v>19000</v>
      </c>
      <c r="AC189" s="4">
        <f t="shared" si="147"/>
        <v>0</v>
      </c>
      <c r="AD189" s="92">
        <f t="shared" si="147"/>
        <v>612.90322580645159</v>
      </c>
      <c r="AE189" s="80" t="str">
        <f>S189</f>
        <v>계</v>
      </c>
      <c r="AF189" s="80" t="str">
        <f>Q189&amp;"/"&amp;R189</f>
        <v>3/2</v>
      </c>
      <c r="AH189" s="20" t="str">
        <f t="shared" si="114"/>
        <v>율량동 율량럭키</v>
      </c>
      <c r="AI189" s="88">
        <f t="shared" si="115"/>
        <v>31</v>
      </c>
      <c r="AJ189" s="80" t="str">
        <f>IF(AI189="","",$AJ$2)</f>
        <v>A-</v>
      </c>
      <c r="AK189" s="80" t="s">
        <v>13</v>
      </c>
      <c r="AL189" s="80" t="s">
        <v>62</v>
      </c>
      <c r="AM189" s="80" t="s">
        <v>63</v>
      </c>
      <c r="AN189" s="80" t="str">
        <f>IF(AI189="","",$AN$2)</f>
        <v>C</v>
      </c>
      <c r="AO189" s="80" t="str">
        <f>IF(N189="","",IF(N189&gt;=$AO$1/100,"O","X"))</f>
        <v>X</v>
      </c>
      <c r="AP189" s="80" t="str">
        <f>IF(I189="","",IF(I189&lt;=$AP$1,"O","X"))</f>
        <v>O</v>
      </c>
      <c r="AQ189" s="80" t="str">
        <f>IF(O189="","",IF(O189&lt;=$AQ$1,"O","X"))</f>
        <v>O</v>
      </c>
      <c r="AR189" s="80" t="str">
        <f>IF(M189="","",IF(M189&lt;=$AR$1,"O","X"))</f>
        <v>X</v>
      </c>
      <c r="AS189" s="80" t="s">
        <v>2</v>
      </c>
      <c r="AT189" s="80" t="str">
        <f>IF(OR(F189="",AI189=""),"",IF(AND((F189&lt;=85),(AI189&gt;=15)),"O","X"))</f>
        <v>O</v>
      </c>
      <c r="AU189" s="80" t="str">
        <f>IF(C189="","",IF(C189&gt;=$AU$1,"O","X"))</f>
        <v>O</v>
      </c>
      <c r="AV189" s="80" t="str">
        <f>IF(AO189="","",IF(AND(AO189="O",AP189="O",AR189="O",AT189="O",AU189="O"),"후보","X"))</f>
        <v>X</v>
      </c>
    </row>
    <row r="190" spans="1:48" s="37" customFormat="1" ht="12" x14ac:dyDescent="0.3">
      <c r="A190" s="75" t="s">
        <v>1236</v>
      </c>
      <c r="B190" s="76" t="s">
        <v>1057</v>
      </c>
      <c r="C190" s="86">
        <v>365</v>
      </c>
      <c r="D190" s="87">
        <v>75.2</v>
      </c>
      <c r="E190" s="88">
        <v>23</v>
      </c>
      <c r="F190" s="87">
        <v>59.7</v>
      </c>
      <c r="G190" s="17">
        <v>18</v>
      </c>
      <c r="H190" s="89">
        <v>140</v>
      </c>
      <c r="I190" s="90">
        <v>16500</v>
      </c>
      <c r="J190" s="90" t="s">
        <v>65</v>
      </c>
      <c r="K190" s="90"/>
      <c r="L190" s="90"/>
      <c r="M190" s="91">
        <f>I190-K190</f>
        <v>16500</v>
      </c>
      <c r="N190" s="4">
        <f>IF(ISERROR(K190/I190),"",K190/I190)</f>
        <v>0</v>
      </c>
      <c r="O190" s="92">
        <f>I190/E190</f>
        <v>717.39130434782612</v>
      </c>
      <c r="P190" s="92">
        <f>K190/E190</f>
        <v>0</v>
      </c>
      <c r="Q190" s="80">
        <v>3</v>
      </c>
      <c r="R190" s="80">
        <v>1</v>
      </c>
      <c r="S190" s="80" t="s">
        <v>61</v>
      </c>
      <c r="T190" s="5">
        <v>75</v>
      </c>
      <c r="U190" s="9"/>
      <c r="W190" s="87">
        <f>D190</f>
        <v>75.2</v>
      </c>
      <c r="X190" s="88">
        <f>E190</f>
        <v>23</v>
      </c>
      <c r="Y190" s="93">
        <f>H190</f>
        <v>140</v>
      </c>
      <c r="Z190" s="91">
        <f>I190</f>
        <v>16500</v>
      </c>
      <c r="AA190" s="91">
        <f>K190</f>
        <v>0</v>
      </c>
      <c r="AB190" s="91">
        <f t="shared" si="147"/>
        <v>16500</v>
      </c>
      <c r="AC190" s="4">
        <f t="shared" si="147"/>
        <v>0</v>
      </c>
      <c r="AD190" s="92">
        <f t="shared" si="147"/>
        <v>717.39130434782612</v>
      </c>
      <c r="AE190" s="80" t="str">
        <f>S190</f>
        <v>계</v>
      </c>
      <c r="AF190" s="80" t="str">
        <f>Q190&amp;"/"&amp;R190</f>
        <v>3/1</v>
      </c>
      <c r="AH190" s="20" t="str">
        <f t="shared" si="114"/>
        <v>율량동 성원</v>
      </c>
      <c r="AI190" s="88">
        <f t="shared" si="115"/>
        <v>23</v>
      </c>
      <c r="AJ190" s="80" t="str">
        <f>IF(AI190="","",$AJ$2)</f>
        <v>A-</v>
      </c>
      <c r="AK190" s="80" t="s">
        <v>13</v>
      </c>
      <c r="AL190" s="80" t="s">
        <v>62</v>
      </c>
      <c r="AM190" s="80" t="s">
        <v>63</v>
      </c>
      <c r="AN190" s="80" t="str">
        <f>IF(AI190="","",$AN$2)</f>
        <v>C</v>
      </c>
      <c r="AO190" s="80" t="str">
        <f>IF(N190="","",IF(N190&gt;=$AO$1/100,"O","X"))</f>
        <v>X</v>
      </c>
      <c r="AP190" s="80" t="str">
        <f>IF(I190="","",IF(I190&lt;=$AP$1,"O","X"))</f>
        <v>O</v>
      </c>
      <c r="AQ190" s="80" t="str">
        <f>IF(O190="","",IF(O190&lt;=$AQ$1,"O","X"))</f>
        <v>O</v>
      </c>
      <c r="AR190" s="80" t="str">
        <f>IF(M190="","",IF(M190&lt;=$AR$1,"O","X"))</f>
        <v>X</v>
      </c>
      <c r="AS190" s="80" t="s">
        <v>2</v>
      </c>
      <c r="AT190" s="80" t="str">
        <f>IF(OR(F190="",AI190=""),"",IF(AND((F190&lt;=85),(AI190&gt;=15)),"O","X"))</f>
        <v>O</v>
      </c>
      <c r="AU190" s="80" t="str">
        <f>IF(C190="","",IF(C190&gt;=$AU$1,"O","X"))</f>
        <v>O</v>
      </c>
      <c r="AV190" s="80" t="str">
        <f>IF(AO190="","",IF(AND(AO190="O",AP190="O",AR190="O",AT190="O",AU190="O"),"후보","X"))</f>
        <v>X</v>
      </c>
    </row>
    <row r="191" spans="1:48" s="37" customFormat="1" ht="12" x14ac:dyDescent="0.3">
      <c r="A191" s="75" t="s">
        <v>1237</v>
      </c>
      <c r="B191" s="76" t="s">
        <v>1238</v>
      </c>
      <c r="C191" s="86">
        <v>365</v>
      </c>
      <c r="D191" s="87">
        <v>103</v>
      </c>
      <c r="E191" s="88">
        <v>31</v>
      </c>
      <c r="F191" s="87">
        <v>84.9</v>
      </c>
      <c r="G191" s="17">
        <v>26</v>
      </c>
      <c r="H191" s="89">
        <v>225</v>
      </c>
      <c r="I191" s="90">
        <v>21500</v>
      </c>
      <c r="J191" s="90" t="s">
        <v>60</v>
      </c>
      <c r="K191" s="90"/>
      <c r="L191" s="90"/>
      <c r="M191" s="91">
        <f>I191-K191</f>
        <v>21500</v>
      </c>
      <c r="N191" s="4">
        <f>IF(ISERROR(K191/I191),"",K191/I191)</f>
        <v>0</v>
      </c>
      <c r="O191" s="92">
        <f>I191/E191</f>
        <v>693.54838709677415</v>
      </c>
      <c r="P191" s="92">
        <f>K191/E191</f>
        <v>0</v>
      </c>
      <c r="Q191" s="80">
        <v>3</v>
      </c>
      <c r="R191" s="80">
        <v>2</v>
      </c>
      <c r="S191" s="80" t="s">
        <v>61</v>
      </c>
      <c r="T191" s="5">
        <v>103</v>
      </c>
      <c r="U191" s="9"/>
      <c r="W191" s="87">
        <f>D191</f>
        <v>103</v>
      </c>
      <c r="X191" s="88">
        <f>E191</f>
        <v>31</v>
      </c>
      <c r="Y191" s="93">
        <f>H191</f>
        <v>225</v>
      </c>
      <c r="Z191" s="91">
        <f>I191</f>
        <v>21500</v>
      </c>
      <c r="AA191" s="91">
        <f>K191</f>
        <v>0</v>
      </c>
      <c r="AB191" s="91">
        <f t="shared" si="147"/>
        <v>21500</v>
      </c>
      <c r="AC191" s="4">
        <f t="shared" si="147"/>
        <v>0</v>
      </c>
      <c r="AD191" s="92">
        <f t="shared" si="147"/>
        <v>693.54838709677415</v>
      </c>
      <c r="AE191" s="80" t="str">
        <f>S191</f>
        <v>계</v>
      </c>
      <c r="AF191" s="80" t="str">
        <f>Q191&amp;"/"&amp;R191</f>
        <v>3/2</v>
      </c>
      <c r="AH191" s="20" t="str">
        <f t="shared" si="114"/>
        <v>율량동 성원</v>
      </c>
      <c r="AI191" s="88">
        <f t="shared" si="115"/>
        <v>31</v>
      </c>
      <c r="AJ191" s="80" t="str">
        <f>IF(AI191="","",$AJ$2)</f>
        <v>A-</v>
      </c>
      <c r="AK191" s="80" t="s">
        <v>13</v>
      </c>
      <c r="AL191" s="80" t="s">
        <v>62</v>
      </c>
      <c r="AM191" s="80" t="s">
        <v>63</v>
      </c>
      <c r="AN191" s="80" t="str">
        <f>IF(AI191="","",$AN$2)</f>
        <v>C</v>
      </c>
      <c r="AO191" s="80" t="str">
        <f>IF(N191="","",IF(N191&gt;=$AO$1/100,"O","X"))</f>
        <v>X</v>
      </c>
      <c r="AP191" s="80" t="str">
        <f>IF(I191="","",IF(I191&lt;=$AP$1,"O","X"))</f>
        <v>O</v>
      </c>
      <c r="AQ191" s="80" t="str">
        <f>IF(O191="","",IF(O191&lt;=$AQ$1,"O","X"))</f>
        <v>O</v>
      </c>
      <c r="AR191" s="80" t="str">
        <f>IF(M191="","",IF(M191&lt;=$AR$1,"O","X"))</f>
        <v>X</v>
      </c>
      <c r="AS191" s="80" t="s">
        <v>2</v>
      </c>
      <c r="AT191" s="80" t="str">
        <f>IF(OR(F191="",AI191=""),"",IF(AND((F191&lt;=85),(AI191&gt;=15)),"O","X"))</f>
        <v>O</v>
      </c>
      <c r="AU191" s="80" t="str">
        <f>IF(C191="","",IF(C191&gt;=$AU$1,"O","X"))</f>
        <v>O</v>
      </c>
      <c r="AV191" s="80" t="str">
        <f>IF(AO191="","",IF(AND(AO191="O",AP191="O",AR191="O",AT191="O",AU191="O"),"후보","X"))</f>
        <v>X</v>
      </c>
    </row>
    <row r="192" spans="1:48" s="37" customFormat="1" ht="12" x14ac:dyDescent="0.3">
      <c r="A192" s="75" t="s">
        <v>1239</v>
      </c>
      <c r="B192" s="76" t="s">
        <v>1240</v>
      </c>
      <c r="C192" s="86">
        <v>523</v>
      </c>
      <c r="D192" s="87">
        <v>40.9</v>
      </c>
      <c r="E192" s="88">
        <v>12</v>
      </c>
      <c r="F192" s="87">
        <v>30.3</v>
      </c>
      <c r="G192" s="17">
        <v>9</v>
      </c>
      <c r="H192" s="89">
        <v>299</v>
      </c>
      <c r="I192" s="90">
        <v>5000</v>
      </c>
      <c r="J192" s="90" t="s">
        <v>67</v>
      </c>
      <c r="K192" s="90"/>
      <c r="L192" s="90"/>
      <c r="M192" s="91">
        <f>I192-K192</f>
        <v>5000</v>
      </c>
      <c r="N192" s="4">
        <f>IF(ISERROR(K192/I192),"",K192/I192)</f>
        <v>0</v>
      </c>
      <c r="O192" s="92">
        <f>I192/E192</f>
        <v>416.66666666666669</v>
      </c>
      <c r="P192" s="92">
        <f>K192/E192</f>
        <v>0</v>
      </c>
      <c r="Q192" s="80">
        <v>1</v>
      </c>
      <c r="R192" s="80">
        <v>1</v>
      </c>
      <c r="S192" s="80" t="s">
        <v>85</v>
      </c>
      <c r="T192" s="5">
        <v>40</v>
      </c>
      <c r="U192" s="9"/>
      <c r="W192" s="87">
        <f>D192</f>
        <v>40.9</v>
      </c>
      <c r="X192" s="88">
        <f>E192</f>
        <v>12</v>
      </c>
      <c r="Y192" s="93">
        <f>H192</f>
        <v>299</v>
      </c>
      <c r="Z192" s="91">
        <f>I192</f>
        <v>5000</v>
      </c>
      <c r="AA192" s="91">
        <f>K192</f>
        <v>0</v>
      </c>
      <c r="AB192" s="91">
        <f t="shared" si="147"/>
        <v>5000</v>
      </c>
      <c r="AC192" s="4">
        <f t="shared" si="147"/>
        <v>0</v>
      </c>
      <c r="AD192" s="92">
        <f t="shared" si="147"/>
        <v>416.66666666666669</v>
      </c>
      <c r="AE192" s="80" t="str">
        <f>S192</f>
        <v>복</v>
      </c>
      <c r="AF192" s="80" t="str">
        <f>Q192&amp;"/"&amp;R192</f>
        <v>1/1</v>
      </c>
      <c r="AH192" s="20" t="str">
        <f t="shared" si="114"/>
        <v>율량동 한울3차</v>
      </c>
      <c r="AI192" s="88">
        <f t="shared" si="115"/>
        <v>12</v>
      </c>
      <c r="AJ192" s="80" t="str">
        <f>IF(AI192="","",$AJ$2)</f>
        <v>A-</v>
      </c>
      <c r="AK192" s="80" t="s">
        <v>13</v>
      </c>
      <c r="AL192" s="80" t="s">
        <v>62</v>
      </c>
      <c r="AM192" s="80" t="s">
        <v>63</v>
      </c>
      <c r="AN192" s="80" t="str">
        <f>IF(AI192="","",$AN$2)</f>
        <v>C</v>
      </c>
      <c r="AO192" s="80" t="str">
        <f>IF(N192="","",IF(N192&gt;=$AO$1/100,"O","X"))</f>
        <v>X</v>
      </c>
      <c r="AP192" s="80" t="str">
        <f>IF(I192="","",IF(I192&lt;=$AP$1,"O","X"))</f>
        <v>O</v>
      </c>
      <c r="AQ192" s="80" t="str">
        <f>IF(O192="","",IF(O192&lt;=$AQ$1,"O","X"))</f>
        <v>O</v>
      </c>
      <c r="AR192" s="80" t="str">
        <f>IF(M192="","",IF(M192&lt;=$AR$1,"O","X"))</f>
        <v>O</v>
      </c>
      <c r="AS192" s="80" t="s">
        <v>2</v>
      </c>
      <c r="AT192" s="80" t="str">
        <f>IF(OR(F192="",AI192=""),"",IF(AND((F192&lt;=85),(AI192&gt;=15)),"O","X"))</f>
        <v>X</v>
      </c>
      <c r="AU192" s="80" t="str">
        <f>IF(C192="","",IF(C192&gt;=$AU$1,"O","X"))</f>
        <v>O</v>
      </c>
      <c r="AV192" s="80" t="str">
        <f>IF(AO192="","",IF(AND(AO192="O",AP192="O",AR192="O",AT192="O",AU192="O"),"후보","X"))</f>
        <v>X</v>
      </c>
    </row>
    <row r="193" spans="1:48" s="37" customFormat="1" ht="12" x14ac:dyDescent="0.3">
      <c r="A193" s="75" t="s">
        <v>1241</v>
      </c>
      <c r="B193" s="76" t="s">
        <v>1242</v>
      </c>
      <c r="C193" s="86">
        <v>523</v>
      </c>
      <c r="D193" s="87">
        <v>62</v>
      </c>
      <c r="E193" s="88">
        <v>19</v>
      </c>
      <c r="F193" s="87">
        <v>45.4</v>
      </c>
      <c r="G193" s="17">
        <v>14</v>
      </c>
      <c r="H193" s="89">
        <v>224</v>
      </c>
      <c r="I193" s="90"/>
      <c r="J193" s="90"/>
      <c r="K193" s="90">
        <v>7500</v>
      </c>
      <c r="L193" s="90" t="s">
        <v>66</v>
      </c>
      <c r="M193" s="91">
        <f>I193-K193</f>
        <v>-7500</v>
      </c>
      <c r="N193" s="4" t="str">
        <f>IF(ISERROR(K193/I193),"",K193/I193)</f>
        <v/>
      </c>
      <c r="O193" s="92">
        <f>I193/E193</f>
        <v>0</v>
      </c>
      <c r="P193" s="92">
        <f>K193/E193</f>
        <v>394.73684210526318</v>
      </c>
      <c r="Q193" s="80">
        <v>2</v>
      </c>
      <c r="R193" s="80">
        <v>1</v>
      </c>
      <c r="S193" s="80" t="s">
        <v>85</v>
      </c>
      <c r="T193" s="5">
        <v>62</v>
      </c>
      <c r="U193" s="9"/>
      <c r="W193" s="87">
        <f>D193</f>
        <v>62</v>
      </c>
      <c r="X193" s="88">
        <f>E193</f>
        <v>19</v>
      </c>
      <c r="Y193" s="93">
        <f>H193</f>
        <v>224</v>
      </c>
      <c r="Z193" s="91">
        <f>I193</f>
        <v>0</v>
      </c>
      <c r="AA193" s="91">
        <f>K193</f>
        <v>7500</v>
      </c>
      <c r="AB193" s="91">
        <f t="shared" si="147"/>
        <v>-7500</v>
      </c>
      <c r="AC193" s="4" t="str">
        <f t="shared" si="147"/>
        <v/>
      </c>
      <c r="AD193" s="92">
        <f t="shared" si="147"/>
        <v>0</v>
      </c>
      <c r="AE193" s="80" t="str">
        <f>S193</f>
        <v>복</v>
      </c>
      <c r="AF193" s="80" t="str">
        <f>Q193&amp;"/"&amp;R193</f>
        <v>2/1</v>
      </c>
      <c r="AH193" s="20" t="str">
        <f t="shared" si="114"/>
        <v>율량동 한울3차</v>
      </c>
      <c r="AI193" s="88">
        <f t="shared" si="115"/>
        <v>19</v>
      </c>
      <c r="AJ193" s="80" t="str">
        <f>IF(AI193="","",$AJ$2)</f>
        <v>A-</v>
      </c>
      <c r="AK193" s="80" t="s">
        <v>13</v>
      </c>
      <c r="AL193" s="80" t="s">
        <v>62</v>
      </c>
      <c r="AM193" s="80" t="s">
        <v>63</v>
      </c>
      <c r="AN193" s="80" t="str">
        <f>IF(AI193="","",$AN$2)</f>
        <v>C</v>
      </c>
      <c r="AO193" s="80" t="str">
        <f>IF(N193="","",IF(N193&gt;=$AO$1/100,"O","X"))</f>
        <v/>
      </c>
      <c r="AP193" s="80" t="str">
        <f>IF(I193="","",IF(I193&lt;=$AP$1,"O","X"))</f>
        <v/>
      </c>
      <c r="AQ193" s="80" t="str">
        <f>IF(O193="","",IF(O193&lt;=$AQ$1,"O","X"))</f>
        <v>O</v>
      </c>
      <c r="AR193" s="80" t="str">
        <f>IF(M193="","",IF(M193&lt;=$AR$1,"O","X"))</f>
        <v>O</v>
      </c>
      <c r="AS193" s="80" t="s">
        <v>2</v>
      </c>
      <c r="AT193" s="80" t="str">
        <f>IF(OR(F193="",AI193=""),"",IF(AND((F193&lt;=85),(AI193&gt;=15)),"O","X"))</f>
        <v>O</v>
      </c>
      <c r="AU193" s="80" t="str">
        <f>IF(C193="","",IF(C193&gt;=$AU$1,"O","X"))</f>
        <v>O</v>
      </c>
      <c r="AV193" s="80" t="str">
        <f>IF(AO193="","",IF(AND(AO193="O",AP193="O",AR193="O",AT193="O",AU193="O"),"후보","X"))</f>
        <v/>
      </c>
    </row>
    <row r="194" spans="1:48" s="37" customFormat="1" ht="12" x14ac:dyDescent="0.3">
      <c r="A194" s="75" t="s">
        <v>1243</v>
      </c>
      <c r="B194" s="76" t="s">
        <v>1244</v>
      </c>
      <c r="C194" s="86">
        <v>330</v>
      </c>
      <c r="D194" s="87">
        <v>93.5</v>
      </c>
      <c r="E194" s="88">
        <v>28</v>
      </c>
      <c r="F194" s="87">
        <v>75.099999999999994</v>
      </c>
      <c r="G194" s="17">
        <v>23</v>
      </c>
      <c r="H194" s="89">
        <v>150</v>
      </c>
      <c r="I194" s="90">
        <v>16000</v>
      </c>
      <c r="J194" s="90" t="s">
        <v>65</v>
      </c>
      <c r="K194" s="90"/>
      <c r="L194" s="90"/>
      <c r="M194" s="91">
        <f>I194-K194</f>
        <v>16000</v>
      </c>
      <c r="N194" s="4">
        <f>IF(ISERROR(K194/I194),"",K194/I194)</f>
        <v>0</v>
      </c>
      <c r="O194" s="92">
        <f>I194/E194</f>
        <v>571.42857142857144</v>
      </c>
      <c r="P194" s="92">
        <f>K194/E194</f>
        <v>0</v>
      </c>
      <c r="Q194" s="80">
        <v>3</v>
      </c>
      <c r="R194" s="80">
        <v>1</v>
      </c>
      <c r="S194" s="80" t="s">
        <v>61</v>
      </c>
      <c r="T194" s="5">
        <v>93</v>
      </c>
      <c r="U194" s="9"/>
      <c r="W194" s="87">
        <f t="shared" ref="W194:X204" si="148">D194</f>
        <v>93.5</v>
      </c>
      <c r="X194" s="88">
        <f t="shared" si="148"/>
        <v>28</v>
      </c>
      <c r="Y194" s="93">
        <f t="shared" ref="Y194:Z204" si="149">H194</f>
        <v>150</v>
      </c>
      <c r="Z194" s="91">
        <f t="shared" si="149"/>
        <v>16000</v>
      </c>
      <c r="AA194" s="91">
        <f>K194</f>
        <v>0</v>
      </c>
      <c r="AB194" s="91">
        <f t="shared" si="147"/>
        <v>16000</v>
      </c>
      <c r="AC194" s="4">
        <f t="shared" si="147"/>
        <v>0</v>
      </c>
      <c r="AD194" s="92">
        <f t="shared" si="147"/>
        <v>571.42857142857144</v>
      </c>
      <c r="AE194" s="80" t="str">
        <f>S194</f>
        <v>계</v>
      </c>
      <c r="AF194" s="80" t="str">
        <f>Q194&amp;"/"&amp;R194</f>
        <v>3/1</v>
      </c>
      <c r="AH194" s="20" t="str">
        <f t="shared" si="114"/>
        <v>율량동 동아</v>
      </c>
      <c r="AI194" s="88">
        <f t="shared" si="115"/>
        <v>28</v>
      </c>
      <c r="AJ194" s="80" t="str">
        <f>IF(AI194="","",$AJ$2)</f>
        <v>A-</v>
      </c>
      <c r="AK194" s="80" t="s">
        <v>13</v>
      </c>
      <c r="AL194" s="80" t="s">
        <v>62</v>
      </c>
      <c r="AM194" s="80" t="s">
        <v>63</v>
      </c>
      <c r="AN194" s="80" t="str">
        <f>IF(AI194="","",$AN$2)</f>
        <v>C</v>
      </c>
      <c r="AO194" s="80" t="str">
        <f>IF(N194="","",IF(N194&gt;=$AO$1/100,"O","X"))</f>
        <v>X</v>
      </c>
      <c r="AP194" s="80" t="str">
        <f>IF(I194="","",IF(I194&lt;=$AP$1,"O","X"))</f>
        <v>O</v>
      </c>
      <c r="AQ194" s="80" t="str">
        <f>IF(O194="","",IF(O194&lt;=$AQ$1,"O","X"))</f>
        <v>O</v>
      </c>
      <c r="AR194" s="80" t="str">
        <f>IF(M194="","",IF(M194&lt;=$AR$1,"O","X"))</f>
        <v>X</v>
      </c>
      <c r="AS194" s="80" t="s">
        <v>2</v>
      </c>
      <c r="AT194" s="80" t="str">
        <f>IF(OR(F194="",AI194=""),"",IF(AND((F194&lt;=85),(AI194&gt;=15)),"O","X"))</f>
        <v>O</v>
      </c>
      <c r="AU194" s="80" t="str">
        <f>IF(C194="","",IF(C194&gt;=$AU$1,"O","X"))</f>
        <v>O</v>
      </c>
      <c r="AV194" s="80" t="str">
        <f>IF(AO194="","",IF(AND(AO194="O",AP194="O",AR194="O",AT194="O",AU194="O"),"후보","X"))</f>
        <v>X</v>
      </c>
    </row>
    <row r="195" spans="1:48" s="37" customFormat="1" ht="12" x14ac:dyDescent="0.3">
      <c r="A195" s="75" t="s">
        <v>1059</v>
      </c>
      <c r="B195" s="76" t="s">
        <v>1060</v>
      </c>
      <c r="C195" s="86">
        <v>330</v>
      </c>
      <c r="D195" s="87">
        <v>104.8</v>
      </c>
      <c r="E195" s="88">
        <v>32</v>
      </c>
      <c r="F195" s="87">
        <v>84.9</v>
      </c>
      <c r="G195" s="17">
        <v>26</v>
      </c>
      <c r="H195" s="89">
        <v>120</v>
      </c>
      <c r="I195" s="90">
        <v>16800</v>
      </c>
      <c r="J195" s="90" t="s">
        <v>64</v>
      </c>
      <c r="K195" s="90"/>
      <c r="L195" s="90"/>
      <c r="M195" s="91">
        <f>I195-K195</f>
        <v>16800</v>
      </c>
      <c r="N195" s="4">
        <f>IF(ISERROR(K195/I195),"",K195/I195)</f>
        <v>0</v>
      </c>
      <c r="O195" s="92">
        <f>I195/E195</f>
        <v>525</v>
      </c>
      <c r="P195" s="92">
        <f>K195/E195</f>
        <v>0</v>
      </c>
      <c r="Q195" s="80">
        <v>3</v>
      </c>
      <c r="R195" s="80">
        <v>2</v>
      </c>
      <c r="S195" s="80" t="s">
        <v>61</v>
      </c>
      <c r="T195" s="5">
        <v>104</v>
      </c>
      <c r="U195" s="9"/>
      <c r="W195" s="87">
        <f t="shared" si="148"/>
        <v>104.8</v>
      </c>
      <c r="X195" s="88">
        <f t="shared" si="148"/>
        <v>32</v>
      </c>
      <c r="Y195" s="93">
        <f t="shared" si="149"/>
        <v>120</v>
      </c>
      <c r="Z195" s="91">
        <f t="shared" si="149"/>
        <v>16800</v>
      </c>
      <c r="AA195" s="91">
        <f>K195</f>
        <v>0</v>
      </c>
      <c r="AB195" s="91">
        <f t="shared" si="147"/>
        <v>16800</v>
      </c>
      <c r="AC195" s="4">
        <f t="shared" si="147"/>
        <v>0</v>
      </c>
      <c r="AD195" s="92">
        <f t="shared" si="147"/>
        <v>525</v>
      </c>
      <c r="AE195" s="80" t="str">
        <f>S195</f>
        <v>계</v>
      </c>
      <c r="AF195" s="80" t="str">
        <f>Q195&amp;"/"&amp;R195</f>
        <v>3/2</v>
      </c>
      <c r="AH195" s="20" t="str">
        <f t="shared" si="114"/>
        <v>율량동 동아</v>
      </c>
      <c r="AI195" s="88">
        <f t="shared" si="115"/>
        <v>32</v>
      </c>
      <c r="AJ195" s="80" t="str">
        <f>IF(AI195="","",$AJ$2)</f>
        <v>A-</v>
      </c>
      <c r="AK195" s="80" t="s">
        <v>13</v>
      </c>
      <c r="AL195" s="80" t="s">
        <v>62</v>
      </c>
      <c r="AM195" s="80" t="s">
        <v>63</v>
      </c>
      <c r="AN195" s="80" t="str">
        <f>IF(AI195="","",$AN$2)</f>
        <v>C</v>
      </c>
      <c r="AO195" s="80" t="str">
        <f>IF(N195="","",IF(N195&gt;=$AO$1/100,"O","X"))</f>
        <v>X</v>
      </c>
      <c r="AP195" s="80" t="str">
        <f>IF(I195="","",IF(I195&lt;=$AP$1,"O","X"))</f>
        <v>O</v>
      </c>
      <c r="AQ195" s="80" t="str">
        <f>IF(O195="","",IF(O195&lt;=$AQ$1,"O","X"))</f>
        <v>O</v>
      </c>
      <c r="AR195" s="80" t="str">
        <f>IF(M195="","",IF(M195&lt;=$AR$1,"O","X"))</f>
        <v>X</v>
      </c>
      <c r="AS195" s="80" t="s">
        <v>2</v>
      </c>
      <c r="AT195" s="80" t="str">
        <f>IF(OR(F195="",AI195=""),"",IF(AND((F195&lt;=85),(AI195&gt;=15)),"O","X"))</f>
        <v>O</v>
      </c>
      <c r="AU195" s="80" t="str">
        <f>IF(C195="","",IF(C195&gt;=$AU$1,"O","X"))</f>
        <v>O</v>
      </c>
      <c r="AV195" s="80" t="str">
        <f>IF(AO195="","",IF(AND(AO195="O",AP195="O",AR195="O",AT195="O",AU195="O"),"후보","X"))</f>
        <v>X</v>
      </c>
    </row>
    <row r="196" spans="1:48" s="37" customFormat="1" ht="12" x14ac:dyDescent="0.3">
      <c r="A196" s="75" t="s">
        <v>1245</v>
      </c>
      <c r="B196" s="76" t="s">
        <v>1246</v>
      </c>
      <c r="C196" s="86">
        <v>330</v>
      </c>
      <c r="D196" s="87">
        <v>159.1</v>
      </c>
      <c r="E196" s="88">
        <v>48</v>
      </c>
      <c r="F196" s="87">
        <v>134.5</v>
      </c>
      <c r="G196" s="17">
        <v>41</v>
      </c>
      <c r="H196" s="89">
        <v>60</v>
      </c>
      <c r="I196" s="90">
        <v>21900</v>
      </c>
      <c r="J196" s="90" t="s">
        <v>73</v>
      </c>
      <c r="K196" s="90"/>
      <c r="L196" s="90"/>
      <c r="M196" s="91">
        <f>I196-K196</f>
        <v>21900</v>
      </c>
      <c r="N196" s="4">
        <f>IF(ISERROR(K196/I196),"",K196/I196)</f>
        <v>0</v>
      </c>
      <c r="O196" s="92">
        <f>I196/E196</f>
        <v>456.25</v>
      </c>
      <c r="P196" s="92">
        <f>K196/E196</f>
        <v>0</v>
      </c>
      <c r="Q196" s="80">
        <v>4</v>
      </c>
      <c r="R196" s="80">
        <v>2</v>
      </c>
      <c r="S196" s="80" t="s">
        <v>61</v>
      </c>
      <c r="T196" s="5">
        <v>159</v>
      </c>
      <c r="U196" s="9"/>
      <c r="W196" s="87">
        <f t="shared" si="148"/>
        <v>159.1</v>
      </c>
      <c r="X196" s="88">
        <f t="shared" si="148"/>
        <v>48</v>
      </c>
      <c r="Y196" s="93">
        <f t="shared" si="149"/>
        <v>60</v>
      </c>
      <c r="Z196" s="91">
        <f t="shared" si="149"/>
        <v>21900</v>
      </c>
      <c r="AA196" s="91">
        <f>K196</f>
        <v>0</v>
      </c>
      <c r="AB196" s="91">
        <f t="shared" si="147"/>
        <v>21900</v>
      </c>
      <c r="AC196" s="4">
        <f t="shared" si="147"/>
        <v>0</v>
      </c>
      <c r="AD196" s="92">
        <f t="shared" si="147"/>
        <v>456.25</v>
      </c>
      <c r="AE196" s="80" t="str">
        <f>S196</f>
        <v>계</v>
      </c>
      <c r="AF196" s="80" t="str">
        <f>Q196&amp;"/"&amp;R196</f>
        <v>4/2</v>
      </c>
      <c r="AH196" s="20" t="str">
        <f t="shared" ref="AH196:AH240" si="150">IF(A196="","",A196)</f>
        <v>율량동 동아</v>
      </c>
      <c r="AI196" s="88">
        <f t="shared" ref="AI196:AI243" si="151">IF(E196="","",E196)</f>
        <v>48</v>
      </c>
      <c r="AJ196" s="80" t="str">
        <f>IF(AI196="","",$AJ$2)</f>
        <v>A-</v>
      </c>
      <c r="AK196" s="80" t="s">
        <v>13</v>
      </c>
      <c r="AL196" s="80" t="s">
        <v>62</v>
      </c>
      <c r="AM196" s="80" t="s">
        <v>63</v>
      </c>
      <c r="AN196" s="80" t="str">
        <f>IF(AI196="","",$AN$2)</f>
        <v>C</v>
      </c>
      <c r="AO196" s="80" t="str">
        <f>IF(N196="","",IF(N196&gt;=$AO$1/100,"O","X"))</f>
        <v>X</v>
      </c>
      <c r="AP196" s="80" t="str">
        <f>IF(I196="","",IF(I196&lt;=$AP$1,"O","X"))</f>
        <v>O</v>
      </c>
      <c r="AQ196" s="80" t="str">
        <f>IF(O196="","",IF(O196&lt;=$AQ$1,"O","X"))</f>
        <v>O</v>
      </c>
      <c r="AR196" s="80" t="str">
        <f>IF(M196="","",IF(M196&lt;=$AR$1,"O","X"))</f>
        <v>X</v>
      </c>
      <c r="AS196" s="80" t="s">
        <v>2</v>
      </c>
      <c r="AT196" s="80" t="str">
        <f>IF(OR(F196="",AI196=""),"",IF(AND((F196&lt;=85),(AI196&gt;=15)),"O","X"))</f>
        <v>X</v>
      </c>
      <c r="AU196" s="80" t="str">
        <f>IF(C196="","",IF(C196&gt;=$AU$1,"O","X"))</f>
        <v>O</v>
      </c>
      <c r="AV196" s="80" t="str">
        <f>IF(AO196="","",IF(AND(AO196="O",AP196="O",AR196="O",AT196="O",AU196="O"),"후보","X"))</f>
        <v>X</v>
      </c>
    </row>
    <row r="197" spans="1:48" s="37" customFormat="1" ht="12" x14ac:dyDescent="0.3">
      <c r="A197" s="75" t="s">
        <v>1247</v>
      </c>
      <c r="B197" s="76" t="s">
        <v>1248</v>
      </c>
      <c r="C197" s="86">
        <v>748</v>
      </c>
      <c r="D197" s="87">
        <v>79.8</v>
      </c>
      <c r="E197" s="88">
        <v>24</v>
      </c>
      <c r="F197" s="87">
        <v>59.9</v>
      </c>
      <c r="G197" s="17">
        <v>18</v>
      </c>
      <c r="H197" s="89">
        <v>152</v>
      </c>
      <c r="I197" s="90">
        <v>30600</v>
      </c>
      <c r="J197" s="90" t="s">
        <v>59</v>
      </c>
      <c r="K197" s="90">
        <v>25000</v>
      </c>
      <c r="L197" s="90" t="s">
        <v>106</v>
      </c>
      <c r="M197" s="91">
        <f t="shared" ref="M197:M204" si="152">I197-K197</f>
        <v>5600</v>
      </c>
      <c r="N197" s="4">
        <f t="shared" ref="N197:N204" si="153">IF(ISERROR(K197/I197),"",K197/I197)</f>
        <v>0.81699346405228757</v>
      </c>
      <c r="O197" s="92">
        <f t="shared" ref="O197:O204" si="154">I197/E197</f>
        <v>1275</v>
      </c>
      <c r="P197" s="92">
        <f t="shared" ref="P197:P204" si="155">K197/E197</f>
        <v>1041.6666666666667</v>
      </c>
      <c r="Q197" s="80">
        <v>3</v>
      </c>
      <c r="R197" s="80">
        <v>2</v>
      </c>
      <c r="S197" s="80" t="s">
        <v>61</v>
      </c>
      <c r="T197" s="5" t="s">
        <v>122</v>
      </c>
      <c r="U197" s="9"/>
      <c r="W197" s="87">
        <f t="shared" si="148"/>
        <v>79.8</v>
      </c>
      <c r="X197" s="88">
        <f t="shared" si="148"/>
        <v>24</v>
      </c>
      <c r="Y197" s="93">
        <f t="shared" si="149"/>
        <v>152</v>
      </c>
      <c r="Z197" s="91">
        <f t="shared" si="149"/>
        <v>30600</v>
      </c>
      <c r="AA197" s="91">
        <f t="shared" ref="AA197:AA204" si="156">K197</f>
        <v>25000</v>
      </c>
      <c r="AB197" s="91">
        <f t="shared" si="147"/>
        <v>5600</v>
      </c>
      <c r="AC197" s="4">
        <f t="shared" si="147"/>
        <v>0.81699346405228757</v>
      </c>
      <c r="AD197" s="92">
        <f t="shared" si="147"/>
        <v>1275</v>
      </c>
      <c r="AE197" s="80" t="str">
        <f t="shared" ref="AE197:AE204" si="157">S197</f>
        <v>계</v>
      </c>
      <c r="AF197" s="80" t="str">
        <f t="shared" ref="AF197:AF204" si="158">Q197&amp;"/"&amp;R197</f>
        <v>3/2</v>
      </c>
      <c r="AH197" s="20" t="str">
        <f t="shared" si="150"/>
        <v>율량동 율량금호어울림센트로</v>
      </c>
      <c r="AI197" s="88">
        <f t="shared" si="151"/>
        <v>24</v>
      </c>
      <c r="AJ197" s="80" t="str">
        <f t="shared" ref="AJ197:AJ204" si="159">IF(AI197="","",$AJ$2)</f>
        <v>A-</v>
      </c>
      <c r="AK197" s="80" t="s">
        <v>13</v>
      </c>
      <c r="AL197" s="80" t="s">
        <v>62</v>
      </c>
      <c r="AM197" s="80" t="s">
        <v>63</v>
      </c>
      <c r="AN197" s="80" t="str">
        <f t="shared" ref="AN197:AN204" si="160">IF(AI197="","",$AN$2)</f>
        <v>C</v>
      </c>
      <c r="AO197" s="80" t="str">
        <f t="shared" ref="AO197:AO204" si="161">IF(N197="","",IF(N197&gt;=$AO$1/100,"O","X"))</f>
        <v>O</v>
      </c>
      <c r="AP197" s="80" t="str">
        <f t="shared" ref="AP197:AP204" si="162">IF(I197="","",IF(I197&lt;=$AP$1,"O","X"))</f>
        <v>O</v>
      </c>
      <c r="AQ197" s="80" t="str">
        <f t="shared" ref="AQ197:AQ204" si="163">IF(O197="","",IF(O197&lt;=$AQ$1,"O","X"))</f>
        <v>X</v>
      </c>
      <c r="AR197" s="80" t="str">
        <f t="shared" ref="AR197:AR204" si="164">IF(M197="","",IF(M197&lt;=$AR$1,"O","X"))</f>
        <v>O</v>
      </c>
      <c r="AS197" s="80" t="s">
        <v>2</v>
      </c>
      <c r="AT197" s="80" t="str">
        <f t="shared" ref="AT197:AT204" si="165">IF(OR(F197="",AI197=""),"",IF(AND((F197&lt;=85),(AI197&gt;=15)),"O","X"))</f>
        <v>O</v>
      </c>
      <c r="AU197" s="80" t="str">
        <f t="shared" ref="AU197:AU204" si="166">IF(C197="","",IF(C197&gt;=$AU$1,"O","X"))</f>
        <v>O</v>
      </c>
      <c r="AV197" s="80" t="str">
        <f t="shared" ref="AV197:AV204" si="167">IF(AO197="","",IF(AND(AO197="O",AP197="O",AR197="O",AT197="O",AU197="O"),"후보","X"))</f>
        <v>후보</v>
      </c>
    </row>
    <row r="198" spans="1:48" s="37" customFormat="1" ht="12" x14ac:dyDescent="0.3">
      <c r="A198" s="75" t="s">
        <v>1249</v>
      </c>
      <c r="B198" s="76" t="s">
        <v>1250</v>
      </c>
      <c r="C198" s="86">
        <v>748</v>
      </c>
      <c r="D198" s="87">
        <v>80.3</v>
      </c>
      <c r="E198" s="88">
        <v>24</v>
      </c>
      <c r="F198" s="87">
        <v>59.9</v>
      </c>
      <c r="G198" s="17">
        <v>18</v>
      </c>
      <c r="H198" s="89">
        <v>99</v>
      </c>
      <c r="I198" s="90"/>
      <c r="J198" s="90"/>
      <c r="K198" s="90"/>
      <c r="L198" s="90"/>
      <c r="M198" s="91">
        <f t="shared" si="152"/>
        <v>0</v>
      </c>
      <c r="N198" s="4" t="str">
        <f t="shared" si="153"/>
        <v/>
      </c>
      <c r="O198" s="92">
        <f t="shared" si="154"/>
        <v>0</v>
      </c>
      <c r="P198" s="92">
        <f t="shared" si="155"/>
        <v>0</v>
      </c>
      <c r="Q198" s="80">
        <v>3</v>
      </c>
      <c r="R198" s="80">
        <v>2</v>
      </c>
      <c r="S198" s="80" t="s">
        <v>61</v>
      </c>
      <c r="T198" s="5" t="s">
        <v>420</v>
      </c>
      <c r="U198" s="9"/>
      <c r="W198" s="87">
        <f t="shared" si="148"/>
        <v>80.3</v>
      </c>
      <c r="X198" s="88">
        <f t="shared" si="148"/>
        <v>24</v>
      </c>
      <c r="Y198" s="93">
        <f t="shared" si="149"/>
        <v>99</v>
      </c>
      <c r="Z198" s="91">
        <f t="shared" si="149"/>
        <v>0</v>
      </c>
      <c r="AA198" s="91">
        <f t="shared" si="156"/>
        <v>0</v>
      </c>
      <c r="AB198" s="91">
        <f t="shared" si="147"/>
        <v>0</v>
      </c>
      <c r="AC198" s="4" t="str">
        <f t="shared" si="147"/>
        <v/>
      </c>
      <c r="AD198" s="92">
        <f t="shared" si="147"/>
        <v>0</v>
      </c>
      <c r="AE198" s="80" t="str">
        <f t="shared" si="157"/>
        <v>계</v>
      </c>
      <c r="AF198" s="80" t="str">
        <f t="shared" si="158"/>
        <v>3/2</v>
      </c>
      <c r="AH198" s="20" t="str">
        <f t="shared" si="150"/>
        <v>율량동 율량금호어울림센트로</v>
      </c>
      <c r="AI198" s="88">
        <f t="shared" si="151"/>
        <v>24</v>
      </c>
      <c r="AJ198" s="80" t="str">
        <f t="shared" si="159"/>
        <v>A-</v>
      </c>
      <c r="AK198" s="80" t="s">
        <v>13</v>
      </c>
      <c r="AL198" s="80" t="s">
        <v>62</v>
      </c>
      <c r="AM198" s="80" t="s">
        <v>63</v>
      </c>
      <c r="AN198" s="80" t="str">
        <f t="shared" si="160"/>
        <v>C</v>
      </c>
      <c r="AO198" s="80" t="str">
        <f t="shared" si="161"/>
        <v/>
      </c>
      <c r="AP198" s="80" t="str">
        <f t="shared" si="162"/>
        <v/>
      </c>
      <c r="AQ198" s="80" t="str">
        <f t="shared" si="163"/>
        <v>O</v>
      </c>
      <c r="AR198" s="80" t="str">
        <f t="shared" si="164"/>
        <v>O</v>
      </c>
      <c r="AS198" s="80" t="s">
        <v>2</v>
      </c>
      <c r="AT198" s="80" t="str">
        <f t="shared" si="165"/>
        <v>O</v>
      </c>
      <c r="AU198" s="80" t="str">
        <f t="shared" si="166"/>
        <v>O</v>
      </c>
      <c r="AV198" s="80" t="str">
        <f t="shared" si="167"/>
        <v/>
      </c>
    </row>
    <row r="199" spans="1:48" s="37" customFormat="1" ht="12" x14ac:dyDescent="0.3">
      <c r="A199" s="75" t="s">
        <v>1247</v>
      </c>
      <c r="B199" s="76" t="s">
        <v>1250</v>
      </c>
      <c r="C199" s="86">
        <v>748</v>
      </c>
      <c r="D199" s="87">
        <v>99.6</v>
      </c>
      <c r="E199" s="88">
        <v>30</v>
      </c>
      <c r="F199" s="87">
        <v>76</v>
      </c>
      <c r="G199" s="17">
        <v>23</v>
      </c>
      <c r="H199" s="89">
        <v>143</v>
      </c>
      <c r="I199" s="90"/>
      <c r="J199" s="90"/>
      <c r="K199" s="90"/>
      <c r="L199" s="90"/>
      <c r="M199" s="91">
        <f t="shared" si="152"/>
        <v>0</v>
      </c>
      <c r="N199" s="4" t="str">
        <f t="shared" si="153"/>
        <v/>
      </c>
      <c r="O199" s="92">
        <f t="shared" si="154"/>
        <v>0</v>
      </c>
      <c r="P199" s="92">
        <f t="shared" si="155"/>
        <v>0</v>
      </c>
      <c r="Q199" s="80">
        <v>3</v>
      </c>
      <c r="R199" s="80">
        <v>2</v>
      </c>
      <c r="S199" s="80" t="s">
        <v>61</v>
      </c>
      <c r="T199" s="5" t="s">
        <v>123</v>
      </c>
      <c r="U199" s="9"/>
      <c r="W199" s="87">
        <f t="shared" si="148"/>
        <v>99.6</v>
      </c>
      <c r="X199" s="88">
        <f t="shared" si="148"/>
        <v>30</v>
      </c>
      <c r="Y199" s="93">
        <f t="shared" si="149"/>
        <v>143</v>
      </c>
      <c r="Z199" s="91">
        <f t="shared" si="149"/>
        <v>0</v>
      </c>
      <c r="AA199" s="91">
        <f t="shared" si="156"/>
        <v>0</v>
      </c>
      <c r="AB199" s="91">
        <f t="shared" si="147"/>
        <v>0</v>
      </c>
      <c r="AC199" s="4" t="str">
        <f t="shared" si="147"/>
        <v/>
      </c>
      <c r="AD199" s="92">
        <f t="shared" si="147"/>
        <v>0</v>
      </c>
      <c r="AE199" s="80" t="str">
        <f t="shared" si="157"/>
        <v>계</v>
      </c>
      <c r="AF199" s="80" t="str">
        <f t="shared" si="158"/>
        <v>3/2</v>
      </c>
      <c r="AH199" s="20" t="str">
        <f t="shared" si="150"/>
        <v>율량동 율량금호어울림센트로</v>
      </c>
      <c r="AI199" s="88">
        <f t="shared" si="151"/>
        <v>30</v>
      </c>
      <c r="AJ199" s="80" t="str">
        <f t="shared" si="159"/>
        <v>A-</v>
      </c>
      <c r="AK199" s="80" t="s">
        <v>13</v>
      </c>
      <c r="AL199" s="80" t="s">
        <v>62</v>
      </c>
      <c r="AM199" s="80" t="s">
        <v>63</v>
      </c>
      <c r="AN199" s="80" t="str">
        <f t="shared" si="160"/>
        <v>C</v>
      </c>
      <c r="AO199" s="80" t="str">
        <f t="shared" si="161"/>
        <v/>
      </c>
      <c r="AP199" s="80" t="str">
        <f t="shared" si="162"/>
        <v/>
      </c>
      <c r="AQ199" s="80" t="str">
        <f t="shared" si="163"/>
        <v>O</v>
      </c>
      <c r="AR199" s="80" t="str">
        <f t="shared" si="164"/>
        <v>O</v>
      </c>
      <c r="AS199" s="80" t="s">
        <v>2</v>
      </c>
      <c r="AT199" s="80" t="str">
        <f t="shared" si="165"/>
        <v>O</v>
      </c>
      <c r="AU199" s="80" t="str">
        <f t="shared" si="166"/>
        <v>O</v>
      </c>
      <c r="AV199" s="80" t="str">
        <f t="shared" si="167"/>
        <v/>
      </c>
    </row>
    <row r="200" spans="1:48" s="37" customFormat="1" ht="12" x14ac:dyDescent="0.3">
      <c r="A200" s="75" t="s">
        <v>1249</v>
      </c>
      <c r="B200" s="76" t="s">
        <v>1251</v>
      </c>
      <c r="C200" s="86">
        <v>748</v>
      </c>
      <c r="D200" s="87">
        <v>100.8</v>
      </c>
      <c r="E200" s="88">
        <v>31</v>
      </c>
      <c r="F200" s="87">
        <v>76</v>
      </c>
      <c r="G200" s="17">
        <v>23</v>
      </c>
      <c r="H200" s="89">
        <v>107</v>
      </c>
      <c r="I200" s="90">
        <v>36440</v>
      </c>
      <c r="J200" s="90" t="s">
        <v>70</v>
      </c>
      <c r="K200" s="90">
        <v>28000</v>
      </c>
      <c r="L200" s="90" t="s">
        <v>101</v>
      </c>
      <c r="M200" s="91">
        <f t="shared" si="152"/>
        <v>8440</v>
      </c>
      <c r="N200" s="4">
        <f t="shared" si="153"/>
        <v>0.76838638858397368</v>
      </c>
      <c r="O200" s="92">
        <f t="shared" si="154"/>
        <v>1175.483870967742</v>
      </c>
      <c r="P200" s="92">
        <f t="shared" si="155"/>
        <v>903.22580645161293</v>
      </c>
      <c r="Q200" s="80">
        <v>3</v>
      </c>
      <c r="R200" s="80">
        <v>2</v>
      </c>
      <c r="S200" s="80" t="s">
        <v>61</v>
      </c>
      <c r="T200" s="5" t="s">
        <v>108</v>
      </c>
      <c r="U200" s="9"/>
      <c r="W200" s="87">
        <f t="shared" si="148"/>
        <v>100.8</v>
      </c>
      <c r="X200" s="88">
        <f t="shared" si="148"/>
        <v>31</v>
      </c>
      <c r="Y200" s="93">
        <f t="shared" si="149"/>
        <v>107</v>
      </c>
      <c r="Z200" s="91">
        <f t="shared" si="149"/>
        <v>36440</v>
      </c>
      <c r="AA200" s="91">
        <f t="shared" si="156"/>
        <v>28000</v>
      </c>
      <c r="AB200" s="91">
        <f t="shared" ref="AB200:AD204" si="168">M200</f>
        <v>8440</v>
      </c>
      <c r="AC200" s="4">
        <f t="shared" si="168"/>
        <v>0.76838638858397368</v>
      </c>
      <c r="AD200" s="92">
        <f t="shared" si="168"/>
        <v>1175.483870967742</v>
      </c>
      <c r="AE200" s="80" t="str">
        <f t="shared" si="157"/>
        <v>계</v>
      </c>
      <c r="AF200" s="80" t="str">
        <f t="shared" si="158"/>
        <v>3/2</v>
      </c>
      <c r="AH200" s="20" t="str">
        <f t="shared" si="150"/>
        <v>율량동 율량금호어울림센트로</v>
      </c>
      <c r="AI200" s="88">
        <f t="shared" si="151"/>
        <v>31</v>
      </c>
      <c r="AJ200" s="80" t="str">
        <f t="shared" si="159"/>
        <v>A-</v>
      </c>
      <c r="AK200" s="80" t="s">
        <v>13</v>
      </c>
      <c r="AL200" s="80" t="s">
        <v>62</v>
      </c>
      <c r="AM200" s="80" t="s">
        <v>63</v>
      </c>
      <c r="AN200" s="80" t="str">
        <f t="shared" si="160"/>
        <v>C</v>
      </c>
      <c r="AO200" s="80" t="str">
        <f t="shared" si="161"/>
        <v>X</v>
      </c>
      <c r="AP200" s="80" t="str">
        <f t="shared" si="162"/>
        <v>O</v>
      </c>
      <c r="AQ200" s="80" t="str">
        <f t="shared" si="163"/>
        <v>X</v>
      </c>
      <c r="AR200" s="80" t="str">
        <f t="shared" si="164"/>
        <v>X</v>
      </c>
      <c r="AS200" s="80" t="s">
        <v>2</v>
      </c>
      <c r="AT200" s="80" t="str">
        <f t="shared" si="165"/>
        <v>O</v>
      </c>
      <c r="AU200" s="80" t="str">
        <f t="shared" si="166"/>
        <v>O</v>
      </c>
      <c r="AV200" s="80" t="str">
        <f t="shared" si="167"/>
        <v>X</v>
      </c>
    </row>
    <row r="201" spans="1:48" s="37" customFormat="1" ht="12" x14ac:dyDescent="0.3">
      <c r="A201" s="75" t="s">
        <v>1249</v>
      </c>
      <c r="B201" s="76" t="s">
        <v>1251</v>
      </c>
      <c r="C201" s="86">
        <v>748</v>
      </c>
      <c r="D201" s="87">
        <v>111.2</v>
      </c>
      <c r="E201" s="88">
        <v>34</v>
      </c>
      <c r="F201" s="87">
        <v>85</v>
      </c>
      <c r="G201" s="17">
        <v>26</v>
      </c>
      <c r="H201" s="89">
        <v>149</v>
      </c>
      <c r="I201" s="90">
        <v>41600</v>
      </c>
      <c r="J201" s="90" t="s">
        <v>68</v>
      </c>
      <c r="K201" s="90">
        <v>30000</v>
      </c>
      <c r="L201" s="90" t="s">
        <v>104</v>
      </c>
      <c r="M201" s="91">
        <f t="shared" si="152"/>
        <v>11600</v>
      </c>
      <c r="N201" s="4">
        <f t="shared" si="153"/>
        <v>0.72115384615384615</v>
      </c>
      <c r="O201" s="92">
        <f t="shared" si="154"/>
        <v>1223.5294117647059</v>
      </c>
      <c r="P201" s="92">
        <f t="shared" si="155"/>
        <v>882.35294117647061</v>
      </c>
      <c r="Q201" s="80">
        <v>3</v>
      </c>
      <c r="R201" s="80">
        <v>2</v>
      </c>
      <c r="S201" s="80" t="s">
        <v>61</v>
      </c>
      <c r="T201" s="5" t="s">
        <v>109</v>
      </c>
      <c r="U201" s="9"/>
      <c r="W201" s="87">
        <f t="shared" si="148"/>
        <v>111.2</v>
      </c>
      <c r="X201" s="88">
        <f t="shared" si="148"/>
        <v>34</v>
      </c>
      <c r="Y201" s="93">
        <f t="shared" si="149"/>
        <v>149</v>
      </c>
      <c r="Z201" s="91">
        <f t="shared" si="149"/>
        <v>41600</v>
      </c>
      <c r="AA201" s="91">
        <f t="shared" si="156"/>
        <v>30000</v>
      </c>
      <c r="AB201" s="91">
        <f t="shared" si="168"/>
        <v>11600</v>
      </c>
      <c r="AC201" s="4">
        <f t="shared" si="168"/>
        <v>0.72115384615384615</v>
      </c>
      <c r="AD201" s="92">
        <f t="shared" si="168"/>
        <v>1223.5294117647059</v>
      </c>
      <c r="AE201" s="80" t="str">
        <f t="shared" si="157"/>
        <v>계</v>
      </c>
      <c r="AF201" s="80" t="str">
        <f t="shared" si="158"/>
        <v>3/2</v>
      </c>
      <c r="AH201" s="20" t="str">
        <f t="shared" si="150"/>
        <v>율량동 율량금호어울림센트로</v>
      </c>
      <c r="AI201" s="88">
        <f t="shared" si="151"/>
        <v>34</v>
      </c>
      <c r="AJ201" s="80" t="str">
        <f t="shared" si="159"/>
        <v>A-</v>
      </c>
      <c r="AK201" s="80" t="s">
        <v>13</v>
      </c>
      <c r="AL201" s="80" t="s">
        <v>62</v>
      </c>
      <c r="AM201" s="80" t="s">
        <v>63</v>
      </c>
      <c r="AN201" s="80" t="str">
        <f t="shared" si="160"/>
        <v>C</v>
      </c>
      <c r="AO201" s="80" t="str">
        <f t="shared" si="161"/>
        <v>X</v>
      </c>
      <c r="AP201" s="80" t="str">
        <f t="shared" si="162"/>
        <v>O</v>
      </c>
      <c r="AQ201" s="80" t="str">
        <f t="shared" si="163"/>
        <v>X</v>
      </c>
      <c r="AR201" s="80" t="str">
        <f t="shared" si="164"/>
        <v>X</v>
      </c>
      <c r="AS201" s="80" t="s">
        <v>2</v>
      </c>
      <c r="AT201" s="80" t="str">
        <f t="shared" si="165"/>
        <v>O</v>
      </c>
      <c r="AU201" s="80" t="str">
        <f t="shared" si="166"/>
        <v>O</v>
      </c>
      <c r="AV201" s="80" t="str">
        <f t="shared" si="167"/>
        <v>X</v>
      </c>
    </row>
    <row r="202" spans="1:48" s="37" customFormat="1" ht="12" x14ac:dyDescent="0.3">
      <c r="A202" s="75" t="s">
        <v>1252</v>
      </c>
      <c r="B202" s="76" t="s">
        <v>1253</v>
      </c>
      <c r="C202" s="86">
        <v>748</v>
      </c>
      <c r="D202" s="87">
        <v>111.5</v>
      </c>
      <c r="E202" s="88">
        <v>34</v>
      </c>
      <c r="F202" s="87">
        <v>85</v>
      </c>
      <c r="G202" s="17">
        <v>26</v>
      </c>
      <c r="H202" s="89">
        <v>48</v>
      </c>
      <c r="I202" s="90">
        <v>42700</v>
      </c>
      <c r="J202" s="90" t="s">
        <v>68</v>
      </c>
      <c r="K202" s="90">
        <v>31000</v>
      </c>
      <c r="L202" s="90" t="s">
        <v>106</v>
      </c>
      <c r="M202" s="91">
        <f t="shared" si="152"/>
        <v>11700</v>
      </c>
      <c r="N202" s="4">
        <f t="shared" si="153"/>
        <v>0.72599531615925061</v>
      </c>
      <c r="O202" s="92">
        <f t="shared" si="154"/>
        <v>1255.8823529411766</v>
      </c>
      <c r="P202" s="92">
        <f t="shared" si="155"/>
        <v>911.76470588235293</v>
      </c>
      <c r="Q202" s="80">
        <v>3</v>
      </c>
      <c r="R202" s="80">
        <v>2</v>
      </c>
      <c r="S202" s="80" t="s">
        <v>61</v>
      </c>
      <c r="T202" s="5" t="s">
        <v>664</v>
      </c>
      <c r="U202" s="9"/>
      <c r="W202" s="87">
        <f t="shared" si="148"/>
        <v>111.5</v>
      </c>
      <c r="X202" s="88">
        <f t="shared" si="148"/>
        <v>34</v>
      </c>
      <c r="Y202" s="93">
        <f t="shared" si="149"/>
        <v>48</v>
      </c>
      <c r="Z202" s="91">
        <f t="shared" si="149"/>
        <v>42700</v>
      </c>
      <c r="AA202" s="91">
        <f t="shared" si="156"/>
        <v>31000</v>
      </c>
      <c r="AB202" s="91">
        <f t="shared" si="168"/>
        <v>11700</v>
      </c>
      <c r="AC202" s="4">
        <f t="shared" si="168"/>
        <v>0.72599531615925061</v>
      </c>
      <c r="AD202" s="92">
        <f t="shared" si="168"/>
        <v>1255.8823529411766</v>
      </c>
      <c r="AE202" s="80" t="str">
        <f t="shared" si="157"/>
        <v>계</v>
      </c>
      <c r="AF202" s="80" t="str">
        <f t="shared" si="158"/>
        <v>3/2</v>
      </c>
      <c r="AH202" s="20" t="str">
        <f t="shared" si="150"/>
        <v>율량동 율량금호어울림센트로</v>
      </c>
      <c r="AI202" s="88">
        <f t="shared" si="151"/>
        <v>34</v>
      </c>
      <c r="AJ202" s="80" t="str">
        <f t="shared" si="159"/>
        <v>A-</v>
      </c>
      <c r="AK202" s="80" t="s">
        <v>13</v>
      </c>
      <c r="AL202" s="80" t="s">
        <v>62</v>
      </c>
      <c r="AM202" s="80" t="s">
        <v>63</v>
      </c>
      <c r="AN202" s="80" t="str">
        <f t="shared" si="160"/>
        <v>C</v>
      </c>
      <c r="AO202" s="80" t="str">
        <f t="shared" si="161"/>
        <v>X</v>
      </c>
      <c r="AP202" s="80" t="str">
        <f t="shared" si="162"/>
        <v>O</v>
      </c>
      <c r="AQ202" s="80" t="str">
        <f t="shared" si="163"/>
        <v>X</v>
      </c>
      <c r="AR202" s="80" t="str">
        <f t="shared" si="164"/>
        <v>X</v>
      </c>
      <c r="AS202" s="80" t="s">
        <v>2</v>
      </c>
      <c r="AT202" s="80" t="str">
        <f t="shared" si="165"/>
        <v>O</v>
      </c>
      <c r="AU202" s="80" t="str">
        <f t="shared" si="166"/>
        <v>O</v>
      </c>
      <c r="AV202" s="80" t="str">
        <f t="shared" si="167"/>
        <v>X</v>
      </c>
    </row>
    <row r="203" spans="1:48" s="37" customFormat="1" ht="12" x14ac:dyDescent="0.3">
      <c r="A203" s="75" t="s">
        <v>1252</v>
      </c>
      <c r="B203" s="76" t="s">
        <v>1253</v>
      </c>
      <c r="C203" s="86">
        <v>748</v>
      </c>
      <c r="D203" s="87">
        <v>113.6</v>
      </c>
      <c r="E203" s="88">
        <v>34</v>
      </c>
      <c r="F203" s="87">
        <v>85</v>
      </c>
      <c r="G203" s="17">
        <v>26</v>
      </c>
      <c r="H203" s="89">
        <v>28</v>
      </c>
      <c r="I203" s="90"/>
      <c r="J203" s="90"/>
      <c r="K203" s="90">
        <v>32000</v>
      </c>
      <c r="L203" s="90" t="s">
        <v>69</v>
      </c>
      <c r="M203" s="91">
        <f t="shared" si="152"/>
        <v>-32000</v>
      </c>
      <c r="N203" s="4" t="str">
        <f t="shared" si="153"/>
        <v/>
      </c>
      <c r="O203" s="92">
        <f t="shared" si="154"/>
        <v>0</v>
      </c>
      <c r="P203" s="92">
        <f t="shared" si="155"/>
        <v>941.17647058823525</v>
      </c>
      <c r="Q203" s="80">
        <v>3</v>
      </c>
      <c r="R203" s="80">
        <v>2</v>
      </c>
      <c r="S203" s="80" t="s">
        <v>61</v>
      </c>
      <c r="T203" s="5" t="s">
        <v>749</v>
      </c>
      <c r="U203" s="9"/>
      <c r="W203" s="87">
        <f t="shared" si="148"/>
        <v>113.6</v>
      </c>
      <c r="X203" s="88">
        <f t="shared" si="148"/>
        <v>34</v>
      </c>
      <c r="Y203" s="93">
        <f t="shared" si="149"/>
        <v>28</v>
      </c>
      <c r="Z203" s="91">
        <f t="shared" si="149"/>
        <v>0</v>
      </c>
      <c r="AA203" s="91">
        <f t="shared" si="156"/>
        <v>32000</v>
      </c>
      <c r="AB203" s="91">
        <f t="shared" si="168"/>
        <v>-32000</v>
      </c>
      <c r="AC203" s="4" t="str">
        <f t="shared" si="168"/>
        <v/>
      </c>
      <c r="AD203" s="92">
        <f t="shared" si="168"/>
        <v>0</v>
      </c>
      <c r="AE203" s="80" t="str">
        <f t="shared" si="157"/>
        <v>계</v>
      </c>
      <c r="AF203" s="80" t="str">
        <f t="shared" si="158"/>
        <v>3/2</v>
      </c>
      <c r="AH203" s="20" t="str">
        <f t="shared" si="150"/>
        <v>율량동 율량금호어울림센트로</v>
      </c>
      <c r="AI203" s="88">
        <f t="shared" si="151"/>
        <v>34</v>
      </c>
      <c r="AJ203" s="80" t="str">
        <f t="shared" si="159"/>
        <v>A-</v>
      </c>
      <c r="AK203" s="80" t="s">
        <v>13</v>
      </c>
      <c r="AL203" s="80" t="s">
        <v>62</v>
      </c>
      <c r="AM203" s="80" t="s">
        <v>63</v>
      </c>
      <c r="AN203" s="80" t="str">
        <f t="shared" si="160"/>
        <v>C</v>
      </c>
      <c r="AO203" s="80" t="str">
        <f t="shared" si="161"/>
        <v/>
      </c>
      <c r="AP203" s="80" t="str">
        <f t="shared" si="162"/>
        <v/>
      </c>
      <c r="AQ203" s="80" t="str">
        <f t="shared" si="163"/>
        <v>O</v>
      </c>
      <c r="AR203" s="80" t="str">
        <f t="shared" si="164"/>
        <v>O</v>
      </c>
      <c r="AS203" s="80" t="s">
        <v>2</v>
      </c>
      <c r="AT203" s="80" t="str">
        <f t="shared" si="165"/>
        <v>O</v>
      </c>
      <c r="AU203" s="80" t="str">
        <f t="shared" si="166"/>
        <v>O</v>
      </c>
      <c r="AV203" s="80" t="str">
        <f t="shared" si="167"/>
        <v/>
      </c>
    </row>
    <row r="204" spans="1:48" s="37" customFormat="1" ht="12" x14ac:dyDescent="0.3">
      <c r="A204" s="75" t="s">
        <v>1254</v>
      </c>
      <c r="B204" s="76" t="s">
        <v>1253</v>
      </c>
      <c r="C204" s="86">
        <v>748</v>
      </c>
      <c r="D204" s="87">
        <v>113.7</v>
      </c>
      <c r="E204" s="88">
        <v>34</v>
      </c>
      <c r="F204" s="87">
        <v>85</v>
      </c>
      <c r="G204" s="17">
        <v>26</v>
      </c>
      <c r="H204" s="89">
        <v>22</v>
      </c>
      <c r="I204" s="90"/>
      <c r="J204" s="90"/>
      <c r="K204" s="90">
        <v>28000</v>
      </c>
      <c r="L204" s="90" t="s">
        <v>68</v>
      </c>
      <c r="M204" s="91">
        <f t="shared" si="152"/>
        <v>-28000</v>
      </c>
      <c r="N204" s="4" t="str">
        <f t="shared" si="153"/>
        <v/>
      </c>
      <c r="O204" s="92">
        <f t="shared" si="154"/>
        <v>0</v>
      </c>
      <c r="P204" s="92">
        <f t="shared" si="155"/>
        <v>823.52941176470586</v>
      </c>
      <c r="Q204" s="80">
        <v>3</v>
      </c>
      <c r="R204" s="80">
        <v>2</v>
      </c>
      <c r="S204" s="80" t="s">
        <v>61</v>
      </c>
      <c r="T204" s="5" t="s">
        <v>750</v>
      </c>
      <c r="U204" s="9"/>
      <c r="W204" s="87">
        <f t="shared" si="148"/>
        <v>113.7</v>
      </c>
      <c r="X204" s="88">
        <f t="shared" si="148"/>
        <v>34</v>
      </c>
      <c r="Y204" s="93">
        <f t="shared" si="149"/>
        <v>22</v>
      </c>
      <c r="Z204" s="91">
        <f t="shared" si="149"/>
        <v>0</v>
      </c>
      <c r="AA204" s="91">
        <f t="shared" si="156"/>
        <v>28000</v>
      </c>
      <c r="AB204" s="91">
        <f t="shared" si="168"/>
        <v>-28000</v>
      </c>
      <c r="AC204" s="4" t="str">
        <f t="shared" si="168"/>
        <v/>
      </c>
      <c r="AD204" s="92">
        <f t="shared" si="168"/>
        <v>0</v>
      </c>
      <c r="AE204" s="80" t="str">
        <f t="shared" si="157"/>
        <v>계</v>
      </c>
      <c r="AF204" s="80" t="str">
        <f t="shared" si="158"/>
        <v>3/2</v>
      </c>
      <c r="AH204" s="20" t="str">
        <f t="shared" si="150"/>
        <v>율량동 율량금호어울림센트로</v>
      </c>
      <c r="AI204" s="88">
        <f t="shared" si="151"/>
        <v>34</v>
      </c>
      <c r="AJ204" s="80" t="str">
        <f t="shared" si="159"/>
        <v>A-</v>
      </c>
      <c r="AK204" s="80" t="s">
        <v>13</v>
      </c>
      <c r="AL204" s="80" t="s">
        <v>62</v>
      </c>
      <c r="AM204" s="80" t="s">
        <v>63</v>
      </c>
      <c r="AN204" s="80" t="str">
        <f t="shared" si="160"/>
        <v>C</v>
      </c>
      <c r="AO204" s="80" t="str">
        <f t="shared" si="161"/>
        <v/>
      </c>
      <c r="AP204" s="80" t="str">
        <f t="shared" si="162"/>
        <v/>
      </c>
      <c r="AQ204" s="80" t="str">
        <f t="shared" si="163"/>
        <v>O</v>
      </c>
      <c r="AR204" s="80" t="str">
        <f t="shared" si="164"/>
        <v>O</v>
      </c>
      <c r="AS204" s="80" t="s">
        <v>2</v>
      </c>
      <c r="AT204" s="80" t="str">
        <f t="shared" si="165"/>
        <v>O</v>
      </c>
      <c r="AU204" s="80" t="str">
        <f t="shared" si="166"/>
        <v>O</v>
      </c>
      <c r="AV204" s="80" t="str">
        <f t="shared" si="167"/>
        <v/>
      </c>
    </row>
    <row r="205" spans="1:48" s="37" customFormat="1" ht="12" x14ac:dyDescent="0.3">
      <c r="A205" s="75" t="s">
        <v>1255</v>
      </c>
      <c r="B205" s="76" t="s">
        <v>1063</v>
      </c>
      <c r="C205" s="86">
        <v>270</v>
      </c>
      <c r="D205" s="87">
        <v>46.4</v>
      </c>
      <c r="E205" s="88">
        <v>14</v>
      </c>
      <c r="F205" s="87">
        <v>34.799999999999997</v>
      </c>
      <c r="G205" s="17">
        <v>11</v>
      </c>
      <c r="H205" s="89">
        <v>270</v>
      </c>
      <c r="I205" s="90"/>
      <c r="J205" s="90"/>
      <c r="K205" s="90"/>
      <c r="L205" s="90"/>
      <c r="M205" s="91">
        <f>I205-K205</f>
        <v>0</v>
      </c>
      <c r="N205" s="4" t="str">
        <f>IF(ISERROR(K205/I205),"",K205/I205)</f>
        <v/>
      </c>
      <c r="O205" s="92">
        <f>I205/E205</f>
        <v>0</v>
      </c>
      <c r="P205" s="92">
        <f>K205/E205</f>
        <v>0</v>
      </c>
      <c r="Q205" s="80">
        <v>2</v>
      </c>
      <c r="R205" s="80">
        <v>1</v>
      </c>
      <c r="S205" s="80" t="s">
        <v>61</v>
      </c>
      <c r="T205" s="5">
        <v>46</v>
      </c>
      <c r="U205" s="9"/>
      <c r="W205" s="87">
        <f>D205</f>
        <v>46.4</v>
      </c>
      <c r="X205" s="88">
        <f>E205</f>
        <v>14</v>
      </c>
      <c r="Y205" s="93">
        <f>H205</f>
        <v>270</v>
      </c>
      <c r="Z205" s="91">
        <f>I205</f>
        <v>0</v>
      </c>
      <c r="AA205" s="91">
        <f>K205</f>
        <v>0</v>
      </c>
      <c r="AB205" s="91">
        <f>M205</f>
        <v>0</v>
      </c>
      <c r="AC205" s="4" t="str">
        <f>N205</f>
        <v/>
      </c>
      <c r="AD205" s="92">
        <f>O205</f>
        <v>0</v>
      </c>
      <c r="AE205" s="80" t="str">
        <f>S205</f>
        <v>계</v>
      </c>
      <c r="AF205" s="80" t="str">
        <f>Q205&amp;"/"&amp;R205</f>
        <v>2/1</v>
      </c>
      <c r="AH205" s="20" t="str">
        <f t="shared" si="150"/>
        <v>율량동 율량대창3차</v>
      </c>
      <c r="AI205" s="88">
        <f t="shared" si="151"/>
        <v>14</v>
      </c>
      <c r="AJ205" s="80" t="str">
        <f>IF(AI205="","",$AJ$2)</f>
        <v>A-</v>
      </c>
      <c r="AK205" s="80" t="s">
        <v>13</v>
      </c>
      <c r="AL205" s="80" t="s">
        <v>62</v>
      </c>
      <c r="AM205" s="80" t="s">
        <v>63</v>
      </c>
      <c r="AN205" s="80" t="str">
        <f>IF(AI205="","",$AN$2)</f>
        <v>C</v>
      </c>
      <c r="AO205" s="80" t="str">
        <f>IF(N205="","",IF(N205&gt;=$AO$1/100,"O","X"))</f>
        <v/>
      </c>
      <c r="AP205" s="80" t="str">
        <f>IF(I205="","",IF(I205&lt;=$AP$1,"O","X"))</f>
        <v/>
      </c>
      <c r="AQ205" s="80" t="str">
        <f>IF(O205="","",IF(O205&lt;=$AQ$1,"O","X"))</f>
        <v>O</v>
      </c>
      <c r="AR205" s="80" t="str">
        <f>IF(M205="","",IF(M205&lt;=$AR$1,"O","X"))</f>
        <v>O</v>
      </c>
      <c r="AS205" s="80" t="s">
        <v>2</v>
      </c>
      <c r="AT205" s="80" t="str">
        <f>IF(OR(F205="",AI205=""),"",IF(AND((F205&lt;=85),(AI205&gt;=15)),"O","X"))</f>
        <v>X</v>
      </c>
      <c r="AU205" s="80" t="str">
        <f>IF(C205="","",IF(C205&gt;=$AU$1,"O","X"))</f>
        <v>X</v>
      </c>
      <c r="AV205" s="80" t="str">
        <f>IF(AO205="","",IF(AND(AO205="O",AP205="O",AR205="O",AT205="O",AU205="O"),"후보","X"))</f>
        <v/>
      </c>
    </row>
    <row r="206" spans="1:48" s="37" customFormat="1" ht="12" x14ac:dyDescent="0.3">
      <c r="A206" s="75" t="s">
        <v>1256</v>
      </c>
      <c r="B206" s="76" t="s">
        <v>1065</v>
      </c>
      <c r="C206" s="86">
        <v>608</v>
      </c>
      <c r="D206" s="87">
        <v>40.799999999999997</v>
      </c>
      <c r="E206" s="88">
        <v>12</v>
      </c>
      <c r="F206" s="87">
        <v>32.799999999999997</v>
      </c>
      <c r="G206" s="17">
        <v>10</v>
      </c>
      <c r="H206" s="89">
        <v>243</v>
      </c>
      <c r="I206" s="90">
        <v>5700</v>
      </c>
      <c r="J206" s="90" t="s">
        <v>60</v>
      </c>
      <c r="K206" s="90"/>
      <c r="L206" s="90"/>
      <c r="M206" s="91">
        <f>I206-K206</f>
        <v>5700</v>
      </c>
      <c r="N206" s="4">
        <f>IF(ISERROR(K206/I206),"",K206/I206)</f>
        <v>0</v>
      </c>
      <c r="O206" s="92">
        <f>I206/E206</f>
        <v>475</v>
      </c>
      <c r="P206" s="92">
        <f>K206/E206</f>
        <v>0</v>
      </c>
      <c r="Q206" s="80">
        <v>1</v>
      </c>
      <c r="R206" s="80">
        <v>1</v>
      </c>
      <c r="S206" s="80" t="s">
        <v>85</v>
      </c>
      <c r="T206" s="5">
        <v>40</v>
      </c>
      <c r="U206" s="9"/>
      <c r="W206" s="87">
        <f t="shared" ref="W206:X214" si="169">D206</f>
        <v>40.799999999999997</v>
      </c>
      <c r="X206" s="88">
        <f t="shared" si="169"/>
        <v>12</v>
      </c>
      <c r="Y206" s="93">
        <f t="shared" ref="Y206:Z214" si="170">H206</f>
        <v>243</v>
      </c>
      <c r="Z206" s="91">
        <f t="shared" si="170"/>
        <v>5700</v>
      </c>
      <c r="AA206" s="91">
        <f>K206</f>
        <v>0</v>
      </c>
      <c r="AB206" s="91">
        <f t="shared" ref="AB206:AD221" si="171">M206</f>
        <v>5700</v>
      </c>
      <c r="AC206" s="4">
        <f t="shared" si="171"/>
        <v>0</v>
      </c>
      <c r="AD206" s="92">
        <f t="shared" si="171"/>
        <v>475</v>
      </c>
      <c r="AE206" s="80" t="str">
        <f>S206</f>
        <v>복</v>
      </c>
      <c r="AF206" s="80" t="str">
        <f>Q206&amp;"/"&amp;R206</f>
        <v>1/1</v>
      </c>
      <c r="AH206" s="20" t="str">
        <f t="shared" si="150"/>
        <v>율량동 두진백로그린타운</v>
      </c>
      <c r="AI206" s="88">
        <f t="shared" si="151"/>
        <v>12</v>
      </c>
      <c r="AJ206" s="80" t="str">
        <f>IF(AI206="","",$AJ$2)</f>
        <v>A-</v>
      </c>
      <c r="AK206" s="80" t="s">
        <v>13</v>
      </c>
      <c r="AL206" s="80" t="s">
        <v>62</v>
      </c>
      <c r="AM206" s="80" t="s">
        <v>63</v>
      </c>
      <c r="AN206" s="80" t="str">
        <f>IF(AI206="","",$AN$2)</f>
        <v>C</v>
      </c>
      <c r="AO206" s="80" t="str">
        <f>IF(N206="","",IF(N206&gt;=$AO$1/100,"O","X"))</f>
        <v>X</v>
      </c>
      <c r="AP206" s="80" t="str">
        <f>IF(I206="","",IF(I206&lt;=$AP$1,"O","X"))</f>
        <v>O</v>
      </c>
      <c r="AQ206" s="80" t="str">
        <f>IF(O206="","",IF(O206&lt;=$AQ$1,"O","X"))</f>
        <v>O</v>
      </c>
      <c r="AR206" s="80" t="str">
        <f>IF(M206="","",IF(M206&lt;=$AR$1,"O","X"))</f>
        <v>O</v>
      </c>
      <c r="AS206" s="80" t="s">
        <v>2</v>
      </c>
      <c r="AT206" s="80" t="str">
        <f>IF(OR(F206="",AI206=""),"",IF(AND((F206&lt;=85),(AI206&gt;=15)),"O","X"))</f>
        <v>X</v>
      </c>
      <c r="AU206" s="80" t="str">
        <f>IF(C206="","",IF(C206&gt;=$AU$1,"O","X"))</f>
        <v>O</v>
      </c>
      <c r="AV206" s="80" t="str">
        <f>IF(AO206="","",IF(AND(AO206="O",AP206="O",AR206="O",AT206="O",AU206="O"),"후보","X"))</f>
        <v>X</v>
      </c>
    </row>
    <row r="207" spans="1:48" s="37" customFormat="1" ht="12" x14ac:dyDescent="0.3">
      <c r="A207" s="75" t="s">
        <v>1256</v>
      </c>
      <c r="B207" s="76" t="s">
        <v>1257</v>
      </c>
      <c r="C207" s="86">
        <v>608</v>
      </c>
      <c r="D207" s="87">
        <v>74</v>
      </c>
      <c r="E207" s="88">
        <v>22</v>
      </c>
      <c r="F207" s="87">
        <v>59.4</v>
      </c>
      <c r="G207" s="17">
        <v>18</v>
      </c>
      <c r="H207" s="89">
        <v>147</v>
      </c>
      <c r="I207" s="90">
        <v>14500</v>
      </c>
      <c r="J207" s="90" t="s">
        <v>59</v>
      </c>
      <c r="K207" s="90"/>
      <c r="L207" s="90"/>
      <c r="M207" s="91">
        <f>I207-K207</f>
        <v>14500</v>
      </c>
      <c r="N207" s="4">
        <f>IF(ISERROR(K207/I207),"",K207/I207)</f>
        <v>0</v>
      </c>
      <c r="O207" s="92">
        <f>I207/E207</f>
        <v>659.09090909090912</v>
      </c>
      <c r="P207" s="92">
        <f>K207/E207</f>
        <v>0</v>
      </c>
      <c r="Q207" s="80">
        <v>3</v>
      </c>
      <c r="R207" s="80">
        <v>1</v>
      </c>
      <c r="S207" s="80" t="s">
        <v>61</v>
      </c>
      <c r="T207" s="5">
        <v>73</v>
      </c>
      <c r="U207" s="9"/>
      <c r="W207" s="87">
        <f t="shared" si="169"/>
        <v>74</v>
      </c>
      <c r="X207" s="88">
        <f t="shared" si="169"/>
        <v>22</v>
      </c>
      <c r="Y207" s="93">
        <f t="shared" si="170"/>
        <v>147</v>
      </c>
      <c r="Z207" s="91">
        <f t="shared" si="170"/>
        <v>14500</v>
      </c>
      <c r="AA207" s="91">
        <f>K207</f>
        <v>0</v>
      </c>
      <c r="AB207" s="91">
        <f t="shared" si="171"/>
        <v>14500</v>
      </c>
      <c r="AC207" s="4">
        <f t="shared" si="171"/>
        <v>0</v>
      </c>
      <c r="AD207" s="92">
        <f t="shared" si="171"/>
        <v>659.09090909090912</v>
      </c>
      <c r="AE207" s="80" t="str">
        <f>S207</f>
        <v>계</v>
      </c>
      <c r="AF207" s="80" t="str">
        <f>Q207&amp;"/"&amp;R207</f>
        <v>3/1</v>
      </c>
      <c r="AH207" s="20" t="str">
        <f t="shared" si="150"/>
        <v>율량동 두진백로그린타운</v>
      </c>
      <c r="AI207" s="88">
        <f t="shared" si="151"/>
        <v>22</v>
      </c>
      <c r="AJ207" s="80" t="str">
        <f>IF(AI207="","",$AJ$2)</f>
        <v>A-</v>
      </c>
      <c r="AK207" s="80" t="s">
        <v>13</v>
      </c>
      <c r="AL207" s="80" t="s">
        <v>62</v>
      </c>
      <c r="AM207" s="80" t="s">
        <v>63</v>
      </c>
      <c r="AN207" s="80" t="str">
        <f>IF(AI207="","",$AN$2)</f>
        <v>C</v>
      </c>
      <c r="AO207" s="80" t="str">
        <f>IF(N207="","",IF(N207&gt;=$AO$1/100,"O","X"))</f>
        <v>X</v>
      </c>
      <c r="AP207" s="80" t="str">
        <f>IF(I207="","",IF(I207&lt;=$AP$1,"O","X"))</f>
        <v>O</v>
      </c>
      <c r="AQ207" s="80" t="str">
        <f>IF(O207="","",IF(O207&lt;=$AQ$1,"O","X"))</f>
        <v>O</v>
      </c>
      <c r="AR207" s="80" t="str">
        <f>IF(M207="","",IF(M207&lt;=$AR$1,"O","X"))</f>
        <v>X</v>
      </c>
      <c r="AS207" s="80" t="s">
        <v>2</v>
      </c>
      <c r="AT207" s="80" t="str">
        <f>IF(OR(F207="",AI207=""),"",IF(AND((F207&lt;=85),(AI207&gt;=15)),"O","X"))</f>
        <v>O</v>
      </c>
      <c r="AU207" s="80" t="str">
        <f>IF(C207="","",IF(C207&gt;=$AU$1,"O","X"))</f>
        <v>O</v>
      </c>
      <c r="AV207" s="80" t="str">
        <f>IF(AO207="","",IF(AND(AO207="O",AP207="O",AR207="O",AT207="O",AU207="O"),"후보","X"))</f>
        <v>X</v>
      </c>
    </row>
    <row r="208" spans="1:48" s="37" customFormat="1" ht="12" x14ac:dyDescent="0.3">
      <c r="A208" s="75" t="s">
        <v>1256</v>
      </c>
      <c r="B208" s="76" t="s">
        <v>1257</v>
      </c>
      <c r="C208" s="86">
        <v>608</v>
      </c>
      <c r="D208" s="87">
        <v>105.8</v>
      </c>
      <c r="E208" s="88">
        <v>32</v>
      </c>
      <c r="F208" s="87">
        <v>85</v>
      </c>
      <c r="G208" s="17">
        <v>26</v>
      </c>
      <c r="H208" s="89">
        <v>163</v>
      </c>
      <c r="I208" s="90"/>
      <c r="J208" s="90"/>
      <c r="K208" s="90"/>
      <c r="L208" s="90"/>
      <c r="M208" s="91">
        <f>I208-K208</f>
        <v>0</v>
      </c>
      <c r="N208" s="4" t="str">
        <f>IF(ISERROR(K208/I208),"",K208/I208)</f>
        <v/>
      </c>
      <c r="O208" s="92">
        <f>I208/E208</f>
        <v>0</v>
      </c>
      <c r="P208" s="92">
        <f>K208/E208</f>
        <v>0</v>
      </c>
      <c r="Q208" s="80">
        <v>3</v>
      </c>
      <c r="R208" s="80">
        <v>2</v>
      </c>
      <c r="S208" s="80" t="s">
        <v>61</v>
      </c>
      <c r="T208" s="5" t="s">
        <v>124</v>
      </c>
      <c r="U208" s="9"/>
      <c r="W208" s="87">
        <f t="shared" si="169"/>
        <v>105.8</v>
      </c>
      <c r="X208" s="88">
        <f t="shared" si="169"/>
        <v>32</v>
      </c>
      <c r="Y208" s="93">
        <f t="shared" si="170"/>
        <v>163</v>
      </c>
      <c r="Z208" s="91">
        <f t="shared" si="170"/>
        <v>0</v>
      </c>
      <c r="AA208" s="91">
        <f>K208</f>
        <v>0</v>
      </c>
      <c r="AB208" s="91">
        <f t="shared" si="171"/>
        <v>0</v>
      </c>
      <c r="AC208" s="4" t="str">
        <f t="shared" si="171"/>
        <v/>
      </c>
      <c r="AD208" s="92">
        <f t="shared" si="171"/>
        <v>0</v>
      </c>
      <c r="AE208" s="80" t="str">
        <f>S208</f>
        <v>계</v>
      </c>
      <c r="AF208" s="80" t="str">
        <f>Q208&amp;"/"&amp;R208</f>
        <v>3/2</v>
      </c>
      <c r="AH208" s="20" t="str">
        <f t="shared" si="150"/>
        <v>율량동 두진백로그린타운</v>
      </c>
      <c r="AI208" s="88">
        <f t="shared" si="151"/>
        <v>32</v>
      </c>
      <c r="AJ208" s="80" t="str">
        <f>IF(AI208="","",$AJ$2)</f>
        <v>A-</v>
      </c>
      <c r="AK208" s="80" t="s">
        <v>13</v>
      </c>
      <c r="AL208" s="80" t="s">
        <v>62</v>
      </c>
      <c r="AM208" s="80" t="s">
        <v>63</v>
      </c>
      <c r="AN208" s="80" t="str">
        <f>IF(AI208="","",$AN$2)</f>
        <v>C</v>
      </c>
      <c r="AO208" s="80" t="str">
        <f>IF(N208="","",IF(N208&gt;=$AO$1/100,"O","X"))</f>
        <v/>
      </c>
      <c r="AP208" s="80" t="str">
        <f>IF(I208="","",IF(I208&lt;=$AP$1,"O","X"))</f>
        <v/>
      </c>
      <c r="AQ208" s="80" t="str">
        <f>IF(O208="","",IF(O208&lt;=$AQ$1,"O","X"))</f>
        <v>O</v>
      </c>
      <c r="AR208" s="80" t="str">
        <f>IF(M208="","",IF(M208&lt;=$AR$1,"O","X"))</f>
        <v>O</v>
      </c>
      <c r="AS208" s="80" t="s">
        <v>2</v>
      </c>
      <c r="AT208" s="80" t="str">
        <f>IF(OR(F208="",AI208=""),"",IF(AND((F208&lt;=85),(AI208&gt;=15)),"O","X"))</f>
        <v>O</v>
      </c>
      <c r="AU208" s="80" t="str">
        <f>IF(C208="","",IF(C208&gt;=$AU$1,"O","X"))</f>
        <v>O</v>
      </c>
      <c r="AV208" s="80" t="str">
        <f>IF(AO208="","",IF(AND(AO208="O",AP208="O",AR208="O",AT208="O",AU208="O"),"후보","X"))</f>
        <v/>
      </c>
    </row>
    <row r="209" spans="1:48" s="37" customFormat="1" ht="12" x14ac:dyDescent="0.3">
      <c r="A209" s="75" t="s">
        <v>1256</v>
      </c>
      <c r="B209" s="76" t="s">
        <v>1065</v>
      </c>
      <c r="C209" s="86">
        <v>608</v>
      </c>
      <c r="D209" s="87">
        <v>105.6</v>
      </c>
      <c r="E209" s="88">
        <v>32</v>
      </c>
      <c r="F209" s="87">
        <v>84.8</v>
      </c>
      <c r="G209" s="17">
        <v>26</v>
      </c>
      <c r="H209" s="89">
        <v>5</v>
      </c>
      <c r="I209" s="90"/>
      <c r="J209" s="90"/>
      <c r="K209" s="90"/>
      <c r="L209" s="90"/>
      <c r="M209" s="91">
        <f>I209-K209</f>
        <v>0</v>
      </c>
      <c r="N209" s="4" t="str">
        <f>IF(ISERROR(K209/I209),"",K209/I209)</f>
        <v/>
      </c>
      <c r="O209" s="92">
        <f>I209/E209</f>
        <v>0</v>
      </c>
      <c r="P209" s="92">
        <f>K209/E209</f>
        <v>0</v>
      </c>
      <c r="Q209" s="80">
        <v>3</v>
      </c>
      <c r="R209" s="80">
        <v>2</v>
      </c>
      <c r="S209" s="80" t="s">
        <v>61</v>
      </c>
      <c r="T209" s="5" t="s">
        <v>642</v>
      </c>
      <c r="U209" s="9"/>
      <c r="W209" s="87">
        <f t="shared" si="169"/>
        <v>105.6</v>
      </c>
      <c r="X209" s="88">
        <f t="shared" si="169"/>
        <v>32</v>
      </c>
      <c r="Y209" s="93">
        <f t="shared" si="170"/>
        <v>5</v>
      </c>
      <c r="Z209" s="91">
        <f t="shared" si="170"/>
        <v>0</v>
      </c>
      <c r="AA209" s="91">
        <f>K209</f>
        <v>0</v>
      </c>
      <c r="AB209" s="91">
        <f t="shared" si="171"/>
        <v>0</v>
      </c>
      <c r="AC209" s="4" t="str">
        <f t="shared" si="171"/>
        <v/>
      </c>
      <c r="AD209" s="92">
        <f t="shared" si="171"/>
        <v>0</v>
      </c>
      <c r="AE209" s="80" t="str">
        <f>S209</f>
        <v>계</v>
      </c>
      <c r="AF209" s="80" t="str">
        <f>Q209&amp;"/"&amp;R209</f>
        <v>3/2</v>
      </c>
      <c r="AH209" s="20" t="str">
        <f t="shared" si="150"/>
        <v>율량동 두진백로그린타운</v>
      </c>
      <c r="AI209" s="88">
        <f t="shared" si="151"/>
        <v>32</v>
      </c>
      <c r="AJ209" s="80" t="str">
        <f>IF(AI209="","",$AJ$2)</f>
        <v>A-</v>
      </c>
      <c r="AK209" s="80" t="s">
        <v>13</v>
      </c>
      <c r="AL209" s="80" t="s">
        <v>62</v>
      </c>
      <c r="AM209" s="80" t="s">
        <v>63</v>
      </c>
      <c r="AN209" s="80" t="str">
        <f>IF(AI209="","",$AN$2)</f>
        <v>C</v>
      </c>
      <c r="AO209" s="80" t="str">
        <f>IF(N209="","",IF(N209&gt;=$AO$1/100,"O","X"))</f>
        <v/>
      </c>
      <c r="AP209" s="80" t="str">
        <f>IF(I209="","",IF(I209&lt;=$AP$1,"O","X"))</f>
        <v/>
      </c>
      <c r="AQ209" s="80" t="str">
        <f>IF(O209="","",IF(O209&lt;=$AQ$1,"O","X"))</f>
        <v>O</v>
      </c>
      <c r="AR209" s="80" t="str">
        <f>IF(M209="","",IF(M209&lt;=$AR$1,"O","X"))</f>
        <v>O</v>
      </c>
      <c r="AS209" s="80" t="s">
        <v>2</v>
      </c>
      <c r="AT209" s="80" t="str">
        <f>IF(OR(F209="",AI209=""),"",IF(AND((F209&lt;=85),(AI209&gt;=15)),"O","X"))</f>
        <v>O</v>
      </c>
      <c r="AU209" s="80" t="str">
        <f>IF(C209="","",IF(C209&gt;=$AU$1,"O","X"))</f>
        <v>O</v>
      </c>
      <c r="AV209" s="80" t="str">
        <f>IF(AO209="","",IF(AND(AO209="O",AP209="O",AR209="O",AT209="O",AU209="O"),"후보","X"))</f>
        <v/>
      </c>
    </row>
    <row r="210" spans="1:48" s="37" customFormat="1" ht="12" x14ac:dyDescent="0.3">
      <c r="A210" s="75" t="s">
        <v>1258</v>
      </c>
      <c r="B210" s="76" t="s">
        <v>1065</v>
      </c>
      <c r="C210" s="86">
        <v>608</v>
      </c>
      <c r="D210" s="87">
        <v>160.69999999999999</v>
      </c>
      <c r="E210" s="88">
        <v>49</v>
      </c>
      <c r="F210" s="87">
        <v>129</v>
      </c>
      <c r="G210" s="17">
        <v>39</v>
      </c>
      <c r="H210" s="89">
        <v>50</v>
      </c>
      <c r="I210" s="90"/>
      <c r="J210" s="90"/>
      <c r="K210" s="90"/>
      <c r="L210" s="90"/>
      <c r="M210" s="91">
        <f>I210-K210</f>
        <v>0</v>
      </c>
      <c r="N210" s="4" t="str">
        <f>IF(ISERROR(K210/I210),"",K210/I210)</f>
        <v/>
      </c>
      <c r="O210" s="92">
        <f>I210/E210</f>
        <v>0</v>
      </c>
      <c r="P210" s="92">
        <f>K210/E210</f>
        <v>0</v>
      </c>
      <c r="Q210" s="80">
        <v>4</v>
      </c>
      <c r="R210" s="80">
        <v>2</v>
      </c>
      <c r="S210" s="80" t="s">
        <v>61</v>
      </c>
      <c r="T210" s="5">
        <v>160</v>
      </c>
      <c r="U210" s="9"/>
      <c r="W210" s="87">
        <f t="shared" si="169"/>
        <v>160.69999999999999</v>
      </c>
      <c r="X210" s="88">
        <f t="shared" si="169"/>
        <v>49</v>
      </c>
      <c r="Y210" s="93">
        <f t="shared" si="170"/>
        <v>50</v>
      </c>
      <c r="Z210" s="91">
        <f t="shared" si="170"/>
        <v>0</v>
      </c>
      <c r="AA210" s="91">
        <f>K210</f>
        <v>0</v>
      </c>
      <c r="AB210" s="91">
        <f t="shared" si="171"/>
        <v>0</v>
      </c>
      <c r="AC210" s="4" t="str">
        <f t="shared" si="171"/>
        <v/>
      </c>
      <c r="AD210" s="92">
        <f t="shared" si="171"/>
        <v>0</v>
      </c>
      <c r="AE210" s="80" t="str">
        <f>S210</f>
        <v>계</v>
      </c>
      <c r="AF210" s="80" t="str">
        <f>Q210&amp;"/"&amp;R210</f>
        <v>4/2</v>
      </c>
      <c r="AH210" s="20" t="str">
        <f t="shared" si="150"/>
        <v>율량동 두진백로그린타운</v>
      </c>
      <c r="AI210" s="88">
        <f t="shared" si="151"/>
        <v>49</v>
      </c>
      <c r="AJ210" s="80" t="str">
        <f>IF(AI210="","",$AJ$2)</f>
        <v>A-</v>
      </c>
      <c r="AK210" s="80" t="s">
        <v>13</v>
      </c>
      <c r="AL210" s="80" t="s">
        <v>62</v>
      </c>
      <c r="AM210" s="80" t="s">
        <v>63</v>
      </c>
      <c r="AN210" s="80" t="str">
        <f>IF(AI210="","",$AN$2)</f>
        <v>C</v>
      </c>
      <c r="AO210" s="80" t="str">
        <f>IF(N210="","",IF(N210&gt;=$AO$1/100,"O","X"))</f>
        <v/>
      </c>
      <c r="AP210" s="80" t="str">
        <f>IF(I210="","",IF(I210&lt;=$AP$1,"O","X"))</f>
        <v/>
      </c>
      <c r="AQ210" s="80" t="str">
        <f>IF(O210="","",IF(O210&lt;=$AQ$1,"O","X"))</f>
        <v>O</v>
      </c>
      <c r="AR210" s="80" t="str">
        <f>IF(M210="","",IF(M210&lt;=$AR$1,"O","X"))</f>
        <v>O</v>
      </c>
      <c r="AS210" s="80" t="s">
        <v>2</v>
      </c>
      <c r="AT210" s="80" t="str">
        <f>IF(OR(F210="",AI210=""),"",IF(AND((F210&lt;=85),(AI210&gt;=15)),"O","X"))</f>
        <v>X</v>
      </c>
      <c r="AU210" s="80" t="str">
        <f>IF(C210="","",IF(C210&gt;=$AU$1,"O","X"))</f>
        <v>O</v>
      </c>
      <c r="AV210" s="80" t="str">
        <f>IF(AO210="","",IF(AND(AO210="O",AP210="O",AR210="O",AT210="O",AU210="O"),"후보","X"))</f>
        <v/>
      </c>
    </row>
    <row r="211" spans="1:48" s="37" customFormat="1" ht="12" x14ac:dyDescent="0.3">
      <c r="A211" s="75" t="s">
        <v>1259</v>
      </c>
      <c r="B211" s="76" t="s">
        <v>1260</v>
      </c>
      <c r="C211" s="86">
        <v>764</v>
      </c>
      <c r="D211" s="87">
        <v>95.2</v>
      </c>
      <c r="E211" s="88">
        <v>29</v>
      </c>
      <c r="F211" s="87">
        <v>75</v>
      </c>
      <c r="G211" s="17">
        <v>23</v>
      </c>
      <c r="H211" s="89">
        <v>224</v>
      </c>
      <c r="I211" s="90">
        <v>18000</v>
      </c>
      <c r="J211" s="90" t="s">
        <v>59</v>
      </c>
      <c r="K211" s="90"/>
      <c r="L211" s="90"/>
      <c r="M211" s="91">
        <f>I211-K211</f>
        <v>18000</v>
      </c>
      <c r="N211" s="4">
        <f>IF(ISERROR(K211/I211),"",K211/I211)</f>
        <v>0</v>
      </c>
      <c r="O211" s="92">
        <f>I211/E211</f>
        <v>620.68965517241384</v>
      </c>
      <c r="P211" s="92">
        <f>K211/E211</f>
        <v>0</v>
      </c>
      <c r="Q211" s="80">
        <v>3</v>
      </c>
      <c r="R211" s="80">
        <v>1</v>
      </c>
      <c r="S211" s="80" t="s">
        <v>61</v>
      </c>
      <c r="T211" s="5">
        <v>95</v>
      </c>
      <c r="U211" s="9"/>
      <c r="W211" s="87">
        <f t="shared" si="169"/>
        <v>95.2</v>
      </c>
      <c r="X211" s="88">
        <f t="shared" si="169"/>
        <v>29</v>
      </c>
      <c r="Y211" s="93">
        <f t="shared" si="170"/>
        <v>224</v>
      </c>
      <c r="Z211" s="91">
        <f t="shared" si="170"/>
        <v>18000</v>
      </c>
      <c r="AA211" s="91">
        <f>K211</f>
        <v>0</v>
      </c>
      <c r="AB211" s="91">
        <f t="shared" si="171"/>
        <v>18000</v>
      </c>
      <c r="AC211" s="4">
        <f t="shared" si="171"/>
        <v>0</v>
      </c>
      <c r="AD211" s="92">
        <f t="shared" si="171"/>
        <v>620.68965517241384</v>
      </c>
      <c r="AE211" s="80" t="str">
        <f>S211</f>
        <v>계</v>
      </c>
      <c r="AF211" s="80" t="str">
        <f>Q211&amp;"/"&amp;R211</f>
        <v>3/1</v>
      </c>
      <c r="AH211" s="20" t="str">
        <f t="shared" si="150"/>
        <v>율량동 율량현대</v>
      </c>
      <c r="AI211" s="88">
        <f t="shared" si="151"/>
        <v>29</v>
      </c>
      <c r="AJ211" s="80" t="str">
        <f>IF(AI211="","",$AJ$2)</f>
        <v>A-</v>
      </c>
      <c r="AK211" s="80" t="s">
        <v>13</v>
      </c>
      <c r="AL211" s="80" t="s">
        <v>62</v>
      </c>
      <c r="AM211" s="80" t="s">
        <v>63</v>
      </c>
      <c r="AN211" s="80" t="str">
        <f>IF(AI211="","",$AN$2)</f>
        <v>C</v>
      </c>
      <c r="AO211" s="80" t="str">
        <f>IF(N211="","",IF(N211&gt;=$AO$1/100,"O","X"))</f>
        <v>X</v>
      </c>
      <c r="AP211" s="80" t="str">
        <f>IF(I211="","",IF(I211&lt;=$AP$1,"O","X"))</f>
        <v>O</v>
      </c>
      <c r="AQ211" s="80" t="str">
        <f>IF(O211="","",IF(O211&lt;=$AQ$1,"O","X"))</f>
        <v>O</v>
      </c>
      <c r="AR211" s="80" t="str">
        <f>IF(M211="","",IF(M211&lt;=$AR$1,"O","X"))</f>
        <v>X</v>
      </c>
      <c r="AS211" s="80" t="s">
        <v>2</v>
      </c>
      <c r="AT211" s="80" t="str">
        <f>IF(OR(F211="",AI211=""),"",IF(AND((F211&lt;=85),(AI211&gt;=15)),"O","X"))</f>
        <v>O</v>
      </c>
      <c r="AU211" s="80" t="str">
        <f>IF(C211="","",IF(C211&gt;=$AU$1,"O","X"))</f>
        <v>O</v>
      </c>
      <c r="AV211" s="80" t="str">
        <f>IF(AO211="","",IF(AND(AO211="O",AP211="O",AR211="O",AT211="O",AU211="O"),"후보","X"))</f>
        <v>X</v>
      </c>
    </row>
    <row r="212" spans="1:48" s="37" customFormat="1" ht="12" x14ac:dyDescent="0.3">
      <c r="A212" s="75" t="s">
        <v>1259</v>
      </c>
      <c r="B212" s="76" t="s">
        <v>1260</v>
      </c>
      <c r="C212" s="86">
        <v>764</v>
      </c>
      <c r="D212" s="87">
        <v>97.5</v>
      </c>
      <c r="E212" s="88">
        <v>29</v>
      </c>
      <c r="F212" s="87">
        <v>75.400000000000006</v>
      </c>
      <c r="G212" s="17">
        <v>23</v>
      </c>
      <c r="H212" s="89">
        <v>40</v>
      </c>
      <c r="I212" s="90"/>
      <c r="J212" s="90"/>
      <c r="K212" s="90"/>
      <c r="L212" s="90"/>
      <c r="M212" s="91">
        <f>I212-K212</f>
        <v>0</v>
      </c>
      <c r="N212" s="4" t="str">
        <f>IF(ISERROR(K212/I212),"",K212/I212)</f>
        <v/>
      </c>
      <c r="O212" s="92">
        <f>I212/E212</f>
        <v>0</v>
      </c>
      <c r="P212" s="92">
        <f>K212/E212</f>
        <v>0</v>
      </c>
      <c r="Q212" s="80">
        <v>3</v>
      </c>
      <c r="R212" s="80">
        <v>1</v>
      </c>
      <c r="S212" s="80" t="s">
        <v>61</v>
      </c>
      <c r="T212" s="5">
        <v>97</v>
      </c>
      <c r="U212" s="9"/>
      <c r="W212" s="87">
        <f t="shared" si="169"/>
        <v>97.5</v>
      </c>
      <c r="X212" s="88">
        <f t="shared" si="169"/>
        <v>29</v>
      </c>
      <c r="Y212" s="93">
        <f t="shared" si="170"/>
        <v>40</v>
      </c>
      <c r="Z212" s="91">
        <f t="shared" si="170"/>
        <v>0</v>
      </c>
      <c r="AA212" s="91">
        <f>K212</f>
        <v>0</v>
      </c>
      <c r="AB212" s="91">
        <f t="shared" si="171"/>
        <v>0</v>
      </c>
      <c r="AC212" s="4" t="str">
        <f t="shared" si="171"/>
        <v/>
      </c>
      <c r="AD212" s="92">
        <f t="shared" si="171"/>
        <v>0</v>
      </c>
      <c r="AE212" s="80" t="str">
        <f>S212</f>
        <v>계</v>
      </c>
      <c r="AF212" s="80" t="str">
        <f>Q212&amp;"/"&amp;R212</f>
        <v>3/1</v>
      </c>
      <c r="AH212" s="20" t="str">
        <f t="shared" si="150"/>
        <v>율량동 율량현대</v>
      </c>
      <c r="AI212" s="88">
        <f t="shared" si="151"/>
        <v>29</v>
      </c>
      <c r="AJ212" s="80" t="str">
        <f>IF(AI212="","",$AJ$2)</f>
        <v>A-</v>
      </c>
      <c r="AK212" s="80" t="s">
        <v>13</v>
      </c>
      <c r="AL212" s="80" t="s">
        <v>62</v>
      </c>
      <c r="AM212" s="80" t="s">
        <v>63</v>
      </c>
      <c r="AN212" s="80" t="str">
        <f>IF(AI212="","",$AN$2)</f>
        <v>C</v>
      </c>
      <c r="AO212" s="80" t="str">
        <f>IF(N212="","",IF(N212&gt;=$AO$1/100,"O","X"))</f>
        <v/>
      </c>
      <c r="AP212" s="80" t="str">
        <f>IF(I212="","",IF(I212&lt;=$AP$1,"O","X"))</f>
        <v/>
      </c>
      <c r="AQ212" s="80" t="str">
        <f>IF(O212="","",IF(O212&lt;=$AQ$1,"O","X"))</f>
        <v>O</v>
      </c>
      <c r="AR212" s="80" t="str">
        <f>IF(M212="","",IF(M212&lt;=$AR$1,"O","X"))</f>
        <v>O</v>
      </c>
      <c r="AS212" s="80" t="s">
        <v>2</v>
      </c>
      <c r="AT212" s="80" t="str">
        <f>IF(OR(F212="",AI212=""),"",IF(AND((F212&lt;=85),(AI212&gt;=15)),"O","X"))</f>
        <v>O</v>
      </c>
      <c r="AU212" s="80" t="str">
        <f>IF(C212="","",IF(C212&gt;=$AU$1,"O","X"))</f>
        <v>O</v>
      </c>
      <c r="AV212" s="80" t="str">
        <f>IF(AO212="","",IF(AND(AO212="O",AP212="O",AR212="O",AT212="O",AU212="O"),"후보","X"))</f>
        <v/>
      </c>
    </row>
    <row r="213" spans="1:48" s="37" customFormat="1" ht="12" x14ac:dyDescent="0.3">
      <c r="A213" s="75" t="s">
        <v>1261</v>
      </c>
      <c r="B213" s="76" t="s">
        <v>1067</v>
      </c>
      <c r="C213" s="86">
        <v>764</v>
      </c>
      <c r="D213" s="87">
        <v>106.6</v>
      </c>
      <c r="E213" s="88">
        <v>32</v>
      </c>
      <c r="F213" s="87">
        <v>85</v>
      </c>
      <c r="G213" s="17">
        <v>26</v>
      </c>
      <c r="H213" s="89">
        <v>386</v>
      </c>
      <c r="I213" s="90">
        <v>19500</v>
      </c>
      <c r="J213" s="90" t="s">
        <v>68</v>
      </c>
      <c r="K213" s="90"/>
      <c r="L213" s="90"/>
      <c r="M213" s="91">
        <f>I213-K213</f>
        <v>19500</v>
      </c>
      <c r="N213" s="4">
        <f>IF(ISERROR(K213/I213),"",K213/I213)</f>
        <v>0</v>
      </c>
      <c r="O213" s="92">
        <f>I213/E213</f>
        <v>609.375</v>
      </c>
      <c r="P213" s="92">
        <f>K213/E213</f>
        <v>0</v>
      </c>
      <c r="Q213" s="80">
        <v>3</v>
      </c>
      <c r="R213" s="80">
        <v>2</v>
      </c>
      <c r="S213" s="80" t="s">
        <v>61</v>
      </c>
      <c r="T213" s="5">
        <v>106</v>
      </c>
      <c r="U213" s="9"/>
      <c r="W213" s="87">
        <f t="shared" si="169"/>
        <v>106.6</v>
      </c>
      <c r="X213" s="88">
        <f t="shared" si="169"/>
        <v>32</v>
      </c>
      <c r="Y213" s="93">
        <f t="shared" si="170"/>
        <v>386</v>
      </c>
      <c r="Z213" s="91">
        <f t="shared" si="170"/>
        <v>19500</v>
      </c>
      <c r="AA213" s="91">
        <f>K213</f>
        <v>0</v>
      </c>
      <c r="AB213" s="91">
        <f t="shared" si="171"/>
        <v>19500</v>
      </c>
      <c r="AC213" s="4">
        <f t="shared" si="171"/>
        <v>0</v>
      </c>
      <c r="AD213" s="92">
        <f t="shared" si="171"/>
        <v>609.375</v>
      </c>
      <c r="AE213" s="80" t="str">
        <f>S213</f>
        <v>계</v>
      </c>
      <c r="AF213" s="80" t="str">
        <f>Q213&amp;"/"&amp;R213</f>
        <v>3/2</v>
      </c>
      <c r="AH213" s="20" t="str">
        <f t="shared" si="150"/>
        <v>율량동 율량현대</v>
      </c>
      <c r="AI213" s="88">
        <f t="shared" si="151"/>
        <v>32</v>
      </c>
      <c r="AJ213" s="80" t="str">
        <f>IF(AI213="","",$AJ$2)</f>
        <v>A-</v>
      </c>
      <c r="AK213" s="80" t="s">
        <v>13</v>
      </c>
      <c r="AL213" s="80" t="s">
        <v>62</v>
      </c>
      <c r="AM213" s="80" t="s">
        <v>63</v>
      </c>
      <c r="AN213" s="80" t="str">
        <f>IF(AI213="","",$AN$2)</f>
        <v>C</v>
      </c>
      <c r="AO213" s="80" t="str">
        <f>IF(N213="","",IF(N213&gt;=$AO$1/100,"O","X"))</f>
        <v>X</v>
      </c>
      <c r="AP213" s="80" t="str">
        <f>IF(I213="","",IF(I213&lt;=$AP$1,"O","X"))</f>
        <v>O</v>
      </c>
      <c r="AQ213" s="80" t="str">
        <f>IF(O213="","",IF(O213&lt;=$AQ$1,"O","X"))</f>
        <v>O</v>
      </c>
      <c r="AR213" s="80" t="str">
        <f>IF(M213="","",IF(M213&lt;=$AR$1,"O","X"))</f>
        <v>X</v>
      </c>
      <c r="AS213" s="80" t="s">
        <v>2</v>
      </c>
      <c r="AT213" s="80" t="str">
        <f>IF(OR(F213="",AI213=""),"",IF(AND((F213&lt;=85),(AI213&gt;=15)),"O","X"))</f>
        <v>O</v>
      </c>
      <c r="AU213" s="80" t="str">
        <f>IF(C213="","",IF(C213&gt;=$AU$1,"O","X"))</f>
        <v>O</v>
      </c>
      <c r="AV213" s="80" t="str">
        <f>IF(AO213="","",IF(AND(AO213="O",AP213="O",AR213="O",AT213="O",AU213="O"),"후보","X"))</f>
        <v>X</v>
      </c>
    </row>
    <row r="214" spans="1:48" s="37" customFormat="1" ht="12" x14ac:dyDescent="0.3">
      <c r="A214" s="75" t="s">
        <v>1262</v>
      </c>
      <c r="B214" s="76" t="s">
        <v>1263</v>
      </c>
      <c r="C214" s="86">
        <v>764</v>
      </c>
      <c r="D214" s="87">
        <v>150.80000000000001</v>
      </c>
      <c r="E214" s="88">
        <v>46</v>
      </c>
      <c r="F214" s="87">
        <v>125.6</v>
      </c>
      <c r="G214" s="17">
        <v>38</v>
      </c>
      <c r="H214" s="89">
        <v>114</v>
      </c>
      <c r="I214" s="90"/>
      <c r="J214" s="90"/>
      <c r="K214" s="90"/>
      <c r="L214" s="90"/>
      <c r="M214" s="91">
        <f>I214-K214</f>
        <v>0</v>
      </c>
      <c r="N214" s="4" t="str">
        <f>IF(ISERROR(K214/I214),"",K214/I214)</f>
        <v/>
      </c>
      <c r="O214" s="92">
        <f>I214/E214</f>
        <v>0</v>
      </c>
      <c r="P214" s="92">
        <f>K214/E214</f>
        <v>0</v>
      </c>
      <c r="Q214" s="80">
        <v>4</v>
      </c>
      <c r="R214" s="80">
        <v>2</v>
      </c>
      <c r="S214" s="80" t="s">
        <v>61</v>
      </c>
      <c r="T214" s="5">
        <v>150</v>
      </c>
      <c r="U214" s="9"/>
      <c r="W214" s="87">
        <f t="shared" si="169"/>
        <v>150.80000000000001</v>
      </c>
      <c r="X214" s="88">
        <f t="shared" si="169"/>
        <v>46</v>
      </c>
      <c r="Y214" s="93">
        <f t="shared" si="170"/>
        <v>114</v>
      </c>
      <c r="Z214" s="91">
        <f t="shared" si="170"/>
        <v>0</v>
      </c>
      <c r="AA214" s="91">
        <f>K214</f>
        <v>0</v>
      </c>
      <c r="AB214" s="91">
        <f t="shared" si="171"/>
        <v>0</v>
      </c>
      <c r="AC214" s="4" t="str">
        <f t="shared" si="171"/>
        <v/>
      </c>
      <c r="AD214" s="92">
        <f t="shared" si="171"/>
        <v>0</v>
      </c>
      <c r="AE214" s="80" t="str">
        <f>S214</f>
        <v>계</v>
      </c>
      <c r="AF214" s="80" t="str">
        <f>Q214&amp;"/"&amp;R214</f>
        <v>4/2</v>
      </c>
      <c r="AH214" s="20" t="str">
        <f t="shared" si="150"/>
        <v>율량동 율량현대</v>
      </c>
      <c r="AI214" s="88">
        <f t="shared" si="151"/>
        <v>46</v>
      </c>
      <c r="AJ214" s="80" t="str">
        <f>IF(AI214="","",$AJ$2)</f>
        <v>A-</v>
      </c>
      <c r="AK214" s="80" t="s">
        <v>13</v>
      </c>
      <c r="AL214" s="80" t="s">
        <v>62</v>
      </c>
      <c r="AM214" s="80" t="s">
        <v>63</v>
      </c>
      <c r="AN214" s="80" t="str">
        <f>IF(AI214="","",$AN$2)</f>
        <v>C</v>
      </c>
      <c r="AO214" s="80" t="str">
        <f>IF(N214="","",IF(N214&gt;=$AO$1/100,"O","X"))</f>
        <v/>
      </c>
      <c r="AP214" s="80" t="str">
        <f>IF(I214="","",IF(I214&lt;=$AP$1,"O","X"))</f>
        <v/>
      </c>
      <c r="AQ214" s="80" t="str">
        <f>IF(O214="","",IF(O214&lt;=$AQ$1,"O","X"))</f>
        <v>O</v>
      </c>
      <c r="AR214" s="80" t="str">
        <f>IF(M214="","",IF(M214&lt;=$AR$1,"O","X"))</f>
        <v>O</v>
      </c>
      <c r="AS214" s="80" t="s">
        <v>2</v>
      </c>
      <c r="AT214" s="80" t="str">
        <f>IF(OR(F214="",AI214=""),"",IF(AND((F214&lt;=85),(AI214&gt;=15)),"O","X"))</f>
        <v>X</v>
      </c>
      <c r="AU214" s="80" t="str">
        <f>IF(C214="","",IF(C214&gt;=$AU$1,"O","X"))</f>
        <v>O</v>
      </c>
      <c r="AV214" s="80" t="str">
        <f>IF(AO214="","",IF(AND(AO214="O",AP214="O",AR214="O",AT214="O",AU214="O"),"후보","X"))</f>
        <v/>
      </c>
    </row>
    <row r="215" spans="1:48" s="37" customFormat="1" ht="12" x14ac:dyDescent="0.3">
      <c r="A215" s="75" t="s">
        <v>1264</v>
      </c>
      <c r="B215" s="76" t="s">
        <v>1265</v>
      </c>
      <c r="C215" s="86">
        <v>798</v>
      </c>
      <c r="D215" s="87">
        <v>77.400000000000006</v>
      </c>
      <c r="E215" s="88">
        <v>23</v>
      </c>
      <c r="F215" s="87">
        <v>59.6</v>
      </c>
      <c r="G215" s="17">
        <v>18</v>
      </c>
      <c r="H215" s="89">
        <v>412</v>
      </c>
      <c r="I215" s="90">
        <v>18000</v>
      </c>
      <c r="J215" s="90" t="s">
        <v>68</v>
      </c>
      <c r="K215" s="90"/>
      <c r="L215" s="90"/>
      <c r="M215" s="91">
        <f>I215-K215</f>
        <v>18000</v>
      </c>
      <c r="N215" s="4">
        <f>IF(ISERROR(K215/I215),"",K215/I215)</f>
        <v>0</v>
      </c>
      <c r="O215" s="92">
        <f>I215/E215</f>
        <v>782.60869565217388</v>
      </c>
      <c r="P215" s="92">
        <f>K215/E215</f>
        <v>0</v>
      </c>
      <c r="Q215" s="80">
        <v>3</v>
      </c>
      <c r="R215" s="80">
        <v>1</v>
      </c>
      <c r="S215" s="80" t="s">
        <v>61</v>
      </c>
      <c r="T215" s="5">
        <v>77</v>
      </c>
      <c r="U215" s="9"/>
      <c r="W215" s="87">
        <f>D215</f>
        <v>77.400000000000006</v>
      </c>
      <c r="X215" s="88">
        <f>E215</f>
        <v>23</v>
      </c>
      <c r="Y215" s="93">
        <f>H215</f>
        <v>412</v>
      </c>
      <c r="Z215" s="91">
        <f>I215</f>
        <v>18000</v>
      </c>
      <c r="AA215" s="91">
        <f>K215</f>
        <v>0</v>
      </c>
      <c r="AB215" s="91">
        <f t="shared" si="171"/>
        <v>18000</v>
      </c>
      <c r="AC215" s="4">
        <f t="shared" si="171"/>
        <v>0</v>
      </c>
      <c r="AD215" s="92">
        <f t="shared" si="171"/>
        <v>782.60869565217388</v>
      </c>
      <c r="AE215" s="80" t="str">
        <f>S215</f>
        <v>계</v>
      </c>
      <c r="AF215" s="80" t="str">
        <f>Q215&amp;"/"&amp;R215</f>
        <v>3/1</v>
      </c>
      <c r="AH215" s="20" t="str">
        <f t="shared" si="150"/>
        <v>율량동 삼성</v>
      </c>
      <c r="AI215" s="88">
        <f t="shared" si="151"/>
        <v>23</v>
      </c>
      <c r="AJ215" s="80" t="str">
        <f>IF(AI215="","",$AJ$2)</f>
        <v>A-</v>
      </c>
      <c r="AK215" s="80" t="s">
        <v>13</v>
      </c>
      <c r="AL215" s="80" t="s">
        <v>62</v>
      </c>
      <c r="AM215" s="80" t="s">
        <v>63</v>
      </c>
      <c r="AN215" s="80" t="str">
        <f>IF(AI215="","",$AN$2)</f>
        <v>C</v>
      </c>
      <c r="AO215" s="80" t="str">
        <f>IF(N215="","",IF(N215&gt;=$AO$1/100,"O","X"))</f>
        <v>X</v>
      </c>
      <c r="AP215" s="80" t="str">
        <f>IF(I215="","",IF(I215&lt;=$AP$1,"O","X"))</f>
        <v>O</v>
      </c>
      <c r="AQ215" s="80" t="str">
        <f>IF(O215="","",IF(O215&lt;=$AQ$1,"O","X"))</f>
        <v>O</v>
      </c>
      <c r="AR215" s="80" t="str">
        <f>IF(M215="","",IF(M215&lt;=$AR$1,"O","X"))</f>
        <v>X</v>
      </c>
      <c r="AS215" s="80" t="s">
        <v>2</v>
      </c>
      <c r="AT215" s="80" t="str">
        <f>IF(OR(F215="",AI215=""),"",IF(AND((F215&lt;=85),(AI215&gt;=15)),"O","X"))</f>
        <v>O</v>
      </c>
      <c r="AU215" s="80" t="str">
        <f>IF(C215="","",IF(C215&gt;=$AU$1,"O","X"))</f>
        <v>O</v>
      </c>
      <c r="AV215" s="80" t="str">
        <f>IF(AO215="","",IF(AND(AO215="O",AP215="O",AR215="O",AT215="O",AU215="O"),"후보","X"))</f>
        <v>X</v>
      </c>
    </row>
    <row r="216" spans="1:48" s="37" customFormat="1" ht="12" x14ac:dyDescent="0.3">
      <c r="A216" s="75" t="s">
        <v>1264</v>
      </c>
      <c r="B216" s="76" t="s">
        <v>1266</v>
      </c>
      <c r="C216" s="86">
        <v>798</v>
      </c>
      <c r="D216" s="87">
        <v>104.2</v>
      </c>
      <c r="E216" s="88">
        <v>32</v>
      </c>
      <c r="F216" s="87">
        <v>84.7</v>
      </c>
      <c r="G216" s="17">
        <v>26</v>
      </c>
      <c r="H216" s="89">
        <v>386</v>
      </c>
      <c r="I216" s="90">
        <v>21200</v>
      </c>
      <c r="J216" s="90" t="s">
        <v>69</v>
      </c>
      <c r="K216" s="90">
        <v>16000</v>
      </c>
      <c r="L216" s="90" t="s">
        <v>73</v>
      </c>
      <c r="M216" s="91">
        <f>I216-K216</f>
        <v>5200</v>
      </c>
      <c r="N216" s="4">
        <f>IF(ISERROR(K216/I216),"",K216/I216)</f>
        <v>0.75471698113207553</v>
      </c>
      <c r="O216" s="92">
        <f>I216/E216</f>
        <v>662.5</v>
      </c>
      <c r="P216" s="92">
        <f>K216/E216</f>
        <v>500</v>
      </c>
      <c r="Q216" s="80">
        <v>3</v>
      </c>
      <c r="R216" s="80">
        <v>2</v>
      </c>
      <c r="S216" s="80" t="s">
        <v>61</v>
      </c>
      <c r="T216" s="5">
        <v>104</v>
      </c>
      <c r="U216" s="9"/>
      <c r="W216" s="87">
        <f>D216</f>
        <v>104.2</v>
      </c>
      <c r="X216" s="88">
        <f>E216</f>
        <v>32</v>
      </c>
      <c r="Y216" s="93">
        <f>H216</f>
        <v>386</v>
      </c>
      <c r="Z216" s="91">
        <f>I216</f>
        <v>21200</v>
      </c>
      <c r="AA216" s="91">
        <f>K216</f>
        <v>16000</v>
      </c>
      <c r="AB216" s="91">
        <f t="shared" si="171"/>
        <v>5200</v>
      </c>
      <c r="AC216" s="4">
        <f t="shared" si="171"/>
        <v>0.75471698113207553</v>
      </c>
      <c r="AD216" s="92">
        <f t="shared" si="171"/>
        <v>662.5</v>
      </c>
      <c r="AE216" s="80" t="str">
        <f>S216</f>
        <v>계</v>
      </c>
      <c r="AF216" s="80" t="str">
        <f>Q216&amp;"/"&amp;R216</f>
        <v>3/2</v>
      </c>
      <c r="AH216" s="20" t="str">
        <f t="shared" si="150"/>
        <v>율량동 삼성</v>
      </c>
      <c r="AI216" s="88">
        <f t="shared" si="151"/>
        <v>32</v>
      </c>
      <c r="AJ216" s="80" t="str">
        <f>IF(AI216="","",$AJ$2)</f>
        <v>A-</v>
      </c>
      <c r="AK216" s="80" t="s">
        <v>13</v>
      </c>
      <c r="AL216" s="80" t="s">
        <v>62</v>
      </c>
      <c r="AM216" s="80" t="s">
        <v>63</v>
      </c>
      <c r="AN216" s="80" t="str">
        <f>IF(AI216="","",$AN$2)</f>
        <v>C</v>
      </c>
      <c r="AO216" s="80" t="str">
        <f>IF(N216="","",IF(N216&gt;=$AO$1/100,"O","X"))</f>
        <v>X</v>
      </c>
      <c r="AP216" s="80" t="str">
        <f>IF(I216="","",IF(I216&lt;=$AP$1,"O","X"))</f>
        <v>O</v>
      </c>
      <c r="AQ216" s="80" t="str">
        <f>IF(O216="","",IF(O216&lt;=$AQ$1,"O","X"))</f>
        <v>O</v>
      </c>
      <c r="AR216" s="80" t="str">
        <f>IF(M216="","",IF(M216&lt;=$AR$1,"O","X"))</f>
        <v>O</v>
      </c>
      <c r="AS216" s="80" t="s">
        <v>2</v>
      </c>
      <c r="AT216" s="80" t="str">
        <f>IF(OR(F216="",AI216=""),"",IF(AND((F216&lt;=85),(AI216&gt;=15)),"O","X"))</f>
        <v>O</v>
      </c>
      <c r="AU216" s="80" t="str">
        <f>IF(C216="","",IF(C216&gt;=$AU$1,"O","X"))</f>
        <v>O</v>
      </c>
      <c r="AV216" s="80" t="str">
        <f>IF(AO216="","",IF(AND(AO216="O",AP216="O",AR216="O",AT216="O",AU216="O"),"후보","X"))</f>
        <v>X</v>
      </c>
    </row>
    <row r="217" spans="1:48" s="37" customFormat="1" ht="12" x14ac:dyDescent="0.3">
      <c r="A217" s="75" t="s">
        <v>1267</v>
      </c>
      <c r="B217" s="76" t="s">
        <v>1268</v>
      </c>
      <c r="C217" s="86">
        <v>422</v>
      </c>
      <c r="D217" s="87">
        <v>94.3</v>
      </c>
      <c r="E217" s="88">
        <v>29</v>
      </c>
      <c r="F217" s="87">
        <v>71.400000000000006</v>
      </c>
      <c r="G217" s="17">
        <v>22</v>
      </c>
      <c r="H217" s="89">
        <v>49</v>
      </c>
      <c r="I217" s="90">
        <v>34000</v>
      </c>
      <c r="J217" s="90" t="s">
        <v>66</v>
      </c>
      <c r="K217" s="90"/>
      <c r="L217" s="90"/>
      <c r="M217" s="91">
        <f>I217-K217</f>
        <v>34000</v>
      </c>
      <c r="N217" s="4">
        <f>IF(ISERROR(K217/I217),"",K217/I217)</f>
        <v>0</v>
      </c>
      <c r="O217" s="92">
        <f>I217/E217</f>
        <v>1172.4137931034484</v>
      </c>
      <c r="P217" s="92">
        <f>K217/E217</f>
        <v>0</v>
      </c>
      <c r="Q217" s="80">
        <v>3</v>
      </c>
      <c r="R217" s="80">
        <v>2</v>
      </c>
      <c r="S217" s="80" t="s">
        <v>61</v>
      </c>
      <c r="T217" s="5" t="s">
        <v>111</v>
      </c>
      <c r="U217" s="9"/>
      <c r="W217" s="87">
        <f t="shared" ref="W217:X220" si="172">D217</f>
        <v>94.3</v>
      </c>
      <c r="X217" s="88">
        <f t="shared" si="172"/>
        <v>29</v>
      </c>
      <c r="Y217" s="93">
        <f t="shared" ref="Y217:Z220" si="173">H217</f>
        <v>49</v>
      </c>
      <c r="Z217" s="91">
        <f t="shared" si="173"/>
        <v>34000</v>
      </c>
      <c r="AA217" s="91">
        <f>K217</f>
        <v>0</v>
      </c>
      <c r="AB217" s="91">
        <f t="shared" si="171"/>
        <v>34000</v>
      </c>
      <c r="AC217" s="4">
        <f t="shared" si="171"/>
        <v>0</v>
      </c>
      <c r="AD217" s="92">
        <f t="shared" si="171"/>
        <v>1172.4137931034484</v>
      </c>
      <c r="AE217" s="80" t="str">
        <f>S217</f>
        <v>계</v>
      </c>
      <c r="AF217" s="80" t="str">
        <f>Q217&amp;"/"&amp;R217</f>
        <v>3/2</v>
      </c>
      <c r="AH217" s="20" t="str">
        <f t="shared" si="150"/>
        <v>율량동 제일풍경채</v>
      </c>
      <c r="AI217" s="88">
        <f t="shared" si="151"/>
        <v>29</v>
      </c>
      <c r="AJ217" s="80" t="str">
        <f>IF(AI217="","",$AJ$2)</f>
        <v>A-</v>
      </c>
      <c r="AK217" s="80" t="s">
        <v>13</v>
      </c>
      <c r="AL217" s="80" t="s">
        <v>62</v>
      </c>
      <c r="AM217" s="80" t="s">
        <v>63</v>
      </c>
      <c r="AN217" s="80" t="str">
        <f>IF(AI217="","",$AN$2)</f>
        <v>C</v>
      </c>
      <c r="AO217" s="80" t="str">
        <f>IF(N217="","",IF(N217&gt;=$AO$1/100,"O","X"))</f>
        <v>X</v>
      </c>
      <c r="AP217" s="80" t="str">
        <f>IF(I217="","",IF(I217&lt;=$AP$1,"O","X"))</f>
        <v>O</v>
      </c>
      <c r="AQ217" s="80" t="str">
        <f>IF(O217="","",IF(O217&lt;=$AQ$1,"O","X"))</f>
        <v>X</v>
      </c>
      <c r="AR217" s="80" t="str">
        <f>IF(M217="","",IF(M217&lt;=$AR$1,"O","X"))</f>
        <v>X</v>
      </c>
      <c r="AS217" s="80" t="s">
        <v>2</v>
      </c>
      <c r="AT217" s="80" t="str">
        <f>IF(OR(F217="",AI217=""),"",IF(AND((F217&lt;=85),(AI217&gt;=15)),"O","X"))</f>
        <v>O</v>
      </c>
      <c r="AU217" s="80" t="str">
        <f>IF(C217="","",IF(C217&gt;=$AU$1,"O","X"))</f>
        <v>O</v>
      </c>
      <c r="AV217" s="80" t="str">
        <f>IF(AO217="","",IF(AND(AO217="O",AP217="O",AR217="O",AT217="O",AU217="O"),"후보","X"))</f>
        <v>X</v>
      </c>
    </row>
    <row r="218" spans="1:48" s="37" customFormat="1" ht="12" x14ac:dyDescent="0.3">
      <c r="A218" s="75" t="s">
        <v>1267</v>
      </c>
      <c r="B218" s="76" t="s">
        <v>1268</v>
      </c>
      <c r="C218" s="86">
        <v>422</v>
      </c>
      <c r="D218" s="87">
        <v>94.7</v>
      </c>
      <c r="E218" s="88">
        <v>29</v>
      </c>
      <c r="F218" s="87">
        <v>71.400000000000006</v>
      </c>
      <c r="G218" s="17">
        <v>22</v>
      </c>
      <c r="H218" s="89">
        <v>48</v>
      </c>
      <c r="I218" s="90">
        <v>34000</v>
      </c>
      <c r="J218" s="90" t="s">
        <v>70</v>
      </c>
      <c r="K218" s="90">
        <v>27000</v>
      </c>
      <c r="L218" s="90" t="s">
        <v>70</v>
      </c>
      <c r="M218" s="91">
        <f>I218-K218</f>
        <v>7000</v>
      </c>
      <c r="N218" s="4">
        <f>IF(ISERROR(K218/I218),"",K218/I218)</f>
        <v>0.79411764705882348</v>
      </c>
      <c r="O218" s="92">
        <f>I218/E218</f>
        <v>1172.4137931034484</v>
      </c>
      <c r="P218" s="92">
        <f>K218/E218</f>
        <v>931.0344827586207</v>
      </c>
      <c r="Q218" s="80">
        <v>3</v>
      </c>
      <c r="R218" s="80">
        <v>2</v>
      </c>
      <c r="S218" s="80" t="s">
        <v>61</v>
      </c>
      <c r="T218" s="5" t="s">
        <v>84</v>
      </c>
      <c r="U218" s="9"/>
      <c r="W218" s="87">
        <f t="shared" si="172"/>
        <v>94.7</v>
      </c>
      <c r="X218" s="88">
        <f t="shared" si="172"/>
        <v>29</v>
      </c>
      <c r="Y218" s="93">
        <f t="shared" si="173"/>
        <v>48</v>
      </c>
      <c r="Z218" s="91">
        <f t="shared" si="173"/>
        <v>34000</v>
      </c>
      <c r="AA218" s="91">
        <f>K218</f>
        <v>27000</v>
      </c>
      <c r="AB218" s="91">
        <f t="shared" si="171"/>
        <v>7000</v>
      </c>
      <c r="AC218" s="4">
        <f t="shared" si="171"/>
        <v>0.79411764705882348</v>
      </c>
      <c r="AD218" s="92">
        <f t="shared" si="171"/>
        <v>1172.4137931034484</v>
      </c>
      <c r="AE218" s="80" t="str">
        <f>S218</f>
        <v>계</v>
      </c>
      <c r="AF218" s="80" t="str">
        <f>Q218&amp;"/"&amp;R218</f>
        <v>3/2</v>
      </c>
      <c r="AH218" s="20" t="str">
        <f t="shared" si="150"/>
        <v>율량동 제일풍경채</v>
      </c>
      <c r="AI218" s="88">
        <f t="shared" si="151"/>
        <v>29</v>
      </c>
      <c r="AJ218" s="80" t="str">
        <f>IF(AI218="","",$AJ$2)</f>
        <v>A-</v>
      </c>
      <c r="AK218" s="80" t="s">
        <v>13</v>
      </c>
      <c r="AL218" s="80" t="s">
        <v>62</v>
      </c>
      <c r="AM218" s="80" t="s">
        <v>63</v>
      </c>
      <c r="AN218" s="80" t="str">
        <f>IF(AI218="","",$AN$2)</f>
        <v>C</v>
      </c>
      <c r="AO218" s="80" t="str">
        <f>IF(N218="","",IF(N218&gt;=$AO$1/100,"O","X"))</f>
        <v>X</v>
      </c>
      <c r="AP218" s="80" t="str">
        <f>IF(I218="","",IF(I218&lt;=$AP$1,"O","X"))</f>
        <v>O</v>
      </c>
      <c r="AQ218" s="80" t="str">
        <f>IF(O218="","",IF(O218&lt;=$AQ$1,"O","X"))</f>
        <v>X</v>
      </c>
      <c r="AR218" s="80" t="str">
        <f>IF(M218="","",IF(M218&lt;=$AR$1,"O","X"))</f>
        <v>X</v>
      </c>
      <c r="AS218" s="80" t="s">
        <v>2</v>
      </c>
      <c r="AT218" s="80" t="str">
        <f>IF(OR(F218="",AI218=""),"",IF(AND((F218&lt;=85),(AI218&gt;=15)),"O","X"))</f>
        <v>O</v>
      </c>
      <c r="AU218" s="80" t="str">
        <f>IF(C218="","",IF(C218&gt;=$AU$1,"O","X"))</f>
        <v>O</v>
      </c>
      <c r="AV218" s="80" t="str">
        <f>IF(AO218="","",IF(AND(AO218="O",AP218="O",AR218="O",AT218="O",AU218="O"),"후보","X"))</f>
        <v>X</v>
      </c>
    </row>
    <row r="219" spans="1:48" s="37" customFormat="1" ht="12" x14ac:dyDescent="0.3">
      <c r="A219" s="75" t="s">
        <v>1269</v>
      </c>
      <c r="B219" s="76" t="s">
        <v>1268</v>
      </c>
      <c r="C219" s="86">
        <v>422</v>
      </c>
      <c r="D219" s="87">
        <v>110.9</v>
      </c>
      <c r="E219" s="88">
        <v>34</v>
      </c>
      <c r="F219" s="87">
        <v>84.8</v>
      </c>
      <c r="G219" s="17">
        <v>26</v>
      </c>
      <c r="H219" s="89">
        <v>276</v>
      </c>
      <c r="I219" s="90"/>
      <c r="J219" s="90"/>
      <c r="K219" s="90"/>
      <c r="L219" s="90"/>
      <c r="M219" s="91">
        <f>I219-K219</f>
        <v>0</v>
      </c>
      <c r="N219" s="4" t="str">
        <f>IF(ISERROR(K219/I219),"",K219/I219)</f>
        <v/>
      </c>
      <c r="O219" s="92">
        <f>I219/E219</f>
        <v>0</v>
      </c>
      <c r="P219" s="92">
        <f>K219/E219</f>
        <v>0</v>
      </c>
      <c r="Q219" s="80">
        <v>3</v>
      </c>
      <c r="R219" s="80">
        <v>2</v>
      </c>
      <c r="S219" s="80" t="s">
        <v>61</v>
      </c>
      <c r="T219" s="5" t="s">
        <v>107</v>
      </c>
      <c r="U219" s="9"/>
      <c r="W219" s="87">
        <f t="shared" si="172"/>
        <v>110.9</v>
      </c>
      <c r="X219" s="88">
        <f t="shared" si="172"/>
        <v>34</v>
      </c>
      <c r="Y219" s="93">
        <f t="shared" si="173"/>
        <v>276</v>
      </c>
      <c r="Z219" s="91">
        <f t="shared" si="173"/>
        <v>0</v>
      </c>
      <c r="AA219" s="91">
        <f>K219</f>
        <v>0</v>
      </c>
      <c r="AB219" s="91">
        <f t="shared" si="171"/>
        <v>0</v>
      </c>
      <c r="AC219" s="4" t="str">
        <f t="shared" si="171"/>
        <v/>
      </c>
      <c r="AD219" s="92">
        <f t="shared" si="171"/>
        <v>0</v>
      </c>
      <c r="AE219" s="80" t="str">
        <f>S219</f>
        <v>계</v>
      </c>
      <c r="AF219" s="80" t="str">
        <f>Q219&amp;"/"&amp;R219</f>
        <v>3/2</v>
      </c>
      <c r="AH219" s="20" t="str">
        <f t="shared" si="150"/>
        <v>율량동 제일풍경채</v>
      </c>
      <c r="AI219" s="88">
        <f t="shared" si="151"/>
        <v>34</v>
      </c>
      <c r="AJ219" s="80" t="str">
        <f>IF(AI219="","",$AJ$2)</f>
        <v>A-</v>
      </c>
      <c r="AK219" s="80" t="s">
        <v>13</v>
      </c>
      <c r="AL219" s="80" t="s">
        <v>62</v>
      </c>
      <c r="AM219" s="80" t="s">
        <v>63</v>
      </c>
      <c r="AN219" s="80" t="str">
        <f>IF(AI219="","",$AN$2)</f>
        <v>C</v>
      </c>
      <c r="AO219" s="80" t="str">
        <f>IF(N219="","",IF(N219&gt;=$AO$1/100,"O","X"))</f>
        <v/>
      </c>
      <c r="AP219" s="80" t="str">
        <f>IF(I219="","",IF(I219&lt;=$AP$1,"O","X"))</f>
        <v/>
      </c>
      <c r="AQ219" s="80" t="str">
        <f>IF(O219="","",IF(O219&lt;=$AQ$1,"O","X"))</f>
        <v>O</v>
      </c>
      <c r="AR219" s="80" t="str">
        <f>IF(M219="","",IF(M219&lt;=$AR$1,"O","X"))</f>
        <v>O</v>
      </c>
      <c r="AS219" s="80" t="s">
        <v>2</v>
      </c>
      <c r="AT219" s="80" t="str">
        <f>IF(OR(F219="",AI219=""),"",IF(AND((F219&lt;=85),(AI219&gt;=15)),"O","X"))</f>
        <v>O</v>
      </c>
      <c r="AU219" s="80" t="str">
        <f>IF(C219="","",IF(C219&gt;=$AU$1,"O","X"))</f>
        <v>O</v>
      </c>
      <c r="AV219" s="80" t="str">
        <f>IF(AO219="","",IF(AND(AO219="O",AP219="O",AR219="O",AT219="O",AU219="O"),"후보","X"))</f>
        <v/>
      </c>
    </row>
    <row r="220" spans="1:48" s="37" customFormat="1" ht="12" x14ac:dyDescent="0.3">
      <c r="A220" s="75" t="s">
        <v>1269</v>
      </c>
      <c r="B220" s="76" t="s">
        <v>1270</v>
      </c>
      <c r="C220" s="86">
        <v>422</v>
      </c>
      <c r="D220" s="87">
        <v>111.6</v>
      </c>
      <c r="E220" s="88">
        <v>34</v>
      </c>
      <c r="F220" s="87">
        <v>84.4</v>
      </c>
      <c r="G220" s="17">
        <v>26</v>
      </c>
      <c r="H220" s="89">
        <v>49</v>
      </c>
      <c r="I220" s="90">
        <v>39000</v>
      </c>
      <c r="J220" s="90" t="s">
        <v>889</v>
      </c>
      <c r="K220" s="90">
        <v>30000</v>
      </c>
      <c r="L220" s="90" t="s">
        <v>73</v>
      </c>
      <c r="M220" s="91">
        <f>I220-K220</f>
        <v>9000</v>
      </c>
      <c r="N220" s="4">
        <f>IF(ISERROR(K220/I220),"",K220/I220)</f>
        <v>0.76923076923076927</v>
      </c>
      <c r="O220" s="92">
        <f>I220/E220</f>
        <v>1147.0588235294117</v>
      </c>
      <c r="P220" s="92">
        <f>K220/E220</f>
        <v>882.35294117647061</v>
      </c>
      <c r="Q220" s="80">
        <v>3</v>
      </c>
      <c r="R220" s="80">
        <v>2</v>
      </c>
      <c r="S220" s="80" t="s">
        <v>61</v>
      </c>
      <c r="T220" s="5" t="s">
        <v>664</v>
      </c>
      <c r="U220" s="9"/>
      <c r="W220" s="87">
        <f t="shared" si="172"/>
        <v>111.6</v>
      </c>
      <c r="X220" s="88">
        <f t="shared" si="172"/>
        <v>34</v>
      </c>
      <c r="Y220" s="93">
        <f t="shared" si="173"/>
        <v>49</v>
      </c>
      <c r="Z220" s="91">
        <f t="shared" si="173"/>
        <v>39000</v>
      </c>
      <c r="AA220" s="91">
        <f>K220</f>
        <v>30000</v>
      </c>
      <c r="AB220" s="91">
        <f t="shared" si="171"/>
        <v>9000</v>
      </c>
      <c r="AC220" s="4">
        <f t="shared" si="171"/>
        <v>0.76923076923076927</v>
      </c>
      <c r="AD220" s="92">
        <f t="shared" si="171"/>
        <v>1147.0588235294117</v>
      </c>
      <c r="AE220" s="80" t="str">
        <f>S220</f>
        <v>계</v>
      </c>
      <c r="AF220" s="80" t="str">
        <f>Q220&amp;"/"&amp;R220</f>
        <v>3/2</v>
      </c>
      <c r="AH220" s="20" t="str">
        <f t="shared" si="150"/>
        <v>율량동 제일풍경채</v>
      </c>
      <c r="AI220" s="88">
        <f t="shared" si="151"/>
        <v>34</v>
      </c>
      <c r="AJ220" s="80" t="str">
        <f>IF(AI220="","",$AJ$2)</f>
        <v>A-</v>
      </c>
      <c r="AK220" s="80" t="s">
        <v>13</v>
      </c>
      <c r="AL220" s="80" t="s">
        <v>62</v>
      </c>
      <c r="AM220" s="80" t="s">
        <v>63</v>
      </c>
      <c r="AN220" s="80" t="str">
        <f>IF(AI220="","",$AN$2)</f>
        <v>C</v>
      </c>
      <c r="AO220" s="80" t="str">
        <f>IF(N220="","",IF(N220&gt;=$AO$1/100,"O","X"))</f>
        <v>X</v>
      </c>
      <c r="AP220" s="80" t="str">
        <f>IF(I220="","",IF(I220&lt;=$AP$1,"O","X"))</f>
        <v>O</v>
      </c>
      <c r="AQ220" s="80" t="str">
        <f>IF(O220="","",IF(O220&lt;=$AQ$1,"O","X"))</f>
        <v>X</v>
      </c>
      <c r="AR220" s="80" t="str">
        <f>IF(M220="","",IF(M220&lt;=$AR$1,"O","X"))</f>
        <v>X</v>
      </c>
      <c r="AS220" s="80" t="s">
        <v>2</v>
      </c>
      <c r="AT220" s="80" t="str">
        <f>IF(OR(F220="",AI220=""),"",IF(AND((F220&lt;=85),(AI220&gt;=15)),"O","X"))</f>
        <v>O</v>
      </c>
      <c r="AU220" s="80" t="str">
        <f>IF(C220="","",IF(C220&gt;=$AU$1,"O","X"))</f>
        <v>O</v>
      </c>
      <c r="AV220" s="80" t="str">
        <f>IF(AO220="","",IF(AND(AO220="O",AP220="O",AR220="O",AT220="O",AU220="O"),"후보","X"))</f>
        <v>X</v>
      </c>
    </row>
    <row r="221" spans="1:48" s="37" customFormat="1" ht="12" x14ac:dyDescent="0.3">
      <c r="A221" s="75" t="s">
        <v>1271</v>
      </c>
      <c r="B221" s="76" t="s">
        <v>1272</v>
      </c>
      <c r="C221" s="86">
        <v>261</v>
      </c>
      <c r="D221" s="87">
        <v>67.7</v>
      </c>
      <c r="E221" s="88">
        <v>20</v>
      </c>
      <c r="F221" s="87">
        <v>49.5</v>
      </c>
      <c r="G221" s="17">
        <v>15</v>
      </c>
      <c r="H221" s="89">
        <v>225</v>
      </c>
      <c r="I221" s="90"/>
      <c r="J221" s="90"/>
      <c r="K221" s="90"/>
      <c r="L221" s="90"/>
      <c r="M221" s="91">
        <f>I221-K221</f>
        <v>0</v>
      </c>
      <c r="N221" s="4" t="str">
        <f>IF(ISERROR(K221/I221),"",K221/I221)</f>
        <v/>
      </c>
      <c r="O221" s="92">
        <f>I221/E221</f>
        <v>0</v>
      </c>
      <c r="P221" s="92">
        <f>K221/E221</f>
        <v>0</v>
      </c>
      <c r="Q221" s="80">
        <v>2</v>
      </c>
      <c r="R221" s="80">
        <v>1</v>
      </c>
      <c r="S221" s="80" t="s">
        <v>61</v>
      </c>
      <c r="T221" s="5">
        <v>67</v>
      </c>
      <c r="U221" s="9"/>
      <c r="W221" s="87">
        <f>D221</f>
        <v>67.7</v>
      </c>
      <c r="X221" s="88">
        <f>E221</f>
        <v>20</v>
      </c>
      <c r="Y221" s="93">
        <f>H221</f>
        <v>225</v>
      </c>
      <c r="Z221" s="91">
        <f>I221</f>
        <v>0</v>
      </c>
      <c r="AA221" s="91">
        <f>K221</f>
        <v>0</v>
      </c>
      <c r="AB221" s="91">
        <f t="shared" si="171"/>
        <v>0</v>
      </c>
      <c r="AC221" s="4" t="str">
        <f t="shared" si="171"/>
        <v/>
      </c>
      <c r="AD221" s="92">
        <f t="shared" si="171"/>
        <v>0</v>
      </c>
      <c r="AE221" s="80" t="str">
        <f>S221</f>
        <v>계</v>
      </c>
      <c r="AF221" s="80" t="str">
        <f>Q221&amp;"/"&amp;R221</f>
        <v>2/1</v>
      </c>
      <c r="AH221" s="20" t="str">
        <f t="shared" si="150"/>
        <v>율량동 율량대창4차</v>
      </c>
      <c r="AI221" s="88">
        <f t="shared" si="151"/>
        <v>20</v>
      </c>
      <c r="AJ221" s="80" t="str">
        <f>IF(AI221="","",$AJ$2)</f>
        <v>A-</v>
      </c>
      <c r="AK221" s="80" t="s">
        <v>13</v>
      </c>
      <c r="AL221" s="80" t="s">
        <v>62</v>
      </c>
      <c r="AM221" s="80" t="s">
        <v>63</v>
      </c>
      <c r="AN221" s="80" t="str">
        <f>IF(AI221="","",$AN$2)</f>
        <v>C</v>
      </c>
      <c r="AO221" s="80" t="str">
        <f>IF(N221="","",IF(N221&gt;=$AO$1/100,"O","X"))</f>
        <v/>
      </c>
      <c r="AP221" s="80" t="str">
        <f>IF(I221="","",IF(I221&lt;=$AP$1,"O","X"))</f>
        <v/>
      </c>
      <c r="AQ221" s="80" t="str">
        <f>IF(O221="","",IF(O221&lt;=$AQ$1,"O","X"))</f>
        <v>O</v>
      </c>
      <c r="AR221" s="80" t="str">
        <f>IF(M221="","",IF(M221&lt;=$AR$1,"O","X"))</f>
        <v>O</v>
      </c>
      <c r="AS221" s="80" t="s">
        <v>2</v>
      </c>
      <c r="AT221" s="80" t="str">
        <f>IF(OR(F221="",AI221=""),"",IF(AND((F221&lt;=85),(AI221&gt;=15)),"O","X"))</f>
        <v>O</v>
      </c>
      <c r="AU221" s="80" t="str">
        <f>IF(C221="","",IF(C221&gt;=$AU$1,"O","X"))</f>
        <v>X</v>
      </c>
      <c r="AV221" s="80" t="str">
        <f>IF(AO221="","",IF(AND(AO221="O",AP221="O",AR221="O",AT221="O",AU221="O"),"후보","X"))</f>
        <v/>
      </c>
    </row>
    <row r="222" spans="1:48" s="37" customFormat="1" ht="12" x14ac:dyDescent="0.3">
      <c r="A222" s="75" t="s">
        <v>1273</v>
      </c>
      <c r="B222" s="76" t="s">
        <v>1272</v>
      </c>
      <c r="C222" s="86">
        <v>261</v>
      </c>
      <c r="D222" s="87">
        <v>70.3</v>
      </c>
      <c r="E222" s="88">
        <v>21</v>
      </c>
      <c r="F222" s="87">
        <v>49.5</v>
      </c>
      <c r="G222" s="17">
        <v>15</v>
      </c>
      <c r="H222" s="89">
        <v>36</v>
      </c>
      <c r="I222" s="90"/>
      <c r="J222" s="90"/>
      <c r="K222" s="90"/>
      <c r="L222" s="90"/>
      <c r="M222" s="91">
        <f>I222-K222</f>
        <v>0</v>
      </c>
      <c r="N222" s="4" t="str">
        <f>IF(ISERROR(K222/I222),"",K222/I222)</f>
        <v/>
      </c>
      <c r="O222" s="92">
        <f>I222/E222</f>
        <v>0</v>
      </c>
      <c r="P222" s="92">
        <f>K222/E222</f>
        <v>0</v>
      </c>
      <c r="Q222" s="80">
        <v>2</v>
      </c>
      <c r="R222" s="80">
        <v>1</v>
      </c>
      <c r="S222" s="80" t="s">
        <v>85</v>
      </c>
      <c r="T222" s="5">
        <v>70</v>
      </c>
      <c r="U222" s="9"/>
      <c r="W222" s="87">
        <f>D222</f>
        <v>70.3</v>
      </c>
      <c r="X222" s="88">
        <f>E222</f>
        <v>21</v>
      </c>
      <c r="Y222" s="93">
        <f>H222</f>
        <v>36</v>
      </c>
      <c r="Z222" s="91">
        <f>I222</f>
        <v>0</v>
      </c>
      <c r="AA222" s="91">
        <f>K222</f>
        <v>0</v>
      </c>
      <c r="AB222" s="91">
        <f t="shared" ref="AB222:AD225" si="174">M222</f>
        <v>0</v>
      </c>
      <c r="AC222" s="4" t="str">
        <f t="shared" si="174"/>
        <v/>
      </c>
      <c r="AD222" s="92">
        <f t="shared" si="174"/>
        <v>0</v>
      </c>
      <c r="AE222" s="80" t="str">
        <f>S222</f>
        <v>복</v>
      </c>
      <c r="AF222" s="80" t="str">
        <f>Q222&amp;"/"&amp;R222</f>
        <v>2/1</v>
      </c>
      <c r="AH222" s="20" t="str">
        <f t="shared" si="150"/>
        <v>율량동 율량대창4차</v>
      </c>
      <c r="AI222" s="88">
        <f t="shared" si="151"/>
        <v>21</v>
      </c>
      <c r="AJ222" s="80" t="str">
        <f>IF(AI222="","",$AJ$2)</f>
        <v>A-</v>
      </c>
      <c r="AK222" s="80" t="s">
        <v>13</v>
      </c>
      <c r="AL222" s="80" t="s">
        <v>62</v>
      </c>
      <c r="AM222" s="80" t="s">
        <v>63</v>
      </c>
      <c r="AN222" s="80" t="str">
        <f>IF(AI222="","",$AN$2)</f>
        <v>C</v>
      </c>
      <c r="AO222" s="80" t="str">
        <f>IF(N222="","",IF(N222&gt;=$AO$1/100,"O","X"))</f>
        <v/>
      </c>
      <c r="AP222" s="80" t="str">
        <f>IF(I222="","",IF(I222&lt;=$AP$1,"O","X"))</f>
        <v/>
      </c>
      <c r="AQ222" s="80" t="str">
        <f>IF(O222="","",IF(O222&lt;=$AQ$1,"O","X"))</f>
        <v>O</v>
      </c>
      <c r="AR222" s="80" t="str">
        <f>IF(M222="","",IF(M222&lt;=$AR$1,"O","X"))</f>
        <v>O</v>
      </c>
      <c r="AS222" s="80" t="s">
        <v>2</v>
      </c>
      <c r="AT222" s="80" t="str">
        <f>IF(OR(F222="",AI222=""),"",IF(AND((F222&lt;=85),(AI222&gt;=15)),"O","X"))</f>
        <v>O</v>
      </c>
      <c r="AU222" s="80" t="str">
        <f>IF(C222="","",IF(C222&gt;=$AU$1,"O","X"))</f>
        <v>X</v>
      </c>
      <c r="AV222" s="80" t="str">
        <f>IF(AO222="","",IF(AND(AO222="O",AP222="O",AR222="O",AT222="O",AU222="O"),"후보","X"))</f>
        <v/>
      </c>
    </row>
    <row r="223" spans="1:48" s="37" customFormat="1" ht="12" x14ac:dyDescent="0.3">
      <c r="A223" s="75" t="s">
        <v>1274</v>
      </c>
      <c r="B223" s="76" t="s">
        <v>1275</v>
      </c>
      <c r="C223" s="86">
        <v>440</v>
      </c>
      <c r="D223" s="87">
        <v>63.5</v>
      </c>
      <c r="E223" s="88">
        <v>19</v>
      </c>
      <c r="F223" s="87">
        <v>45.3</v>
      </c>
      <c r="G223" s="17">
        <v>14</v>
      </c>
      <c r="H223" s="89">
        <v>178</v>
      </c>
      <c r="I223" s="90">
        <v>9500</v>
      </c>
      <c r="J223" s="90" t="s">
        <v>59</v>
      </c>
      <c r="K223" s="90"/>
      <c r="L223" s="90"/>
      <c r="M223" s="91">
        <f>I223-K223</f>
        <v>9500</v>
      </c>
      <c r="N223" s="4">
        <f>IF(ISERROR(K223/I223),"",K223/I223)</f>
        <v>0</v>
      </c>
      <c r="O223" s="92">
        <f>I223/E223</f>
        <v>500</v>
      </c>
      <c r="P223" s="92">
        <f>K223/E223</f>
        <v>0</v>
      </c>
      <c r="Q223" s="80">
        <v>2</v>
      </c>
      <c r="R223" s="80">
        <v>1</v>
      </c>
      <c r="S223" s="80" t="s">
        <v>85</v>
      </c>
      <c r="T223" s="5">
        <v>63</v>
      </c>
      <c r="U223" s="9"/>
      <c r="W223" s="87">
        <f t="shared" ref="W223:X225" si="175">D223</f>
        <v>63.5</v>
      </c>
      <c r="X223" s="88">
        <f t="shared" si="175"/>
        <v>19</v>
      </c>
      <c r="Y223" s="93">
        <f t="shared" ref="Y223:Z225" si="176">H223</f>
        <v>178</v>
      </c>
      <c r="Z223" s="91">
        <f t="shared" si="176"/>
        <v>9500</v>
      </c>
      <c r="AA223" s="91">
        <f>K223</f>
        <v>0</v>
      </c>
      <c r="AB223" s="91">
        <f t="shared" si="174"/>
        <v>9500</v>
      </c>
      <c r="AC223" s="4">
        <f t="shared" si="174"/>
        <v>0</v>
      </c>
      <c r="AD223" s="92">
        <f t="shared" si="174"/>
        <v>500</v>
      </c>
      <c r="AE223" s="80" t="str">
        <f>S223</f>
        <v>복</v>
      </c>
      <c r="AF223" s="80" t="str">
        <f>Q223&amp;"/"&amp;R223</f>
        <v>2/1</v>
      </c>
      <c r="AH223" s="20" t="str">
        <f t="shared" si="150"/>
        <v>율량동 율량효성2차</v>
      </c>
      <c r="AI223" s="88">
        <f t="shared" si="151"/>
        <v>19</v>
      </c>
      <c r="AJ223" s="80" t="str">
        <f>IF(AI223="","",$AJ$2)</f>
        <v>A-</v>
      </c>
      <c r="AK223" s="80" t="s">
        <v>13</v>
      </c>
      <c r="AL223" s="80" t="s">
        <v>62</v>
      </c>
      <c r="AM223" s="80" t="s">
        <v>63</v>
      </c>
      <c r="AN223" s="80" t="str">
        <f>IF(AI223="","",$AN$2)</f>
        <v>C</v>
      </c>
      <c r="AO223" s="80" t="str">
        <f>IF(N223="","",IF(N223&gt;=$AO$1/100,"O","X"))</f>
        <v>X</v>
      </c>
      <c r="AP223" s="80" t="str">
        <f>IF(I223="","",IF(I223&lt;=$AP$1,"O","X"))</f>
        <v>O</v>
      </c>
      <c r="AQ223" s="80" t="str">
        <f>IF(O223="","",IF(O223&lt;=$AQ$1,"O","X"))</f>
        <v>O</v>
      </c>
      <c r="AR223" s="80" t="str">
        <f>IF(M223="","",IF(M223&lt;=$AR$1,"O","X"))</f>
        <v>X</v>
      </c>
      <c r="AS223" s="80" t="s">
        <v>2</v>
      </c>
      <c r="AT223" s="80" t="str">
        <f>IF(OR(F223="",AI223=""),"",IF(AND((F223&lt;=85),(AI223&gt;=15)),"O","X"))</f>
        <v>O</v>
      </c>
      <c r="AU223" s="80" t="str">
        <f>IF(C223="","",IF(C223&gt;=$AU$1,"O","X"))</f>
        <v>O</v>
      </c>
      <c r="AV223" s="80" t="str">
        <f>IF(AO223="","",IF(AND(AO223="O",AP223="O",AR223="O",AT223="O",AU223="O"),"후보","X"))</f>
        <v>X</v>
      </c>
    </row>
    <row r="224" spans="1:48" s="37" customFormat="1" ht="12" x14ac:dyDescent="0.3">
      <c r="A224" s="75" t="s">
        <v>1274</v>
      </c>
      <c r="B224" s="76" t="s">
        <v>1074</v>
      </c>
      <c r="C224" s="86">
        <v>440</v>
      </c>
      <c r="D224" s="87">
        <v>83</v>
      </c>
      <c r="E224" s="88">
        <v>25</v>
      </c>
      <c r="F224" s="87">
        <v>59.9</v>
      </c>
      <c r="G224" s="17">
        <v>18</v>
      </c>
      <c r="H224" s="89">
        <v>158</v>
      </c>
      <c r="I224" s="90">
        <v>14000</v>
      </c>
      <c r="J224" s="90" t="s">
        <v>73</v>
      </c>
      <c r="K224" s="90">
        <v>11500</v>
      </c>
      <c r="L224" s="90" t="s">
        <v>70</v>
      </c>
      <c r="M224" s="91">
        <f>I224-K224</f>
        <v>2500</v>
      </c>
      <c r="N224" s="4">
        <f>IF(ISERROR(K224/I224),"",K224/I224)</f>
        <v>0.8214285714285714</v>
      </c>
      <c r="O224" s="92">
        <f>I224/E224</f>
        <v>560</v>
      </c>
      <c r="P224" s="92">
        <f>K224/E224</f>
        <v>460</v>
      </c>
      <c r="Q224" s="80">
        <v>3</v>
      </c>
      <c r="R224" s="80">
        <v>1</v>
      </c>
      <c r="S224" s="80" t="s">
        <v>85</v>
      </c>
      <c r="T224" s="5">
        <v>83</v>
      </c>
      <c r="U224" s="9"/>
      <c r="W224" s="87">
        <f t="shared" si="175"/>
        <v>83</v>
      </c>
      <c r="X224" s="88">
        <f t="shared" si="175"/>
        <v>25</v>
      </c>
      <c r="Y224" s="93">
        <f t="shared" si="176"/>
        <v>158</v>
      </c>
      <c r="Z224" s="91">
        <f t="shared" si="176"/>
        <v>14000</v>
      </c>
      <c r="AA224" s="91">
        <f>K224</f>
        <v>11500</v>
      </c>
      <c r="AB224" s="91">
        <f t="shared" si="174"/>
        <v>2500</v>
      </c>
      <c r="AC224" s="4">
        <f t="shared" si="174"/>
        <v>0.8214285714285714</v>
      </c>
      <c r="AD224" s="92">
        <f t="shared" si="174"/>
        <v>560</v>
      </c>
      <c r="AE224" s="80" t="str">
        <f>S224</f>
        <v>복</v>
      </c>
      <c r="AF224" s="80" t="str">
        <f>Q224&amp;"/"&amp;R224</f>
        <v>3/1</v>
      </c>
      <c r="AH224" s="20" t="str">
        <f t="shared" si="150"/>
        <v>율량동 율량효성2차</v>
      </c>
      <c r="AI224" s="88">
        <f t="shared" si="151"/>
        <v>25</v>
      </c>
      <c r="AJ224" s="80" t="str">
        <f>IF(AI224="","",$AJ$2)</f>
        <v>A-</v>
      </c>
      <c r="AK224" s="80" t="s">
        <v>13</v>
      </c>
      <c r="AL224" s="80" t="s">
        <v>62</v>
      </c>
      <c r="AM224" s="80" t="s">
        <v>63</v>
      </c>
      <c r="AN224" s="80" t="str">
        <f>IF(AI224="","",$AN$2)</f>
        <v>C</v>
      </c>
      <c r="AO224" s="80" t="str">
        <f>IF(N224="","",IF(N224&gt;=$AO$1/100,"O","X"))</f>
        <v>O</v>
      </c>
      <c r="AP224" s="80" t="str">
        <f>IF(I224="","",IF(I224&lt;=$AP$1,"O","X"))</f>
        <v>O</v>
      </c>
      <c r="AQ224" s="80" t="str">
        <f>IF(O224="","",IF(O224&lt;=$AQ$1,"O","X"))</f>
        <v>O</v>
      </c>
      <c r="AR224" s="80" t="str">
        <f>IF(M224="","",IF(M224&lt;=$AR$1,"O","X"))</f>
        <v>O</v>
      </c>
      <c r="AS224" s="80" t="s">
        <v>2</v>
      </c>
      <c r="AT224" s="80" t="str">
        <f>IF(OR(F224="",AI224=""),"",IF(AND((F224&lt;=85),(AI224&gt;=15)),"O","X"))</f>
        <v>O</v>
      </c>
      <c r="AU224" s="80" t="str">
        <f>IF(C224="","",IF(C224&gt;=$AU$1,"O","X"))</f>
        <v>O</v>
      </c>
      <c r="AV224" s="80" t="str">
        <f>IF(AO224="","",IF(AND(AO224="O",AP224="O",AR224="O",AT224="O",AU224="O"),"후보","X"))</f>
        <v>후보</v>
      </c>
    </row>
    <row r="225" spans="1:48" s="37" customFormat="1" ht="12" x14ac:dyDescent="0.3">
      <c r="A225" s="75" t="s">
        <v>1276</v>
      </c>
      <c r="B225" s="76" t="s">
        <v>1277</v>
      </c>
      <c r="C225" s="86">
        <v>440</v>
      </c>
      <c r="D225" s="87">
        <v>86.9</v>
      </c>
      <c r="E225" s="88">
        <v>26</v>
      </c>
      <c r="F225" s="87">
        <v>59.9</v>
      </c>
      <c r="G225" s="17">
        <v>18</v>
      </c>
      <c r="H225" s="89">
        <v>104</v>
      </c>
      <c r="I225" s="90"/>
      <c r="J225" s="90"/>
      <c r="K225" s="90"/>
      <c r="L225" s="90"/>
      <c r="M225" s="91">
        <f>I225-K225</f>
        <v>0</v>
      </c>
      <c r="N225" s="4" t="str">
        <f>IF(ISERROR(K225/I225),"",K225/I225)</f>
        <v/>
      </c>
      <c r="O225" s="92">
        <f>I225/E225</f>
        <v>0</v>
      </c>
      <c r="P225" s="92">
        <f>K225/E225</f>
        <v>0</v>
      </c>
      <c r="Q225" s="80">
        <v>3</v>
      </c>
      <c r="R225" s="80">
        <v>1</v>
      </c>
      <c r="S225" s="80" t="s">
        <v>85</v>
      </c>
      <c r="T225" s="5">
        <v>86</v>
      </c>
      <c r="U225" s="9"/>
      <c r="W225" s="87">
        <f t="shared" si="175"/>
        <v>86.9</v>
      </c>
      <c r="X225" s="88">
        <f t="shared" si="175"/>
        <v>26</v>
      </c>
      <c r="Y225" s="93">
        <f t="shared" si="176"/>
        <v>104</v>
      </c>
      <c r="Z225" s="91">
        <f t="shared" si="176"/>
        <v>0</v>
      </c>
      <c r="AA225" s="91">
        <f>K225</f>
        <v>0</v>
      </c>
      <c r="AB225" s="91">
        <f t="shared" si="174"/>
        <v>0</v>
      </c>
      <c r="AC225" s="4" t="str">
        <f t="shared" si="174"/>
        <v/>
      </c>
      <c r="AD225" s="92">
        <f t="shared" si="174"/>
        <v>0</v>
      </c>
      <c r="AE225" s="80" t="str">
        <f>S225</f>
        <v>복</v>
      </c>
      <c r="AF225" s="80" t="str">
        <f>Q225&amp;"/"&amp;R225</f>
        <v>3/1</v>
      </c>
      <c r="AH225" s="20" t="str">
        <f t="shared" si="150"/>
        <v>율량동 율량효성2차</v>
      </c>
      <c r="AI225" s="88">
        <f t="shared" si="151"/>
        <v>26</v>
      </c>
      <c r="AJ225" s="80" t="str">
        <f>IF(AI225="","",$AJ$2)</f>
        <v>A-</v>
      </c>
      <c r="AK225" s="80" t="s">
        <v>13</v>
      </c>
      <c r="AL225" s="80" t="s">
        <v>62</v>
      </c>
      <c r="AM225" s="80" t="s">
        <v>63</v>
      </c>
      <c r="AN225" s="80" t="str">
        <f>IF(AI225="","",$AN$2)</f>
        <v>C</v>
      </c>
      <c r="AO225" s="80" t="str">
        <f>IF(N225="","",IF(N225&gt;=$AO$1/100,"O","X"))</f>
        <v/>
      </c>
      <c r="AP225" s="80" t="str">
        <f>IF(I225="","",IF(I225&lt;=$AP$1,"O","X"))</f>
        <v/>
      </c>
      <c r="AQ225" s="80" t="str">
        <f>IF(O225="","",IF(O225&lt;=$AQ$1,"O","X"))</f>
        <v>O</v>
      </c>
      <c r="AR225" s="80" t="str">
        <f>IF(M225="","",IF(M225&lt;=$AR$1,"O","X"))</f>
        <v>O</v>
      </c>
      <c r="AS225" s="80" t="s">
        <v>2</v>
      </c>
      <c r="AT225" s="80" t="str">
        <f>IF(OR(F225="",AI225=""),"",IF(AND((F225&lt;=85),(AI225&gt;=15)),"O","X"))</f>
        <v>O</v>
      </c>
      <c r="AU225" s="80" t="str">
        <f>IF(C225="","",IF(C225&gt;=$AU$1,"O","X"))</f>
        <v>O</v>
      </c>
      <c r="AV225" s="80" t="str">
        <f>IF(AO225="","",IF(AND(AO225="O",AP225="O",AR225="O",AT225="O",AU225="O"),"후보","X"))</f>
        <v/>
      </c>
    </row>
    <row r="226" spans="1:48" s="37" customFormat="1" ht="12" x14ac:dyDescent="0.3">
      <c r="A226" s="75" t="s">
        <v>1278</v>
      </c>
      <c r="B226" s="76" t="s">
        <v>1279</v>
      </c>
      <c r="C226" s="86">
        <v>321</v>
      </c>
      <c r="D226" s="87">
        <v>129.5</v>
      </c>
      <c r="E226" s="88">
        <v>39</v>
      </c>
      <c r="F226" s="87">
        <v>103.7</v>
      </c>
      <c r="G226" s="17">
        <v>31</v>
      </c>
      <c r="H226" s="89">
        <v>321</v>
      </c>
      <c r="I226" s="90">
        <v>51000</v>
      </c>
      <c r="J226" s="90" t="s">
        <v>79</v>
      </c>
      <c r="K226" s="90">
        <v>45000</v>
      </c>
      <c r="L226" s="90" t="s">
        <v>70</v>
      </c>
      <c r="M226" s="91">
        <f>I226-K226</f>
        <v>6000</v>
      </c>
      <c r="N226" s="4">
        <f>IF(ISERROR(K226/I226),"",K226/I226)</f>
        <v>0.88235294117647056</v>
      </c>
      <c r="O226" s="92">
        <f>I226/E226</f>
        <v>1307.6923076923076</v>
      </c>
      <c r="P226" s="92">
        <f>K226/E226</f>
        <v>1153.8461538461538</v>
      </c>
      <c r="Q226" s="80">
        <v>4</v>
      </c>
      <c r="R226" s="80">
        <v>2</v>
      </c>
      <c r="S226" s="80" t="s">
        <v>61</v>
      </c>
      <c r="T226" s="5">
        <v>129</v>
      </c>
      <c r="U226" s="9"/>
      <c r="W226" s="87">
        <f>D226</f>
        <v>129.5</v>
      </c>
      <c r="X226" s="88">
        <f>E226</f>
        <v>39</v>
      </c>
      <c r="Y226" s="93">
        <f>H226</f>
        <v>321</v>
      </c>
      <c r="Z226" s="91">
        <f>I226</f>
        <v>51000</v>
      </c>
      <c r="AA226" s="91">
        <f>K226</f>
        <v>45000</v>
      </c>
      <c r="AB226" s="91">
        <f>M226</f>
        <v>6000</v>
      </c>
      <c r="AC226" s="4">
        <f>N226</f>
        <v>0.88235294117647056</v>
      </c>
      <c r="AD226" s="92">
        <f>O226</f>
        <v>1307.6923076923076</v>
      </c>
      <c r="AE226" s="80" t="str">
        <f>S226</f>
        <v>계</v>
      </c>
      <c r="AF226" s="80" t="str">
        <f>Q226&amp;"/"&amp;R226</f>
        <v>4/2</v>
      </c>
      <c r="AH226" s="20" t="str">
        <f t="shared" si="150"/>
        <v>율량동 율량7단지선광로즈웰1차</v>
      </c>
      <c r="AI226" s="88">
        <f t="shared" si="151"/>
        <v>39</v>
      </c>
      <c r="AJ226" s="80" t="str">
        <f>IF(AI226="","",$AJ$2)</f>
        <v>A-</v>
      </c>
      <c r="AK226" s="80" t="s">
        <v>13</v>
      </c>
      <c r="AL226" s="80" t="s">
        <v>62</v>
      </c>
      <c r="AM226" s="80" t="s">
        <v>63</v>
      </c>
      <c r="AN226" s="80" t="str">
        <f>IF(AI226="","",$AN$2)</f>
        <v>C</v>
      </c>
      <c r="AO226" s="80" t="str">
        <f>IF(N226="","",IF(N226&gt;=$AO$1/100,"O","X"))</f>
        <v>O</v>
      </c>
      <c r="AP226" s="80" t="str">
        <f>IF(I226="","",IF(I226&lt;=$AP$1,"O","X"))</f>
        <v>X</v>
      </c>
      <c r="AQ226" s="80" t="str">
        <f>IF(O226="","",IF(O226&lt;=$AQ$1,"O","X"))</f>
        <v>X</v>
      </c>
      <c r="AR226" s="80" t="str">
        <f>IF(M226="","",IF(M226&lt;=$AR$1,"O","X"))</f>
        <v>O</v>
      </c>
      <c r="AS226" s="80" t="s">
        <v>2</v>
      </c>
      <c r="AT226" s="80" t="str">
        <f>IF(OR(F226="",AI226=""),"",IF(AND((F226&lt;=85),(AI226&gt;=15)),"O","X"))</f>
        <v>X</v>
      </c>
      <c r="AU226" s="80" t="str">
        <f>IF(C226="","",IF(C226&gt;=$AU$1,"O","X"))</f>
        <v>O</v>
      </c>
      <c r="AV226" s="80" t="str">
        <f>IF(AO226="","",IF(AND(AO226="O",AP226="O",AR226="O",AT226="O",AU226="O"),"후보","X"))</f>
        <v>X</v>
      </c>
    </row>
    <row r="227" spans="1:48" s="37" customFormat="1" ht="12" x14ac:dyDescent="0.3">
      <c r="A227" s="75" t="s">
        <v>1280</v>
      </c>
      <c r="B227" s="76" t="s">
        <v>1281</v>
      </c>
      <c r="C227" s="86">
        <v>300</v>
      </c>
      <c r="D227" s="87">
        <v>58.9</v>
      </c>
      <c r="E227" s="88">
        <v>18</v>
      </c>
      <c r="F227" s="87">
        <v>53.5</v>
      </c>
      <c r="G227" s="17">
        <v>16</v>
      </c>
      <c r="H227" s="89">
        <v>18</v>
      </c>
      <c r="I227" s="90"/>
      <c r="J227" s="90"/>
      <c r="K227" s="90"/>
      <c r="L227" s="90"/>
      <c r="M227" s="91">
        <f>I227-K227</f>
        <v>0</v>
      </c>
      <c r="N227" s="4" t="str">
        <f>IF(ISERROR(K227/I227),"",K227/I227)</f>
        <v/>
      </c>
      <c r="O227" s="92">
        <f>I227/E227</f>
        <v>0</v>
      </c>
      <c r="P227" s="92">
        <f>K227/E227</f>
        <v>0</v>
      </c>
      <c r="Q227" s="80">
        <v>3</v>
      </c>
      <c r="R227" s="80">
        <v>1</v>
      </c>
      <c r="S227" s="80" t="s">
        <v>61</v>
      </c>
      <c r="T227" s="5" t="s">
        <v>379</v>
      </c>
      <c r="U227" s="9"/>
      <c r="W227" s="87">
        <f t="shared" ref="W227:X242" si="177">D227</f>
        <v>58.9</v>
      </c>
      <c r="X227" s="88">
        <f t="shared" si="177"/>
        <v>18</v>
      </c>
      <c r="Y227" s="93">
        <f t="shared" ref="Y227:Z242" si="178">H227</f>
        <v>18</v>
      </c>
      <c r="Z227" s="91">
        <f t="shared" si="178"/>
        <v>0</v>
      </c>
      <c r="AA227" s="91">
        <f>K227</f>
        <v>0</v>
      </c>
      <c r="AB227" s="91">
        <f t="shared" ref="AB227:AD242" si="179">M227</f>
        <v>0</v>
      </c>
      <c r="AC227" s="4" t="str">
        <f t="shared" si="179"/>
        <v/>
      </c>
      <c r="AD227" s="92">
        <f t="shared" si="179"/>
        <v>0</v>
      </c>
      <c r="AE227" s="80" t="str">
        <f>S227</f>
        <v>계</v>
      </c>
      <c r="AF227" s="80" t="str">
        <f>Q227&amp;"/"&amp;R227</f>
        <v>3/1</v>
      </c>
      <c r="AH227" s="20" t="str">
        <f t="shared" si="150"/>
        <v>율량동 신라타운</v>
      </c>
      <c r="AI227" s="88">
        <f t="shared" si="151"/>
        <v>18</v>
      </c>
      <c r="AJ227" s="80" t="str">
        <f>IF(AI227="","",$AJ$2)</f>
        <v>A-</v>
      </c>
      <c r="AK227" s="80" t="s">
        <v>13</v>
      </c>
      <c r="AL227" s="80" t="s">
        <v>62</v>
      </c>
      <c r="AM227" s="80" t="s">
        <v>63</v>
      </c>
      <c r="AN227" s="80" t="str">
        <f>IF(AI227="","",$AN$2)</f>
        <v>C</v>
      </c>
      <c r="AO227" s="80" t="str">
        <f>IF(N227="","",IF(N227&gt;=$AO$1/100,"O","X"))</f>
        <v/>
      </c>
      <c r="AP227" s="80" t="str">
        <f>IF(I227="","",IF(I227&lt;=$AP$1,"O","X"))</f>
        <v/>
      </c>
      <c r="AQ227" s="80" t="str">
        <f>IF(O227="","",IF(O227&lt;=$AQ$1,"O","X"))</f>
        <v>O</v>
      </c>
      <c r="AR227" s="80" t="str">
        <f>IF(M227="","",IF(M227&lt;=$AR$1,"O","X"))</f>
        <v>O</v>
      </c>
      <c r="AS227" s="80" t="s">
        <v>2</v>
      </c>
      <c r="AT227" s="80" t="str">
        <f>IF(OR(F227="",AI227=""),"",IF(AND((F227&lt;=85),(AI227&gt;=15)),"O","X"))</f>
        <v>O</v>
      </c>
      <c r="AU227" s="80" t="str">
        <f>IF(C227="","",IF(C227&gt;=$AU$1,"O","X"))</f>
        <v>O</v>
      </c>
      <c r="AV227" s="80" t="str">
        <f>IF(AO227="","",IF(AND(AO227="O",AP227="O",AR227="O",AT227="O",AU227="O"),"후보","X"))</f>
        <v/>
      </c>
    </row>
    <row r="228" spans="1:48" s="37" customFormat="1" ht="12" x14ac:dyDescent="0.3">
      <c r="A228" s="75" t="s">
        <v>1282</v>
      </c>
      <c r="B228" s="76" t="s">
        <v>1075</v>
      </c>
      <c r="C228" s="86">
        <v>300</v>
      </c>
      <c r="D228" s="87">
        <v>59.1</v>
      </c>
      <c r="E228" s="88">
        <v>18</v>
      </c>
      <c r="F228" s="87">
        <v>53.9</v>
      </c>
      <c r="G228" s="17">
        <v>16</v>
      </c>
      <c r="H228" s="89">
        <v>81</v>
      </c>
      <c r="I228" s="90"/>
      <c r="J228" s="90"/>
      <c r="K228" s="90"/>
      <c r="L228" s="90"/>
      <c r="M228" s="91">
        <f>I228-K228</f>
        <v>0</v>
      </c>
      <c r="N228" s="4" t="str">
        <f>IF(ISERROR(K228/I228),"",K228/I228)</f>
        <v/>
      </c>
      <c r="O228" s="92">
        <f>I228/E228</f>
        <v>0</v>
      </c>
      <c r="P228" s="92">
        <f>K228/E228</f>
        <v>0</v>
      </c>
      <c r="Q228" s="80">
        <v>3</v>
      </c>
      <c r="R228" s="80">
        <v>1</v>
      </c>
      <c r="S228" s="80" t="s">
        <v>61</v>
      </c>
      <c r="T228" s="5" t="s">
        <v>125</v>
      </c>
      <c r="U228" s="9"/>
      <c r="W228" s="87">
        <f t="shared" si="177"/>
        <v>59.1</v>
      </c>
      <c r="X228" s="88">
        <f t="shared" si="177"/>
        <v>18</v>
      </c>
      <c r="Y228" s="93">
        <f t="shared" si="178"/>
        <v>81</v>
      </c>
      <c r="Z228" s="91">
        <f t="shared" si="178"/>
        <v>0</v>
      </c>
      <c r="AA228" s="91">
        <f>K228</f>
        <v>0</v>
      </c>
      <c r="AB228" s="91">
        <f t="shared" si="179"/>
        <v>0</v>
      </c>
      <c r="AC228" s="4" t="str">
        <f t="shared" si="179"/>
        <v/>
      </c>
      <c r="AD228" s="92">
        <f t="shared" si="179"/>
        <v>0</v>
      </c>
      <c r="AE228" s="80" t="str">
        <f>S228</f>
        <v>계</v>
      </c>
      <c r="AF228" s="80" t="str">
        <f>Q228&amp;"/"&amp;R228</f>
        <v>3/1</v>
      </c>
      <c r="AH228" s="20" t="str">
        <f t="shared" si="150"/>
        <v>율량동 신라타운</v>
      </c>
      <c r="AI228" s="88">
        <f t="shared" si="151"/>
        <v>18</v>
      </c>
      <c r="AJ228" s="80" t="str">
        <f>IF(AI228="","",$AJ$2)</f>
        <v>A-</v>
      </c>
      <c r="AK228" s="80" t="s">
        <v>13</v>
      </c>
      <c r="AL228" s="80" t="s">
        <v>62</v>
      </c>
      <c r="AM228" s="80" t="s">
        <v>63</v>
      </c>
      <c r="AN228" s="80" t="str">
        <f>IF(AI228="","",$AN$2)</f>
        <v>C</v>
      </c>
      <c r="AO228" s="80" t="str">
        <f>IF(N228="","",IF(N228&gt;=$AO$1/100,"O","X"))</f>
        <v/>
      </c>
      <c r="AP228" s="80" t="str">
        <f>IF(I228="","",IF(I228&lt;=$AP$1,"O","X"))</f>
        <v/>
      </c>
      <c r="AQ228" s="80" t="str">
        <f>IF(O228="","",IF(O228&lt;=$AQ$1,"O","X"))</f>
        <v>O</v>
      </c>
      <c r="AR228" s="80" t="str">
        <f>IF(M228="","",IF(M228&lt;=$AR$1,"O","X"))</f>
        <v>O</v>
      </c>
      <c r="AS228" s="80" t="s">
        <v>2</v>
      </c>
      <c r="AT228" s="80" t="str">
        <f>IF(OR(F228="",AI228=""),"",IF(AND((F228&lt;=85),(AI228&gt;=15)),"O","X"))</f>
        <v>O</v>
      </c>
      <c r="AU228" s="80" t="str">
        <f>IF(C228="","",IF(C228&gt;=$AU$1,"O","X"))</f>
        <v>O</v>
      </c>
      <c r="AV228" s="80" t="str">
        <f>IF(AO228="","",IF(AND(AO228="O",AP228="O",AR228="O",AT228="O",AU228="O"),"후보","X"))</f>
        <v/>
      </c>
    </row>
    <row r="229" spans="1:48" s="37" customFormat="1" ht="12" x14ac:dyDescent="0.3">
      <c r="A229" s="75" t="s">
        <v>1283</v>
      </c>
      <c r="B229" s="76" t="s">
        <v>1284</v>
      </c>
      <c r="C229" s="86">
        <v>300</v>
      </c>
      <c r="D229" s="87">
        <v>64.400000000000006</v>
      </c>
      <c r="E229" s="88">
        <v>19</v>
      </c>
      <c r="F229" s="87">
        <v>59</v>
      </c>
      <c r="G229" s="17">
        <v>18</v>
      </c>
      <c r="H229" s="89">
        <v>201</v>
      </c>
      <c r="I229" s="90"/>
      <c r="J229" s="90"/>
      <c r="K229" s="90"/>
      <c r="L229" s="90"/>
      <c r="M229" s="91">
        <f>I229-K229</f>
        <v>0</v>
      </c>
      <c r="N229" s="4" t="str">
        <f>IF(ISERROR(K229/I229),"",K229/I229)</f>
        <v/>
      </c>
      <c r="O229" s="92">
        <f>I229/E229</f>
        <v>0</v>
      </c>
      <c r="P229" s="92">
        <f>K229/E229</f>
        <v>0</v>
      </c>
      <c r="Q229" s="80">
        <v>3</v>
      </c>
      <c r="R229" s="80">
        <v>1</v>
      </c>
      <c r="S229" s="80" t="s">
        <v>61</v>
      </c>
      <c r="T229" s="5">
        <v>64</v>
      </c>
      <c r="U229" s="9"/>
      <c r="W229" s="87">
        <f t="shared" si="177"/>
        <v>64.400000000000006</v>
      </c>
      <c r="X229" s="88">
        <f t="shared" si="177"/>
        <v>19</v>
      </c>
      <c r="Y229" s="93">
        <f t="shared" si="178"/>
        <v>201</v>
      </c>
      <c r="Z229" s="91">
        <f t="shared" si="178"/>
        <v>0</v>
      </c>
      <c r="AA229" s="91">
        <f>K229</f>
        <v>0</v>
      </c>
      <c r="AB229" s="91">
        <f t="shared" si="179"/>
        <v>0</v>
      </c>
      <c r="AC229" s="4" t="str">
        <f t="shared" si="179"/>
        <v/>
      </c>
      <c r="AD229" s="92">
        <f t="shared" si="179"/>
        <v>0</v>
      </c>
      <c r="AE229" s="80" t="str">
        <f>S229</f>
        <v>계</v>
      </c>
      <c r="AF229" s="80" t="str">
        <f>Q229&amp;"/"&amp;R229</f>
        <v>3/1</v>
      </c>
      <c r="AH229" s="20" t="str">
        <f t="shared" si="150"/>
        <v>율량동 신라타운</v>
      </c>
      <c r="AI229" s="88">
        <f t="shared" si="151"/>
        <v>19</v>
      </c>
      <c r="AJ229" s="80" t="str">
        <f>IF(AI229="","",$AJ$2)</f>
        <v>A-</v>
      </c>
      <c r="AK229" s="80" t="s">
        <v>13</v>
      </c>
      <c r="AL229" s="80" t="s">
        <v>62</v>
      </c>
      <c r="AM229" s="80" t="s">
        <v>63</v>
      </c>
      <c r="AN229" s="80" t="str">
        <f>IF(AI229="","",$AN$2)</f>
        <v>C</v>
      </c>
      <c r="AO229" s="80" t="str">
        <f>IF(N229="","",IF(N229&gt;=$AO$1/100,"O","X"))</f>
        <v/>
      </c>
      <c r="AP229" s="80" t="str">
        <f>IF(I229="","",IF(I229&lt;=$AP$1,"O","X"))</f>
        <v/>
      </c>
      <c r="AQ229" s="80" t="str">
        <f>IF(O229="","",IF(O229&lt;=$AQ$1,"O","X"))</f>
        <v>O</v>
      </c>
      <c r="AR229" s="80" t="str">
        <f>IF(M229="","",IF(M229&lt;=$AR$1,"O","X"))</f>
        <v>O</v>
      </c>
      <c r="AS229" s="80" t="s">
        <v>2</v>
      </c>
      <c r="AT229" s="80" t="str">
        <f>IF(OR(F229="",AI229=""),"",IF(AND((F229&lt;=85),(AI229&gt;=15)),"O","X"))</f>
        <v>O</v>
      </c>
      <c r="AU229" s="80" t="str">
        <f>IF(C229="","",IF(C229&gt;=$AU$1,"O","X"))</f>
        <v>O</v>
      </c>
      <c r="AV229" s="80" t="str">
        <f>IF(AO229="","",IF(AND(AO229="O",AP229="O",AR229="O",AT229="O",AU229="O"),"후보","X"))</f>
        <v/>
      </c>
    </row>
    <row r="230" spans="1:48" s="37" customFormat="1" ht="12" x14ac:dyDescent="0.3">
      <c r="A230" s="75" t="s">
        <v>1285</v>
      </c>
      <c r="B230" s="76" t="s">
        <v>1286</v>
      </c>
      <c r="C230" s="86">
        <v>417</v>
      </c>
      <c r="D230" s="87">
        <v>112.5</v>
      </c>
      <c r="E230" s="88">
        <v>34</v>
      </c>
      <c r="F230" s="87">
        <v>85</v>
      </c>
      <c r="G230" s="17">
        <v>26</v>
      </c>
      <c r="H230" s="89">
        <v>228</v>
      </c>
      <c r="I230" s="90">
        <v>45000</v>
      </c>
      <c r="J230" s="90" t="s">
        <v>101</v>
      </c>
      <c r="K230" s="90">
        <v>33000</v>
      </c>
      <c r="L230" s="90" t="s">
        <v>60</v>
      </c>
      <c r="M230" s="91">
        <f>I230-K230</f>
        <v>12000</v>
      </c>
      <c r="N230" s="4">
        <f>IF(ISERROR(K230/I230),"",K230/I230)</f>
        <v>0.73333333333333328</v>
      </c>
      <c r="O230" s="92">
        <f>I230/E230</f>
        <v>1323.5294117647059</v>
      </c>
      <c r="P230" s="92">
        <f>K230/E230</f>
        <v>970.58823529411768</v>
      </c>
      <c r="Q230" s="80">
        <v>3</v>
      </c>
      <c r="R230" s="80">
        <v>2</v>
      </c>
      <c r="S230" s="80" t="s">
        <v>61</v>
      </c>
      <c r="T230" s="5" t="s">
        <v>87</v>
      </c>
      <c r="U230" s="9"/>
      <c r="W230" s="87">
        <f t="shared" si="177"/>
        <v>112.5</v>
      </c>
      <c r="X230" s="88">
        <f t="shared" si="177"/>
        <v>34</v>
      </c>
      <c r="Y230" s="93">
        <f t="shared" si="178"/>
        <v>228</v>
      </c>
      <c r="Z230" s="91">
        <f t="shared" si="178"/>
        <v>45000</v>
      </c>
      <c r="AA230" s="91">
        <f>K230</f>
        <v>33000</v>
      </c>
      <c r="AB230" s="91">
        <f t="shared" si="179"/>
        <v>12000</v>
      </c>
      <c r="AC230" s="4">
        <f t="shared" si="179"/>
        <v>0.73333333333333328</v>
      </c>
      <c r="AD230" s="92">
        <f t="shared" si="179"/>
        <v>1323.5294117647059</v>
      </c>
      <c r="AE230" s="80" t="str">
        <f>S230</f>
        <v>계</v>
      </c>
      <c r="AF230" s="80" t="str">
        <f>Q230&amp;"/"&amp;R230</f>
        <v>3/2</v>
      </c>
      <c r="AH230" s="20" t="str">
        <f t="shared" si="150"/>
        <v>주성동 율량5단지선광로즈웰2차</v>
      </c>
      <c r="AI230" s="88">
        <f t="shared" si="151"/>
        <v>34</v>
      </c>
      <c r="AJ230" s="80" t="str">
        <f>IF(AI230="","",$AJ$2)</f>
        <v>A-</v>
      </c>
      <c r="AK230" s="80" t="s">
        <v>13</v>
      </c>
      <c r="AL230" s="80" t="s">
        <v>62</v>
      </c>
      <c r="AM230" s="80" t="s">
        <v>63</v>
      </c>
      <c r="AN230" s="80" t="str">
        <f>IF(AI230="","",$AN$2)</f>
        <v>C</v>
      </c>
      <c r="AO230" s="80" t="str">
        <f>IF(N230="","",IF(N230&gt;=$AO$1/100,"O","X"))</f>
        <v>X</v>
      </c>
      <c r="AP230" s="80" t="str">
        <f>IF(I230="","",IF(I230&lt;=$AP$1,"O","X"))</f>
        <v>O</v>
      </c>
      <c r="AQ230" s="80" t="str">
        <f>IF(O230="","",IF(O230&lt;=$AQ$1,"O","X"))</f>
        <v>X</v>
      </c>
      <c r="AR230" s="80" t="str">
        <f>IF(M230="","",IF(M230&lt;=$AR$1,"O","X"))</f>
        <v>X</v>
      </c>
      <c r="AS230" s="80" t="s">
        <v>2</v>
      </c>
      <c r="AT230" s="80" t="str">
        <f>IF(OR(F230="",AI230=""),"",IF(AND((F230&lt;=85),(AI230&gt;=15)),"O","X"))</f>
        <v>O</v>
      </c>
      <c r="AU230" s="80" t="str">
        <f>IF(C230="","",IF(C230&gt;=$AU$1,"O","X"))</f>
        <v>O</v>
      </c>
      <c r="AV230" s="80" t="str">
        <f>IF(AO230="","",IF(AND(AO230="O",AP230="O",AR230="O",AT230="O",AU230="O"),"후보","X"))</f>
        <v>X</v>
      </c>
    </row>
    <row r="231" spans="1:48" s="37" customFormat="1" ht="12" x14ac:dyDescent="0.3">
      <c r="A231" s="75" t="s">
        <v>1287</v>
      </c>
      <c r="B231" s="76" t="s">
        <v>1288</v>
      </c>
      <c r="C231" s="86">
        <v>417</v>
      </c>
      <c r="D231" s="87">
        <v>112.5</v>
      </c>
      <c r="E231" s="88">
        <v>34</v>
      </c>
      <c r="F231" s="87">
        <v>85</v>
      </c>
      <c r="G231" s="17">
        <v>26</v>
      </c>
      <c r="H231" s="89">
        <v>123</v>
      </c>
      <c r="I231" s="90">
        <v>45000</v>
      </c>
      <c r="J231" s="90" t="s">
        <v>101</v>
      </c>
      <c r="K231" s="90">
        <v>33000</v>
      </c>
      <c r="L231" s="90" t="s">
        <v>60</v>
      </c>
      <c r="M231" s="91">
        <f>I231-K231</f>
        <v>12000</v>
      </c>
      <c r="N231" s="4">
        <f>IF(ISERROR(K231/I231),"",K231/I231)</f>
        <v>0.73333333333333328</v>
      </c>
      <c r="O231" s="92">
        <f>I231/E231</f>
        <v>1323.5294117647059</v>
      </c>
      <c r="P231" s="92">
        <f>K231/E231</f>
        <v>970.58823529411768</v>
      </c>
      <c r="Q231" s="80">
        <v>3</v>
      </c>
      <c r="R231" s="80">
        <v>2</v>
      </c>
      <c r="S231" s="80" t="s">
        <v>61</v>
      </c>
      <c r="T231" s="5" t="s">
        <v>88</v>
      </c>
      <c r="U231" s="9"/>
      <c r="W231" s="87">
        <f t="shared" si="177"/>
        <v>112.5</v>
      </c>
      <c r="X231" s="88">
        <f t="shared" si="177"/>
        <v>34</v>
      </c>
      <c r="Y231" s="93">
        <f t="shared" si="178"/>
        <v>123</v>
      </c>
      <c r="Z231" s="91">
        <f t="shared" si="178"/>
        <v>45000</v>
      </c>
      <c r="AA231" s="91">
        <f>K231</f>
        <v>33000</v>
      </c>
      <c r="AB231" s="91">
        <f t="shared" si="179"/>
        <v>12000</v>
      </c>
      <c r="AC231" s="4">
        <f t="shared" si="179"/>
        <v>0.73333333333333328</v>
      </c>
      <c r="AD231" s="92">
        <f t="shared" si="179"/>
        <v>1323.5294117647059</v>
      </c>
      <c r="AE231" s="80" t="str">
        <f>S231</f>
        <v>계</v>
      </c>
      <c r="AF231" s="80" t="str">
        <f>Q231&amp;"/"&amp;R231</f>
        <v>3/2</v>
      </c>
      <c r="AH231" s="20" t="str">
        <f t="shared" si="150"/>
        <v>주성동 율량5단지선광로즈웰2차</v>
      </c>
      <c r="AI231" s="88">
        <f t="shared" si="151"/>
        <v>34</v>
      </c>
      <c r="AJ231" s="80" t="str">
        <f>IF(AI231="","",$AJ$2)</f>
        <v>A-</v>
      </c>
      <c r="AK231" s="80" t="s">
        <v>13</v>
      </c>
      <c r="AL231" s="80" t="s">
        <v>62</v>
      </c>
      <c r="AM231" s="80" t="s">
        <v>63</v>
      </c>
      <c r="AN231" s="80" t="str">
        <f>IF(AI231="","",$AN$2)</f>
        <v>C</v>
      </c>
      <c r="AO231" s="80" t="str">
        <f>IF(N231="","",IF(N231&gt;=$AO$1/100,"O","X"))</f>
        <v>X</v>
      </c>
      <c r="AP231" s="80" t="str">
        <f>IF(I231="","",IF(I231&lt;=$AP$1,"O","X"))</f>
        <v>O</v>
      </c>
      <c r="AQ231" s="80" t="str">
        <f>IF(O231="","",IF(O231&lt;=$AQ$1,"O","X"))</f>
        <v>X</v>
      </c>
      <c r="AR231" s="80" t="str">
        <f>IF(M231="","",IF(M231&lt;=$AR$1,"O","X"))</f>
        <v>X</v>
      </c>
      <c r="AS231" s="80" t="s">
        <v>2</v>
      </c>
      <c r="AT231" s="80" t="str">
        <f>IF(OR(F231="",AI231=""),"",IF(AND((F231&lt;=85),(AI231&gt;=15)),"O","X"))</f>
        <v>O</v>
      </c>
      <c r="AU231" s="80" t="str">
        <f>IF(C231="","",IF(C231&gt;=$AU$1,"O","X"))</f>
        <v>O</v>
      </c>
      <c r="AV231" s="80" t="str">
        <f>IF(AO231="","",IF(AND(AO231="O",AP231="O",AR231="O",AT231="O",AU231="O"),"후보","X"))</f>
        <v>X</v>
      </c>
    </row>
    <row r="232" spans="1:48" s="37" customFormat="1" ht="12" x14ac:dyDescent="0.3">
      <c r="A232" s="75" t="s">
        <v>1289</v>
      </c>
      <c r="B232" s="76" t="s">
        <v>1290</v>
      </c>
      <c r="C232" s="86">
        <v>417</v>
      </c>
      <c r="D232" s="87">
        <v>112.7</v>
      </c>
      <c r="E232" s="88">
        <v>34</v>
      </c>
      <c r="F232" s="87">
        <v>85</v>
      </c>
      <c r="G232" s="17">
        <v>26</v>
      </c>
      <c r="H232" s="89">
        <v>66</v>
      </c>
      <c r="I232" s="90">
        <v>43000</v>
      </c>
      <c r="J232" s="90" t="s">
        <v>68</v>
      </c>
      <c r="K232" s="90"/>
      <c r="L232" s="90"/>
      <c r="M232" s="91">
        <f>I232-K232</f>
        <v>43000</v>
      </c>
      <c r="N232" s="4">
        <f>IF(ISERROR(K232/I232),"",K232/I232)</f>
        <v>0</v>
      </c>
      <c r="O232" s="92">
        <f>I232/E232</f>
        <v>1264.7058823529412</v>
      </c>
      <c r="P232" s="92">
        <f>K232/E232</f>
        <v>0</v>
      </c>
      <c r="Q232" s="80">
        <v>3</v>
      </c>
      <c r="R232" s="80">
        <v>2</v>
      </c>
      <c r="S232" s="80" t="s">
        <v>61</v>
      </c>
      <c r="T232" s="5" t="s">
        <v>114</v>
      </c>
      <c r="U232" s="9"/>
      <c r="W232" s="87">
        <f t="shared" si="177"/>
        <v>112.7</v>
      </c>
      <c r="X232" s="88">
        <f t="shared" si="177"/>
        <v>34</v>
      </c>
      <c r="Y232" s="93">
        <f t="shared" si="178"/>
        <v>66</v>
      </c>
      <c r="Z232" s="91">
        <f t="shared" si="178"/>
        <v>43000</v>
      </c>
      <c r="AA232" s="91">
        <f>K232</f>
        <v>0</v>
      </c>
      <c r="AB232" s="91">
        <f t="shared" si="179"/>
        <v>43000</v>
      </c>
      <c r="AC232" s="4">
        <f t="shared" si="179"/>
        <v>0</v>
      </c>
      <c r="AD232" s="92">
        <f t="shared" si="179"/>
        <v>1264.7058823529412</v>
      </c>
      <c r="AE232" s="80" t="str">
        <f>S232</f>
        <v>계</v>
      </c>
      <c r="AF232" s="80" t="str">
        <f>Q232&amp;"/"&amp;R232</f>
        <v>3/2</v>
      </c>
      <c r="AH232" s="20" t="str">
        <f t="shared" si="150"/>
        <v>주성동 율량5단지선광로즈웰2차</v>
      </c>
      <c r="AI232" s="88">
        <f t="shared" si="151"/>
        <v>34</v>
      </c>
      <c r="AJ232" s="80" t="str">
        <f>IF(AI232="","",$AJ$2)</f>
        <v>A-</v>
      </c>
      <c r="AK232" s="80" t="s">
        <v>13</v>
      </c>
      <c r="AL232" s="80" t="s">
        <v>62</v>
      </c>
      <c r="AM232" s="80" t="s">
        <v>63</v>
      </c>
      <c r="AN232" s="80" t="str">
        <f>IF(AI232="","",$AN$2)</f>
        <v>C</v>
      </c>
      <c r="AO232" s="80" t="str">
        <f>IF(N232="","",IF(N232&gt;=$AO$1/100,"O","X"))</f>
        <v>X</v>
      </c>
      <c r="AP232" s="80" t="str">
        <f>IF(I232="","",IF(I232&lt;=$AP$1,"O","X"))</f>
        <v>O</v>
      </c>
      <c r="AQ232" s="80" t="str">
        <f>IF(O232="","",IF(O232&lt;=$AQ$1,"O","X"))</f>
        <v>X</v>
      </c>
      <c r="AR232" s="80" t="str">
        <f>IF(M232="","",IF(M232&lt;=$AR$1,"O","X"))</f>
        <v>X</v>
      </c>
      <c r="AS232" s="80" t="s">
        <v>2</v>
      </c>
      <c r="AT232" s="80" t="str">
        <f>IF(OR(F232="",AI232=""),"",IF(AND((F232&lt;=85),(AI232&gt;=15)),"O","X"))</f>
        <v>O</v>
      </c>
      <c r="AU232" s="80" t="str">
        <f>IF(C232="","",IF(C232&gt;=$AU$1,"O","X"))</f>
        <v>O</v>
      </c>
      <c r="AV232" s="80" t="str">
        <f>IF(AO232="","",IF(AND(AO232="O",AP232="O",AR232="O",AT232="O",AU232="O"),"후보","X"))</f>
        <v>X</v>
      </c>
    </row>
    <row r="233" spans="1:48" s="37" customFormat="1" ht="12" x14ac:dyDescent="0.3">
      <c r="A233" s="75" t="s">
        <v>1291</v>
      </c>
      <c r="B233" s="76" t="s">
        <v>1292</v>
      </c>
      <c r="C233" s="86">
        <v>903</v>
      </c>
      <c r="D233" s="87">
        <v>108.8</v>
      </c>
      <c r="E233" s="88">
        <v>33</v>
      </c>
      <c r="F233" s="87">
        <v>84.8</v>
      </c>
      <c r="G233" s="17">
        <v>26</v>
      </c>
      <c r="H233" s="89">
        <v>475</v>
      </c>
      <c r="I233" s="90">
        <v>46000</v>
      </c>
      <c r="J233" s="90" t="s">
        <v>67</v>
      </c>
      <c r="K233" s="90">
        <v>35000</v>
      </c>
      <c r="L233" s="90" t="s">
        <v>59</v>
      </c>
      <c r="M233" s="91">
        <f>I233-K233</f>
        <v>11000</v>
      </c>
      <c r="N233" s="4">
        <f>IF(ISERROR(K233/I233),"",K233/I233)</f>
        <v>0.76086956521739135</v>
      </c>
      <c r="O233" s="92">
        <f>I233/E233</f>
        <v>1393.939393939394</v>
      </c>
      <c r="P233" s="92">
        <f>K233/E233</f>
        <v>1060.6060606060605</v>
      </c>
      <c r="Q233" s="80">
        <v>3</v>
      </c>
      <c r="R233" s="80">
        <v>2</v>
      </c>
      <c r="S233" s="80" t="s">
        <v>61</v>
      </c>
      <c r="T233" s="5" t="s">
        <v>105</v>
      </c>
      <c r="U233" s="9"/>
      <c r="W233" s="87">
        <f t="shared" si="177"/>
        <v>108.8</v>
      </c>
      <c r="X233" s="88">
        <f t="shared" si="177"/>
        <v>33</v>
      </c>
      <c r="Y233" s="93">
        <f t="shared" si="178"/>
        <v>475</v>
      </c>
      <c r="Z233" s="91">
        <f t="shared" si="178"/>
        <v>46000</v>
      </c>
      <c r="AA233" s="91">
        <f>K233</f>
        <v>35000</v>
      </c>
      <c r="AB233" s="91">
        <f t="shared" si="179"/>
        <v>11000</v>
      </c>
      <c r="AC233" s="4">
        <f t="shared" si="179"/>
        <v>0.76086956521739135</v>
      </c>
      <c r="AD233" s="92">
        <f t="shared" si="179"/>
        <v>1393.939393939394</v>
      </c>
      <c r="AE233" s="80" t="str">
        <f>S233</f>
        <v>계</v>
      </c>
      <c r="AF233" s="80" t="str">
        <f>Q233&amp;"/"&amp;R233</f>
        <v>3/2</v>
      </c>
      <c r="AH233" s="20" t="str">
        <f t="shared" si="150"/>
        <v>주성동 대원칸타빌1차</v>
      </c>
      <c r="AI233" s="88">
        <f t="shared" si="151"/>
        <v>33</v>
      </c>
      <c r="AJ233" s="80" t="str">
        <f>IF(AI233="","",$AJ$2)</f>
        <v>A-</v>
      </c>
      <c r="AK233" s="80" t="s">
        <v>13</v>
      </c>
      <c r="AL233" s="80" t="s">
        <v>62</v>
      </c>
      <c r="AM233" s="80" t="s">
        <v>63</v>
      </c>
      <c r="AN233" s="80" t="str">
        <f>IF(AI233="","",$AN$2)</f>
        <v>C</v>
      </c>
      <c r="AO233" s="80" t="str">
        <f>IF(N233="","",IF(N233&gt;=$AO$1/100,"O","X"))</f>
        <v>X</v>
      </c>
      <c r="AP233" s="80" t="str">
        <f>IF(I233="","",IF(I233&lt;=$AP$1,"O","X"))</f>
        <v>X</v>
      </c>
      <c r="AQ233" s="80" t="str">
        <f>IF(O233="","",IF(O233&lt;=$AQ$1,"O","X"))</f>
        <v>X</v>
      </c>
      <c r="AR233" s="80" t="str">
        <f>IF(M233="","",IF(M233&lt;=$AR$1,"O","X"))</f>
        <v>X</v>
      </c>
      <c r="AS233" s="80" t="s">
        <v>2</v>
      </c>
      <c r="AT233" s="80" t="str">
        <f>IF(OR(F233="",AI233=""),"",IF(AND((F233&lt;=85),(AI233&gt;=15)),"O","X"))</f>
        <v>O</v>
      </c>
      <c r="AU233" s="80" t="str">
        <f>IF(C233="","",IF(C233&gt;=$AU$1,"O","X"))</f>
        <v>O</v>
      </c>
      <c r="AV233" s="80" t="str">
        <f>IF(AO233="","",IF(AND(AO233="O",AP233="O",AR233="O",AT233="O",AU233="O"),"후보","X"))</f>
        <v>X</v>
      </c>
    </row>
    <row r="234" spans="1:48" s="37" customFormat="1" ht="12" x14ac:dyDescent="0.3">
      <c r="A234" s="75" t="s">
        <v>1293</v>
      </c>
      <c r="B234" s="76" t="s">
        <v>1294</v>
      </c>
      <c r="C234" s="86">
        <v>903</v>
      </c>
      <c r="D234" s="87">
        <v>108.8</v>
      </c>
      <c r="E234" s="88">
        <v>33</v>
      </c>
      <c r="F234" s="87">
        <v>84.5</v>
      </c>
      <c r="G234" s="17">
        <v>26</v>
      </c>
      <c r="H234" s="89">
        <v>190</v>
      </c>
      <c r="I234" s="90">
        <v>45000</v>
      </c>
      <c r="J234" s="90" t="s">
        <v>64</v>
      </c>
      <c r="K234" s="90"/>
      <c r="L234" s="90"/>
      <c r="M234" s="91">
        <f>I234-K234</f>
        <v>45000</v>
      </c>
      <c r="N234" s="4">
        <f>IF(ISERROR(K234/I234),"",K234/I234)</f>
        <v>0</v>
      </c>
      <c r="O234" s="92">
        <f>I234/E234</f>
        <v>1363.6363636363637</v>
      </c>
      <c r="P234" s="92">
        <f>K234/E234</f>
        <v>0</v>
      </c>
      <c r="Q234" s="80">
        <v>3</v>
      </c>
      <c r="R234" s="80">
        <v>2</v>
      </c>
      <c r="S234" s="80" t="s">
        <v>61</v>
      </c>
      <c r="T234" s="5" t="s">
        <v>860</v>
      </c>
      <c r="U234" s="9"/>
      <c r="W234" s="87">
        <f t="shared" si="177"/>
        <v>108.8</v>
      </c>
      <c r="X234" s="88">
        <f t="shared" si="177"/>
        <v>33</v>
      </c>
      <c r="Y234" s="93">
        <f t="shared" si="178"/>
        <v>190</v>
      </c>
      <c r="Z234" s="91">
        <f t="shared" si="178"/>
        <v>45000</v>
      </c>
      <c r="AA234" s="91">
        <f>K234</f>
        <v>0</v>
      </c>
      <c r="AB234" s="91">
        <f t="shared" si="179"/>
        <v>45000</v>
      </c>
      <c r="AC234" s="4">
        <f t="shared" si="179"/>
        <v>0</v>
      </c>
      <c r="AD234" s="92">
        <f t="shared" si="179"/>
        <v>1363.6363636363637</v>
      </c>
      <c r="AE234" s="80" t="str">
        <f>S234</f>
        <v>계</v>
      </c>
      <c r="AF234" s="80" t="str">
        <f>Q234&amp;"/"&amp;R234</f>
        <v>3/2</v>
      </c>
      <c r="AH234" s="20" t="str">
        <f t="shared" si="150"/>
        <v>주성동 대원칸타빌1차</v>
      </c>
      <c r="AI234" s="88">
        <f t="shared" si="151"/>
        <v>33</v>
      </c>
      <c r="AJ234" s="80" t="str">
        <f>IF(AI234="","",$AJ$2)</f>
        <v>A-</v>
      </c>
      <c r="AK234" s="80" t="s">
        <v>13</v>
      </c>
      <c r="AL234" s="80" t="s">
        <v>62</v>
      </c>
      <c r="AM234" s="80" t="s">
        <v>63</v>
      </c>
      <c r="AN234" s="80" t="str">
        <f>IF(AI234="","",$AN$2)</f>
        <v>C</v>
      </c>
      <c r="AO234" s="80" t="str">
        <f>IF(N234="","",IF(N234&gt;=$AO$1/100,"O","X"))</f>
        <v>X</v>
      </c>
      <c r="AP234" s="80" t="str">
        <f>IF(I234="","",IF(I234&lt;=$AP$1,"O","X"))</f>
        <v>O</v>
      </c>
      <c r="AQ234" s="80" t="str">
        <f>IF(O234="","",IF(O234&lt;=$AQ$1,"O","X"))</f>
        <v>X</v>
      </c>
      <c r="AR234" s="80" t="str">
        <f>IF(M234="","",IF(M234&lt;=$AR$1,"O","X"))</f>
        <v>X</v>
      </c>
      <c r="AS234" s="80" t="s">
        <v>2</v>
      </c>
      <c r="AT234" s="80" t="str">
        <f>IF(OR(F234="",AI234=""),"",IF(AND((F234&lt;=85),(AI234&gt;=15)),"O","X"))</f>
        <v>O</v>
      </c>
      <c r="AU234" s="80" t="str">
        <f>IF(C234="","",IF(C234&gt;=$AU$1,"O","X"))</f>
        <v>O</v>
      </c>
      <c r="AV234" s="80" t="str">
        <f>IF(AO234="","",IF(AND(AO234="O",AP234="O",AR234="O",AT234="O",AU234="O"),"후보","X"))</f>
        <v>X</v>
      </c>
    </row>
    <row r="235" spans="1:48" s="37" customFormat="1" ht="12" x14ac:dyDescent="0.3">
      <c r="A235" s="75" t="s">
        <v>1295</v>
      </c>
      <c r="B235" s="76" t="s">
        <v>1292</v>
      </c>
      <c r="C235" s="86">
        <v>903</v>
      </c>
      <c r="D235" s="87">
        <v>109.4</v>
      </c>
      <c r="E235" s="88">
        <v>33</v>
      </c>
      <c r="F235" s="87">
        <v>84.4</v>
      </c>
      <c r="G235" s="17">
        <v>26</v>
      </c>
      <c r="H235" s="89">
        <v>238</v>
      </c>
      <c r="I235" s="90">
        <v>45000</v>
      </c>
      <c r="J235" s="90" t="s">
        <v>73</v>
      </c>
      <c r="K235" s="90"/>
      <c r="L235" s="90"/>
      <c r="M235" s="91">
        <f>I235-K235</f>
        <v>45000</v>
      </c>
      <c r="N235" s="4">
        <f>IF(ISERROR(K235/I235),"",K235/I235)</f>
        <v>0</v>
      </c>
      <c r="O235" s="92">
        <f>I235/E235</f>
        <v>1363.6363636363637</v>
      </c>
      <c r="P235" s="92">
        <f>K235/E235</f>
        <v>0</v>
      </c>
      <c r="Q235" s="80">
        <v>3</v>
      </c>
      <c r="R235" s="80">
        <v>2</v>
      </c>
      <c r="S235" s="80" t="s">
        <v>61</v>
      </c>
      <c r="T235" s="5" t="s">
        <v>861</v>
      </c>
      <c r="U235" s="9"/>
      <c r="W235" s="87">
        <f t="shared" si="177"/>
        <v>109.4</v>
      </c>
      <c r="X235" s="88">
        <f t="shared" si="177"/>
        <v>33</v>
      </c>
      <c r="Y235" s="93">
        <f t="shared" si="178"/>
        <v>238</v>
      </c>
      <c r="Z235" s="91">
        <f t="shared" si="178"/>
        <v>45000</v>
      </c>
      <c r="AA235" s="91">
        <f>K235</f>
        <v>0</v>
      </c>
      <c r="AB235" s="91">
        <f t="shared" si="179"/>
        <v>45000</v>
      </c>
      <c r="AC235" s="4">
        <f t="shared" si="179"/>
        <v>0</v>
      </c>
      <c r="AD235" s="92">
        <f t="shared" si="179"/>
        <v>1363.6363636363637</v>
      </c>
      <c r="AE235" s="80" t="str">
        <f>S235</f>
        <v>계</v>
      </c>
      <c r="AF235" s="80" t="str">
        <f>Q235&amp;"/"&amp;R235</f>
        <v>3/2</v>
      </c>
      <c r="AH235" s="20" t="str">
        <f t="shared" si="150"/>
        <v>주성동 대원칸타빌1차</v>
      </c>
      <c r="AI235" s="88">
        <f t="shared" si="151"/>
        <v>33</v>
      </c>
      <c r="AJ235" s="80" t="str">
        <f>IF(AI235="","",$AJ$2)</f>
        <v>A-</v>
      </c>
      <c r="AK235" s="80" t="s">
        <v>13</v>
      </c>
      <c r="AL235" s="80" t="s">
        <v>62</v>
      </c>
      <c r="AM235" s="80" t="s">
        <v>63</v>
      </c>
      <c r="AN235" s="80" t="str">
        <f>IF(AI235="","",$AN$2)</f>
        <v>C</v>
      </c>
      <c r="AO235" s="80" t="str">
        <f>IF(N235="","",IF(N235&gt;=$AO$1/100,"O","X"))</f>
        <v>X</v>
      </c>
      <c r="AP235" s="80" t="str">
        <f>IF(I235="","",IF(I235&lt;=$AP$1,"O","X"))</f>
        <v>O</v>
      </c>
      <c r="AQ235" s="80" t="str">
        <f>IF(O235="","",IF(O235&lt;=$AQ$1,"O","X"))</f>
        <v>X</v>
      </c>
      <c r="AR235" s="80" t="str">
        <f>IF(M235="","",IF(M235&lt;=$AR$1,"O","X"))</f>
        <v>X</v>
      </c>
      <c r="AS235" s="80" t="s">
        <v>2</v>
      </c>
      <c r="AT235" s="80" t="str">
        <f>IF(OR(F235="",AI235=""),"",IF(AND((F235&lt;=85),(AI235&gt;=15)),"O","X"))</f>
        <v>O</v>
      </c>
      <c r="AU235" s="80" t="str">
        <f>IF(C235="","",IF(C235&gt;=$AU$1,"O","X"))</f>
        <v>O</v>
      </c>
      <c r="AV235" s="80" t="str">
        <f>IF(AO235="","",IF(AND(AO235="O",AP235="O",AR235="O",AT235="O",AU235="O"),"후보","X"))</f>
        <v>X</v>
      </c>
    </row>
    <row r="236" spans="1:48" s="37" customFormat="1" ht="12" x14ac:dyDescent="0.3">
      <c r="A236" s="75" t="s">
        <v>1296</v>
      </c>
      <c r="B236" s="76" t="s">
        <v>1297</v>
      </c>
      <c r="C236" s="86">
        <v>789</v>
      </c>
      <c r="D236" s="87">
        <v>109.9</v>
      </c>
      <c r="E236" s="88">
        <v>33</v>
      </c>
      <c r="F236" s="87">
        <v>84.8</v>
      </c>
      <c r="G236" s="17">
        <v>26</v>
      </c>
      <c r="H236" s="89">
        <v>168</v>
      </c>
      <c r="I236" s="90">
        <v>51500</v>
      </c>
      <c r="J236" s="90" t="s">
        <v>66</v>
      </c>
      <c r="K236" s="90">
        <v>38000</v>
      </c>
      <c r="L236" s="90" t="s">
        <v>68</v>
      </c>
      <c r="M236" s="91">
        <f>I236-K236</f>
        <v>13500</v>
      </c>
      <c r="N236" s="4">
        <f>IF(ISERROR(K236/I236),"",K236/I236)</f>
        <v>0.73786407766990292</v>
      </c>
      <c r="O236" s="92">
        <f>I236/E236</f>
        <v>1560.6060606060605</v>
      </c>
      <c r="P236" s="92">
        <f>K236/E236</f>
        <v>1151.5151515151515</v>
      </c>
      <c r="Q236" s="80">
        <v>3</v>
      </c>
      <c r="R236" s="80">
        <v>2</v>
      </c>
      <c r="S236" s="80" t="s">
        <v>61</v>
      </c>
      <c r="T236" s="5" t="s">
        <v>90</v>
      </c>
      <c r="U236" s="9"/>
      <c r="W236" s="87">
        <f t="shared" si="177"/>
        <v>109.9</v>
      </c>
      <c r="X236" s="88">
        <f t="shared" si="177"/>
        <v>33</v>
      </c>
      <c r="Y236" s="93">
        <f t="shared" si="178"/>
        <v>168</v>
      </c>
      <c r="Z236" s="91">
        <f t="shared" si="178"/>
        <v>51500</v>
      </c>
      <c r="AA236" s="91">
        <f>K236</f>
        <v>38000</v>
      </c>
      <c r="AB236" s="91">
        <f t="shared" si="179"/>
        <v>13500</v>
      </c>
      <c r="AC236" s="4">
        <f t="shared" si="179"/>
        <v>0.73786407766990292</v>
      </c>
      <c r="AD236" s="92">
        <f t="shared" si="179"/>
        <v>1560.6060606060605</v>
      </c>
      <c r="AE236" s="80" t="str">
        <f>S236</f>
        <v>계</v>
      </c>
      <c r="AF236" s="80" t="str">
        <f>Q236&amp;"/"&amp;R236</f>
        <v>3/2</v>
      </c>
      <c r="AH236" s="20" t="str">
        <f t="shared" si="150"/>
        <v>주성동 대원칸타빌3차</v>
      </c>
      <c r="AI236" s="88">
        <f t="shared" si="151"/>
        <v>33</v>
      </c>
      <c r="AJ236" s="80" t="str">
        <f>IF(AI236="","",$AJ$2)</f>
        <v>A-</v>
      </c>
      <c r="AK236" s="80" t="s">
        <v>13</v>
      </c>
      <c r="AL236" s="80" t="s">
        <v>62</v>
      </c>
      <c r="AM236" s="80" t="s">
        <v>63</v>
      </c>
      <c r="AN236" s="80" t="str">
        <f>IF(AI236="","",$AN$2)</f>
        <v>C</v>
      </c>
      <c r="AO236" s="80" t="str">
        <f>IF(N236="","",IF(N236&gt;=$AO$1/100,"O","X"))</f>
        <v>X</v>
      </c>
      <c r="AP236" s="80" t="str">
        <f>IF(I236="","",IF(I236&lt;=$AP$1,"O","X"))</f>
        <v>X</v>
      </c>
      <c r="AQ236" s="80" t="str">
        <f>IF(O236="","",IF(O236&lt;=$AQ$1,"O","X"))</f>
        <v>X</v>
      </c>
      <c r="AR236" s="80" t="str">
        <f>IF(M236="","",IF(M236&lt;=$AR$1,"O","X"))</f>
        <v>X</v>
      </c>
      <c r="AS236" s="80" t="s">
        <v>2</v>
      </c>
      <c r="AT236" s="80" t="str">
        <f>IF(OR(F236="",AI236=""),"",IF(AND((F236&lt;=85),(AI236&gt;=15)),"O","X"))</f>
        <v>O</v>
      </c>
      <c r="AU236" s="80" t="str">
        <f>IF(C236="","",IF(C236&gt;=$AU$1,"O","X"))</f>
        <v>O</v>
      </c>
      <c r="AV236" s="80" t="str">
        <f>IF(AO236="","",IF(AND(AO236="O",AP236="O",AR236="O",AT236="O",AU236="O"),"후보","X"))</f>
        <v>X</v>
      </c>
    </row>
    <row r="237" spans="1:48" s="37" customFormat="1" ht="12" x14ac:dyDescent="0.3">
      <c r="A237" s="75" t="s">
        <v>1296</v>
      </c>
      <c r="B237" s="76" t="s">
        <v>1297</v>
      </c>
      <c r="C237" s="86">
        <v>789</v>
      </c>
      <c r="D237" s="87">
        <v>109.9</v>
      </c>
      <c r="E237" s="88">
        <v>33</v>
      </c>
      <c r="F237" s="87">
        <v>84.4</v>
      </c>
      <c r="G237" s="17">
        <v>26</v>
      </c>
      <c r="H237" s="89">
        <v>118</v>
      </c>
      <c r="I237" s="90">
        <v>50000</v>
      </c>
      <c r="J237" s="90" t="s">
        <v>952</v>
      </c>
      <c r="K237" s="90"/>
      <c r="L237" s="90"/>
      <c r="M237" s="91">
        <f>I237-K237</f>
        <v>50000</v>
      </c>
      <c r="N237" s="4">
        <f>IF(ISERROR(K237/I237),"",K237/I237)</f>
        <v>0</v>
      </c>
      <c r="O237" s="92">
        <f>I237/E237</f>
        <v>1515.1515151515152</v>
      </c>
      <c r="P237" s="92">
        <f>K237/E237</f>
        <v>0</v>
      </c>
      <c r="Q237" s="80">
        <v>3</v>
      </c>
      <c r="R237" s="80">
        <v>2</v>
      </c>
      <c r="S237" s="80" t="s">
        <v>61</v>
      </c>
      <c r="T237" s="5" t="s">
        <v>867</v>
      </c>
      <c r="U237" s="9"/>
      <c r="W237" s="87">
        <f t="shared" si="177"/>
        <v>109.9</v>
      </c>
      <c r="X237" s="88">
        <f t="shared" si="177"/>
        <v>33</v>
      </c>
      <c r="Y237" s="93">
        <f t="shared" si="178"/>
        <v>118</v>
      </c>
      <c r="Z237" s="91">
        <f t="shared" si="178"/>
        <v>50000</v>
      </c>
      <c r="AA237" s="91">
        <f>K237</f>
        <v>0</v>
      </c>
      <c r="AB237" s="91">
        <f t="shared" si="179"/>
        <v>50000</v>
      </c>
      <c r="AC237" s="4">
        <f t="shared" si="179"/>
        <v>0</v>
      </c>
      <c r="AD237" s="92">
        <f t="shared" si="179"/>
        <v>1515.1515151515152</v>
      </c>
      <c r="AE237" s="80" t="str">
        <f>S237</f>
        <v>계</v>
      </c>
      <c r="AF237" s="80" t="str">
        <f>Q237&amp;"/"&amp;R237</f>
        <v>3/2</v>
      </c>
      <c r="AH237" s="20" t="str">
        <f t="shared" si="150"/>
        <v>주성동 대원칸타빌3차</v>
      </c>
      <c r="AI237" s="88">
        <f t="shared" si="151"/>
        <v>33</v>
      </c>
      <c r="AJ237" s="80" t="str">
        <f>IF(AI237="","",$AJ$2)</f>
        <v>A-</v>
      </c>
      <c r="AK237" s="80" t="s">
        <v>13</v>
      </c>
      <c r="AL237" s="80" t="s">
        <v>62</v>
      </c>
      <c r="AM237" s="80" t="s">
        <v>63</v>
      </c>
      <c r="AN237" s="80" t="str">
        <f>IF(AI237="","",$AN$2)</f>
        <v>C</v>
      </c>
      <c r="AO237" s="80" t="str">
        <f>IF(N237="","",IF(N237&gt;=$AO$1/100,"O","X"))</f>
        <v>X</v>
      </c>
      <c r="AP237" s="80" t="str">
        <f>IF(I237="","",IF(I237&lt;=$AP$1,"O","X"))</f>
        <v>X</v>
      </c>
      <c r="AQ237" s="80" t="str">
        <f>IF(O237="","",IF(O237&lt;=$AQ$1,"O","X"))</f>
        <v>X</v>
      </c>
      <c r="AR237" s="80" t="str">
        <f>IF(M237="","",IF(M237&lt;=$AR$1,"O","X"))</f>
        <v>X</v>
      </c>
      <c r="AS237" s="80" t="s">
        <v>2</v>
      </c>
      <c r="AT237" s="80" t="str">
        <f>IF(OR(F237="",AI237=""),"",IF(AND((F237&lt;=85),(AI237&gt;=15)),"O","X"))</f>
        <v>O</v>
      </c>
      <c r="AU237" s="80" t="str">
        <f>IF(C237="","",IF(C237&gt;=$AU$1,"O","X"))</f>
        <v>O</v>
      </c>
      <c r="AV237" s="80" t="str">
        <f>IF(AO237="","",IF(AND(AO237="O",AP237="O",AR237="O",AT237="O",AU237="O"),"후보","X"))</f>
        <v>X</v>
      </c>
    </row>
    <row r="238" spans="1:48" s="37" customFormat="1" ht="12" x14ac:dyDescent="0.3">
      <c r="A238" s="75" t="s">
        <v>1296</v>
      </c>
      <c r="B238" s="76" t="s">
        <v>1078</v>
      </c>
      <c r="C238" s="86">
        <v>789</v>
      </c>
      <c r="D238" s="87">
        <v>111.2</v>
      </c>
      <c r="E238" s="88">
        <v>34</v>
      </c>
      <c r="F238" s="87">
        <v>85</v>
      </c>
      <c r="G238" s="17">
        <v>26</v>
      </c>
      <c r="H238" s="89">
        <v>94</v>
      </c>
      <c r="I238" s="90">
        <v>49000</v>
      </c>
      <c r="J238" s="90" t="s">
        <v>69</v>
      </c>
      <c r="K238" s="90">
        <v>38000</v>
      </c>
      <c r="L238" s="90" t="s">
        <v>69</v>
      </c>
      <c r="M238" s="91">
        <f>I238-K238</f>
        <v>11000</v>
      </c>
      <c r="N238" s="4">
        <f>IF(ISERROR(K238/I238),"",K238/I238)</f>
        <v>0.77551020408163263</v>
      </c>
      <c r="O238" s="92">
        <f>I238/E238</f>
        <v>1441.1764705882354</v>
      </c>
      <c r="P238" s="92">
        <f>K238/E238</f>
        <v>1117.6470588235295</v>
      </c>
      <c r="Q238" s="80">
        <v>3</v>
      </c>
      <c r="R238" s="80">
        <v>2</v>
      </c>
      <c r="S238" s="80" t="s">
        <v>61</v>
      </c>
      <c r="T238" s="5" t="s">
        <v>664</v>
      </c>
      <c r="U238" s="9"/>
      <c r="W238" s="87">
        <f t="shared" si="177"/>
        <v>111.2</v>
      </c>
      <c r="X238" s="88">
        <f t="shared" si="177"/>
        <v>34</v>
      </c>
      <c r="Y238" s="93">
        <f t="shared" si="178"/>
        <v>94</v>
      </c>
      <c r="Z238" s="91">
        <f t="shared" si="178"/>
        <v>49000</v>
      </c>
      <c r="AA238" s="91">
        <f>K238</f>
        <v>38000</v>
      </c>
      <c r="AB238" s="91">
        <f t="shared" si="179"/>
        <v>11000</v>
      </c>
      <c r="AC238" s="4">
        <f t="shared" si="179"/>
        <v>0.77551020408163263</v>
      </c>
      <c r="AD238" s="92">
        <f t="shared" si="179"/>
        <v>1441.1764705882354</v>
      </c>
      <c r="AE238" s="80" t="str">
        <f>S238</f>
        <v>계</v>
      </c>
      <c r="AF238" s="80" t="str">
        <f>Q238&amp;"/"&amp;R238</f>
        <v>3/2</v>
      </c>
      <c r="AH238" s="20" t="str">
        <f t="shared" si="150"/>
        <v>주성동 대원칸타빌3차</v>
      </c>
      <c r="AI238" s="88">
        <f t="shared" si="151"/>
        <v>34</v>
      </c>
      <c r="AJ238" s="80" t="str">
        <f>IF(AI238="","",$AJ$2)</f>
        <v>A-</v>
      </c>
      <c r="AK238" s="80" t="s">
        <v>13</v>
      </c>
      <c r="AL238" s="80" t="s">
        <v>62</v>
      </c>
      <c r="AM238" s="80" t="s">
        <v>63</v>
      </c>
      <c r="AN238" s="80" t="str">
        <f>IF(AI238="","",$AN$2)</f>
        <v>C</v>
      </c>
      <c r="AO238" s="80" t="str">
        <f>IF(N238="","",IF(N238&gt;=$AO$1/100,"O","X"))</f>
        <v>X</v>
      </c>
      <c r="AP238" s="80" t="str">
        <f>IF(I238="","",IF(I238&lt;=$AP$1,"O","X"))</f>
        <v>X</v>
      </c>
      <c r="AQ238" s="80" t="str">
        <f>IF(O238="","",IF(O238&lt;=$AQ$1,"O","X"))</f>
        <v>X</v>
      </c>
      <c r="AR238" s="80" t="str">
        <f>IF(M238="","",IF(M238&lt;=$AR$1,"O","X"))</f>
        <v>X</v>
      </c>
      <c r="AS238" s="80" t="s">
        <v>2</v>
      </c>
      <c r="AT238" s="80" t="str">
        <f>IF(OR(F238="",AI238=""),"",IF(AND((F238&lt;=85),(AI238&gt;=15)),"O","X"))</f>
        <v>O</v>
      </c>
      <c r="AU238" s="80" t="str">
        <f>IF(C238="","",IF(C238&gt;=$AU$1,"O","X"))</f>
        <v>O</v>
      </c>
      <c r="AV238" s="80" t="str">
        <f>IF(AO238="","",IF(AND(AO238="O",AP238="O",AR238="O",AT238="O",AU238="O"),"후보","X"))</f>
        <v>X</v>
      </c>
    </row>
    <row r="239" spans="1:48" s="37" customFormat="1" ht="12" x14ac:dyDescent="0.3">
      <c r="A239" s="75" t="s">
        <v>1298</v>
      </c>
      <c r="B239" s="76" t="s">
        <v>1299</v>
      </c>
      <c r="C239" s="86">
        <v>789</v>
      </c>
      <c r="D239" s="87">
        <v>131.4</v>
      </c>
      <c r="E239" s="88">
        <v>40</v>
      </c>
      <c r="F239" s="87">
        <v>105.7</v>
      </c>
      <c r="G239" s="17">
        <v>32</v>
      </c>
      <c r="H239" s="89">
        <v>391</v>
      </c>
      <c r="I239" s="90">
        <v>62000</v>
      </c>
      <c r="J239" s="90" t="s">
        <v>68</v>
      </c>
      <c r="K239" s="90">
        <v>50000</v>
      </c>
      <c r="L239" s="90" t="s">
        <v>89</v>
      </c>
      <c r="M239" s="91">
        <f>I239-K239</f>
        <v>12000</v>
      </c>
      <c r="N239" s="4">
        <f>IF(ISERROR(K239/I239),"",K239/I239)</f>
        <v>0.80645161290322576</v>
      </c>
      <c r="O239" s="92">
        <f>I239/E239</f>
        <v>1550</v>
      </c>
      <c r="P239" s="92">
        <f>K239/E239</f>
        <v>1250</v>
      </c>
      <c r="Q239" s="80">
        <v>3</v>
      </c>
      <c r="R239" s="80">
        <v>2</v>
      </c>
      <c r="S239" s="80" t="s">
        <v>61</v>
      </c>
      <c r="T239" s="5">
        <v>131</v>
      </c>
      <c r="U239" s="9"/>
      <c r="W239" s="87">
        <f t="shared" si="177"/>
        <v>131.4</v>
      </c>
      <c r="X239" s="88">
        <f t="shared" si="177"/>
        <v>40</v>
      </c>
      <c r="Y239" s="93">
        <f t="shared" si="178"/>
        <v>391</v>
      </c>
      <c r="Z239" s="91">
        <f t="shared" si="178"/>
        <v>62000</v>
      </c>
      <c r="AA239" s="91">
        <f>K239</f>
        <v>50000</v>
      </c>
      <c r="AB239" s="91">
        <f t="shared" si="179"/>
        <v>12000</v>
      </c>
      <c r="AC239" s="4">
        <f t="shared" si="179"/>
        <v>0.80645161290322576</v>
      </c>
      <c r="AD239" s="92">
        <f t="shared" si="179"/>
        <v>1550</v>
      </c>
      <c r="AE239" s="80" t="str">
        <f>S239</f>
        <v>계</v>
      </c>
      <c r="AF239" s="80" t="str">
        <f>Q239&amp;"/"&amp;R239</f>
        <v>3/2</v>
      </c>
      <c r="AH239" s="20" t="str">
        <f t="shared" si="150"/>
        <v>주성동 대원칸타빌3차</v>
      </c>
      <c r="AI239" s="88">
        <f t="shared" si="151"/>
        <v>40</v>
      </c>
      <c r="AJ239" s="80" t="str">
        <f>IF(AI239="","",$AJ$2)</f>
        <v>A-</v>
      </c>
      <c r="AK239" s="80" t="s">
        <v>13</v>
      </c>
      <c r="AL239" s="80" t="s">
        <v>62</v>
      </c>
      <c r="AM239" s="80" t="s">
        <v>63</v>
      </c>
      <c r="AN239" s="80" t="str">
        <f>IF(AI239="","",$AN$2)</f>
        <v>C</v>
      </c>
      <c r="AO239" s="80" t="str">
        <f>IF(N239="","",IF(N239&gt;=$AO$1/100,"O","X"))</f>
        <v>O</v>
      </c>
      <c r="AP239" s="80" t="str">
        <f>IF(I239="","",IF(I239&lt;=$AP$1,"O","X"))</f>
        <v>X</v>
      </c>
      <c r="AQ239" s="80" t="str">
        <f>IF(O239="","",IF(O239&lt;=$AQ$1,"O","X"))</f>
        <v>X</v>
      </c>
      <c r="AR239" s="80" t="str">
        <f>IF(M239="","",IF(M239&lt;=$AR$1,"O","X"))</f>
        <v>X</v>
      </c>
      <c r="AS239" s="80" t="s">
        <v>2</v>
      </c>
      <c r="AT239" s="80" t="str">
        <f>IF(OR(F239="",AI239=""),"",IF(AND((F239&lt;=85),(AI239&gt;=15)),"O","X"))</f>
        <v>X</v>
      </c>
      <c r="AU239" s="80" t="str">
        <f>IF(C239="","",IF(C239&gt;=$AU$1,"O","X"))</f>
        <v>O</v>
      </c>
      <c r="AV239" s="80" t="str">
        <f>IF(AO239="","",IF(AND(AO239="O",AP239="O",AR239="O",AT239="O",AU239="O"),"후보","X"))</f>
        <v>X</v>
      </c>
    </row>
    <row r="240" spans="1:48" s="37" customFormat="1" ht="12" x14ac:dyDescent="0.3">
      <c r="A240" s="75" t="s">
        <v>1300</v>
      </c>
      <c r="B240" s="76" t="s">
        <v>1301</v>
      </c>
      <c r="C240" s="86">
        <v>789</v>
      </c>
      <c r="D240" s="87">
        <v>164.8</v>
      </c>
      <c r="E240" s="88">
        <v>50</v>
      </c>
      <c r="F240" s="87">
        <v>131.9</v>
      </c>
      <c r="G240" s="17">
        <v>40</v>
      </c>
      <c r="H240" s="89">
        <v>18</v>
      </c>
      <c r="I240" s="90"/>
      <c r="J240" s="90"/>
      <c r="K240" s="90"/>
      <c r="L240" s="90"/>
      <c r="M240" s="91">
        <f>I240-K240</f>
        <v>0</v>
      </c>
      <c r="N240" s="4" t="str">
        <f>IF(ISERROR(K240/I240),"",K240/I240)</f>
        <v/>
      </c>
      <c r="O240" s="92">
        <f>I240/E240</f>
        <v>0</v>
      </c>
      <c r="P240" s="92">
        <f>K240/E240</f>
        <v>0</v>
      </c>
      <c r="Q240" s="80">
        <v>5</v>
      </c>
      <c r="R240" s="80">
        <v>3</v>
      </c>
      <c r="S240" s="80" t="s">
        <v>61</v>
      </c>
      <c r="T240" s="5">
        <v>164</v>
      </c>
      <c r="U240" s="9"/>
      <c r="W240" s="87">
        <f t="shared" si="177"/>
        <v>164.8</v>
      </c>
      <c r="X240" s="88">
        <f t="shared" si="177"/>
        <v>50</v>
      </c>
      <c r="Y240" s="93">
        <f t="shared" si="178"/>
        <v>18</v>
      </c>
      <c r="Z240" s="91">
        <f t="shared" si="178"/>
        <v>0</v>
      </c>
      <c r="AA240" s="91">
        <f>K240</f>
        <v>0</v>
      </c>
      <c r="AB240" s="91">
        <f t="shared" si="179"/>
        <v>0</v>
      </c>
      <c r="AC240" s="4" t="str">
        <f t="shared" si="179"/>
        <v/>
      </c>
      <c r="AD240" s="92">
        <f t="shared" si="179"/>
        <v>0</v>
      </c>
      <c r="AE240" s="80" t="str">
        <f>S240</f>
        <v>계</v>
      </c>
      <c r="AF240" s="80" t="str">
        <f>Q240&amp;"/"&amp;R240</f>
        <v>5/3</v>
      </c>
      <c r="AH240" s="20" t="str">
        <f t="shared" si="150"/>
        <v>주성동 대원칸타빌3차</v>
      </c>
      <c r="AI240" s="88">
        <f t="shared" si="151"/>
        <v>50</v>
      </c>
      <c r="AJ240" s="80" t="str">
        <f>IF(AI240="","",$AJ$2)</f>
        <v>A-</v>
      </c>
      <c r="AK240" s="80" t="s">
        <v>13</v>
      </c>
      <c r="AL240" s="80" t="s">
        <v>62</v>
      </c>
      <c r="AM240" s="80" t="s">
        <v>63</v>
      </c>
      <c r="AN240" s="80" t="str">
        <f>IF(AI240="","",$AN$2)</f>
        <v>C</v>
      </c>
      <c r="AO240" s="80" t="str">
        <f>IF(N240="","",IF(N240&gt;=$AO$1/100,"O","X"))</f>
        <v/>
      </c>
      <c r="AP240" s="80" t="str">
        <f>IF(I240="","",IF(I240&lt;=$AP$1,"O","X"))</f>
        <v/>
      </c>
      <c r="AQ240" s="80" t="str">
        <f>IF(O240="","",IF(O240&lt;=$AQ$1,"O","X"))</f>
        <v>O</v>
      </c>
      <c r="AR240" s="80" t="str">
        <f>IF(M240="","",IF(M240&lt;=$AR$1,"O","X"))</f>
        <v>O</v>
      </c>
      <c r="AS240" s="80" t="s">
        <v>2</v>
      </c>
      <c r="AT240" s="80" t="str">
        <f>IF(OR(F240="",AI240=""),"",IF(AND((F240&lt;=85),(AI240&gt;=15)),"O","X"))</f>
        <v>X</v>
      </c>
      <c r="AU240" s="80" t="str">
        <f>IF(C240="","",IF(C240&gt;=$AU$1,"O","X"))</f>
        <v>O</v>
      </c>
      <c r="AV240" s="80" t="str">
        <f>IF(AO240="","",IF(AND(AO240="O",AP240="O",AR240="O",AT240="O",AU240="O"),"후보","X"))</f>
        <v/>
      </c>
    </row>
    <row r="241" spans="1:52" s="37" customFormat="1" ht="12" x14ac:dyDescent="0.3">
      <c r="A241" s="75" t="s">
        <v>1302</v>
      </c>
      <c r="B241" s="76" t="s">
        <v>1303</v>
      </c>
      <c r="C241" s="86">
        <v>780</v>
      </c>
      <c r="D241" s="87">
        <v>109.2</v>
      </c>
      <c r="E241" s="88">
        <v>33</v>
      </c>
      <c r="F241" s="87">
        <v>84.8</v>
      </c>
      <c r="G241" s="17">
        <v>26</v>
      </c>
      <c r="H241" s="89">
        <v>414</v>
      </c>
      <c r="I241" s="90">
        <v>45000</v>
      </c>
      <c r="J241" s="90" t="s">
        <v>69</v>
      </c>
      <c r="K241" s="90">
        <v>39000</v>
      </c>
      <c r="L241" s="90" t="s">
        <v>89</v>
      </c>
      <c r="M241" s="91">
        <f>I241-K241</f>
        <v>6000</v>
      </c>
      <c r="N241" s="4">
        <f>IF(ISERROR(K241/I241),"",K241/I241)</f>
        <v>0.8666666666666667</v>
      </c>
      <c r="O241" s="92">
        <f>I241/E241</f>
        <v>1363.6363636363637</v>
      </c>
      <c r="P241" s="92">
        <f>K241/E241</f>
        <v>1181.8181818181818</v>
      </c>
      <c r="Q241" s="80">
        <v>3</v>
      </c>
      <c r="R241" s="80">
        <v>2</v>
      </c>
      <c r="S241" s="80" t="s">
        <v>61</v>
      </c>
      <c r="T241" s="5" t="s">
        <v>90</v>
      </c>
      <c r="U241" s="9"/>
      <c r="W241" s="87">
        <f t="shared" si="177"/>
        <v>109.2</v>
      </c>
      <c r="X241" s="88">
        <f t="shared" si="177"/>
        <v>33</v>
      </c>
      <c r="Y241" s="93">
        <f t="shared" si="178"/>
        <v>414</v>
      </c>
      <c r="Z241" s="91">
        <f t="shared" si="178"/>
        <v>45000</v>
      </c>
      <c r="AA241" s="91">
        <f>K241</f>
        <v>39000</v>
      </c>
      <c r="AB241" s="91">
        <f t="shared" si="179"/>
        <v>6000</v>
      </c>
      <c r="AC241" s="4">
        <f t="shared" si="179"/>
        <v>0.8666666666666667</v>
      </c>
      <c r="AD241" s="92">
        <f t="shared" si="179"/>
        <v>1363.6363636363637</v>
      </c>
      <c r="AE241" s="80" t="str">
        <f>S241</f>
        <v>계</v>
      </c>
      <c r="AF241" s="80" t="str">
        <f>Q241&amp;"/"&amp;R241</f>
        <v>3/2</v>
      </c>
      <c r="AH241" s="20" t="str">
        <f>IF(A241="","",A241)</f>
        <v>주중동 대원칸타빌2차</v>
      </c>
      <c r="AI241" s="88">
        <f t="shared" si="151"/>
        <v>33</v>
      </c>
      <c r="AJ241" s="80" t="str">
        <f>IF(AI241="","",$AJ$2)</f>
        <v>A-</v>
      </c>
      <c r="AK241" s="80" t="s">
        <v>13</v>
      </c>
      <c r="AL241" s="80" t="s">
        <v>62</v>
      </c>
      <c r="AM241" s="80" t="s">
        <v>63</v>
      </c>
      <c r="AN241" s="80" t="str">
        <f>IF(AI241="","",$AN$2)</f>
        <v>C</v>
      </c>
      <c r="AO241" s="80" t="str">
        <f>IF(N241="","",IF(N241&gt;=$AO$1/100,"O","X"))</f>
        <v>O</v>
      </c>
      <c r="AP241" s="80" t="str">
        <f>IF(I241="","",IF(I241&lt;=$AP$1,"O","X"))</f>
        <v>O</v>
      </c>
      <c r="AQ241" s="80" t="str">
        <f>IF(O241="","",IF(O241&lt;=$AQ$1,"O","X"))</f>
        <v>X</v>
      </c>
      <c r="AR241" s="80" t="str">
        <f>IF(M241="","",IF(M241&lt;=$AR$1,"O","X"))</f>
        <v>O</v>
      </c>
      <c r="AS241" s="80" t="s">
        <v>2</v>
      </c>
      <c r="AT241" s="80" t="str">
        <f>IF(OR(F241="",AI241=""),"",IF(AND((F241&lt;=85),(AI241&gt;=15)),"O","X"))</f>
        <v>O</v>
      </c>
      <c r="AU241" s="80" t="str">
        <f>IF(C241="","",IF(C241&gt;=$AU$1,"O","X"))</f>
        <v>O</v>
      </c>
      <c r="AV241" s="80" t="str">
        <f>IF(AO241="","",IF(AND(AO241="O",AP241="O",AR241="O",AT241="O",AU241="O"),"후보","X"))</f>
        <v>후보</v>
      </c>
    </row>
    <row r="242" spans="1:52" s="37" customFormat="1" ht="12" x14ac:dyDescent="0.3">
      <c r="A242" s="75" t="s">
        <v>1302</v>
      </c>
      <c r="B242" s="76" t="s">
        <v>1303</v>
      </c>
      <c r="C242" s="86">
        <v>780</v>
      </c>
      <c r="D242" s="87">
        <v>109.9</v>
      </c>
      <c r="E242" s="88">
        <v>33</v>
      </c>
      <c r="F242" s="87">
        <v>84.4</v>
      </c>
      <c r="G242" s="17">
        <v>26</v>
      </c>
      <c r="H242" s="89">
        <v>207</v>
      </c>
      <c r="I242" s="90">
        <v>45000</v>
      </c>
      <c r="J242" s="90" t="s">
        <v>101</v>
      </c>
      <c r="K242" s="90"/>
      <c r="L242" s="90"/>
      <c r="M242" s="91">
        <f>I242-K242</f>
        <v>45000</v>
      </c>
      <c r="N242" s="4">
        <f>IF(ISERROR(K242/I242),"",K242/I242)</f>
        <v>0</v>
      </c>
      <c r="O242" s="92">
        <f>I242/E242</f>
        <v>1363.6363636363637</v>
      </c>
      <c r="P242" s="92">
        <f>K242/E242</f>
        <v>0</v>
      </c>
      <c r="Q242" s="80">
        <v>3</v>
      </c>
      <c r="R242" s="80">
        <v>2</v>
      </c>
      <c r="S242" s="80" t="s">
        <v>61</v>
      </c>
      <c r="T242" s="5" t="s">
        <v>861</v>
      </c>
      <c r="U242" s="9"/>
      <c r="W242" s="87">
        <f t="shared" si="177"/>
        <v>109.9</v>
      </c>
      <c r="X242" s="88">
        <f t="shared" si="177"/>
        <v>33</v>
      </c>
      <c r="Y242" s="93">
        <f t="shared" si="178"/>
        <v>207</v>
      </c>
      <c r="Z242" s="91">
        <f t="shared" si="178"/>
        <v>45000</v>
      </c>
      <c r="AA242" s="91">
        <f>K242</f>
        <v>0</v>
      </c>
      <c r="AB242" s="91">
        <f t="shared" si="179"/>
        <v>45000</v>
      </c>
      <c r="AC242" s="4">
        <f t="shared" si="179"/>
        <v>0</v>
      </c>
      <c r="AD242" s="92">
        <f t="shared" si="179"/>
        <v>1363.6363636363637</v>
      </c>
      <c r="AE242" s="80" t="str">
        <f>S242</f>
        <v>계</v>
      </c>
      <c r="AF242" s="80" t="str">
        <f>Q242&amp;"/"&amp;R242</f>
        <v>3/2</v>
      </c>
      <c r="AH242" s="20" t="str">
        <f>IF(A242="","",A242)</f>
        <v>주중동 대원칸타빌2차</v>
      </c>
      <c r="AI242" s="88">
        <f t="shared" si="151"/>
        <v>33</v>
      </c>
      <c r="AJ242" s="80" t="str">
        <f>IF(AI242="","",$AJ$2)</f>
        <v>A-</v>
      </c>
      <c r="AK242" s="80" t="s">
        <v>13</v>
      </c>
      <c r="AL242" s="80" t="s">
        <v>62</v>
      </c>
      <c r="AM242" s="80" t="s">
        <v>63</v>
      </c>
      <c r="AN242" s="80" t="str">
        <f>IF(AI242="","",$AN$2)</f>
        <v>C</v>
      </c>
      <c r="AO242" s="80" t="str">
        <f>IF(N242="","",IF(N242&gt;=$AO$1/100,"O","X"))</f>
        <v>X</v>
      </c>
      <c r="AP242" s="80" t="str">
        <f>IF(I242="","",IF(I242&lt;=$AP$1,"O","X"))</f>
        <v>O</v>
      </c>
      <c r="AQ242" s="80" t="str">
        <f>IF(O242="","",IF(O242&lt;=$AQ$1,"O","X"))</f>
        <v>X</v>
      </c>
      <c r="AR242" s="80" t="str">
        <f>IF(M242="","",IF(M242&lt;=$AR$1,"O","X"))</f>
        <v>X</v>
      </c>
      <c r="AS242" s="80" t="s">
        <v>2</v>
      </c>
      <c r="AT242" s="80" t="str">
        <f>IF(OR(F242="",AI242=""),"",IF(AND((F242&lt;=85),(AI242&gt;=15)),"O","X"))</f>
        <v>O</v>
      </c>
      <c r="AU242" s="80" t="str">
        <f>IF(C242="","",IF(C242&gt;=$AU$1,"O","X"))</f>
        <v>O</v>
      </c>
      <c r="AV242" s="80" t="str">
        <f>IF(AO242="","",IF(AND(AO242="O",AP242="O",AR242="O",AT242="O",AU242="O"),"후보","X"))</f>
        <v>X</v>
      </c>
    </row>
    <row r="243" spans="1:52" s="37" customFormat="1" ht="12" x14ac:dyDescent="0.3">
      <c r="A243" s="75" t="s">
        <v>1302</v>
      </c>
      <c r="B243" s="76" t="s">
        <v>1303</v>
      </c>
      <c r="C243" s="86">
        <v>780</v>
      </c>
      <c r="D243" s="87">
        <v>109.2</v>
      </c>
      <c r="E243" s="88">
        <v>33</v>
      </c>
      <c r="F243" s="87">
        <v>84.5</v>
      </c>
      <c r="G243" s="17">
        <v>26</v>
      </c>
      <c r="H243" s="89">
        <v>159</v>
      </c>
      <c r="I243" s="90">
        <v>46000</v>
      </c>
      <c r="J243" s="90" t="s">
        <v>89</v>
      </c>
      <c r="K243" s="90">
        <v>38000</v>
      </c>
      <c r="L243" s="90" t="s">
        <v>68</v>
      </c>
      <c r="M243" s="91">
        <f>I243-K243</f>
        <v>8000</v>
      </c>
      <c r="N243" s="4">
        <f>IF(ISERROR(K243/I243),"",K243/I243)</f>
        <v>0.82608695652173914</v>
      </c>
      <c r="O243" s="92">
        <f>I243/E243</f>
        <v>1393.939393939394</v>
      </c>
      <c r="P243" s="92">
        <f>K243/E243</f>
        <v>1151.5151515151515</v>
      </c>
      <c r="Q243" s="80">
        <v>3</v>
      </c>
      <c r="R243" s="80">
        <v>2</v>
      </c>
      <c r="S243" s="80" t="s">
        <v>61</v>
      </c>
      <c r="T243" s="5" t="s">
        <v>867</v>
      </c>
      <c r="U243" s="9"/>
      <c r="W243" s="87">
        <f t="shared" ref="W243:X243" si="180">D243</f>
        <v>109.2</v>
      </c>
      <c r="X243" s="88">
        <f t="shared" si="180"/>
        <v>33</v>
      </c>
      <c r="Y243" s="93">
        <f t="shared" ref="Y243:Z243" si="181">H243</f>
        <v>159</v>
      </c>
      <c r="Z243" s="91">
        <f t="shared" si="181"/>
        <v>46000</v>
      </c>
      <c r="AA243" s="91">
        <f>K243</f>
        <v>38000</v>
      </c>
      <c r="AB243" s="91">
        <f t="shared" ref="AB243:AD243" si="182">M243</f>
        <v>8000</v>
      </c>
      <c r="AC243" s="4">
        <f t="shared" si="182"/>
        <v>0.82608695652173914</v>
      </c>
      <c r="AD243" s="92">
        <f t="shared" si="182"/>
        <v>1393.939393939394</v>
      </c>
      <c r="AE243" s="80" t="str">
        <f>S243</f>
        <v>계</v>
      </c>
      <c r="AF243" s="80" t="str">
        <f>Q243&amp;"/"&amp;R243</f>
        <v>3/2</v>
      </c>
      <c r="AH243" s="20" t="str">
        <f>IF(A243="","",A243)</f>
        <v>주중동 대원칸타빌2차</v>
      </c>
      <c r="AI243" s="88">
        <f t="shared" si="151"/>
        <v>33</v>
      </c>
      <c r="AJ243" s="80" t="str">
        <f>IF(AI243="","",$AJ$2)</f>
        <v>A-</v>
      </c>
      <c r="AK243" s="80" t="s">
        <v>13</v>
      </c>
      <c r="AL243" s="80" t="s">
        <v>62</v>
      </c>
      <c r="AM243" s="80" t="s">
        <v>63</v>
      </c>
      <c r="AN243" s="80" t="str">
        <f>IF(AI243="","",$AN$2)</f>
        <v>C</v>
      </c>
      <c r="AO243" s="80" t="str">
        <f>IF(N243="","",IF(N243&gt;=$AO$1/100,"O","X"))</f>
        <v>O</v>
      </c>
      <c r="AP243" s="80" t="str">
        <f>IF(I243="","",IF(I243&lt;=$AP$1,"O","X"))</f>
        <v>X</v>
      </c>
      <c r="AQ243" s="80" t="str">
        <f>IF(O243="","",IF(O243&lt;=$AQ$1,"O","X"))</f>
        <v>X</v>
      </c>
      <c r="AR243" s="80" t="str">
        <f>IF(M243="","",IF(M243&lt;=$AR$1,"O","X"))</f>
        <v>X</v>
      </c>
      <c r="AS243" s="80" t="s">
        <v>2</v>
      </c>
      <c r="AT243" s="80" t="str">
        <f>IF(OR(F243="",AI243=""),"",IF(AND((F243&lt;=85),(AI243&gt;=15)),"O","X"))</f>
        <v>O</v>
      </c>
      <c r="AU243" s="80" t="str">
        <f>IF(C243="","",IF(C243&gt;=$AU$1,"O","X"))</f>
        <v>O</v>
      </c>
      <c r="AV243" s="80" t="str">
        <f>IF(AO243="","",IF(AND(AO243="O",AP243="O",AR243="O",AT243="O",AU243="O"),"후보","X"))</f>
        <v>X</v>
      </c>
    </row>
    <row r="244" spans="1:5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X244" s="94"/>
      <c r="AY244" s="94"/>
      <c r="AZ244" s="64"/>
    </row>
    <row r="245" spans="1:5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X245" s="94"/>
      <c r="AY245" s="94"/>
      <c r="AZ245" s="64"/>
    </row>
    <row r="246" spans="1:5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X246" s="94"/>
      <c r="AY246" s="94"/>
      <c r="AZ246" s="64"/>
    </row>
    <row r="247" spans="1:5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X247" s="94"/>
      <c r="AY247" s="94"/>
      <c r="AZ247" s="64"/>
    </row>
    <row r="248" spans="1:5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X248" s="94"/>
      <c r="AY248" s="94"/>
      <c r="AZ248" s="64"/>
    </row>
    <row r="249" spans="1:5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X249" s="94"/>
      <c r="AY249" s="94"/>
      <c r="AZ249" s="64"/>
    </row>
    <row r="250" spans="1:5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X250" s="94"/>
      <c r="AY250" s="94"/>
      <c r="AZ250" s="64"/>
    </row>
    <row r="251" spans="1:5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X251" s="94"/>
      <c r="AY251" s="94"/>
      <c r="AZ251" s="64"/>
    </row>
    <row r="252" spans="1:5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X252" s="94"/>
      <c r="AY252" s="94"/>
      <c r="AZ252" s="64"/>
    </row>
    <row r="253" spans="1:5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X253" s="94"/>
      <c r="AY253" s="94"/>
      <c r="AZ253" s="64"/>
    </row>
    <row r="254" spans="1:5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X254" s="94"/>
      <c r="AY254" s="94"/>
      <c r="AZ254" s="64"/>
    </row>
    <row r="255" spans="1:5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X255" s="94"/>
      <c r="AY255" s="94"/>
      <c r="AZ255" s="64"/>
    </row>
    <row r="256" spans="1:5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X256" s="94"/>
      <c r="AY256" s="94"/>
      <c r="AZ256" s="64"/>
    </row>
    <row r="257" spans="1:5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X257" s="94"/>
      <c r="AY257" s="94"/>
      <c r="AZ257" s="64"/>
    </row>
    <row r="258" spans="1:5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X258" s="94"/>
      <c r="AY258" s="94"/>
      <c r="AZ258" s="64"/>
    </row>
    <row r="259" spans="1:5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X259" s="94"/>
      <c r="AY259" s="94"/>
      <c r="AZ259" s="64"/>
    </row>
    <row r="260" spans="1:5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X260" s="94"/>
      <c r="AY260" s="94"/>
      <c r="AZ260" s="64"/>
    </row>
    <row r="261" spans="1:5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X261" s="94"/>
      <c r="AY261" s="94"/>
      <c r="AZ261" s="64"/>
    </row>
    <row r="262" spans="1:5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X262" s="94"/>
      <c r="AY262" s="94"/>
      <c r="AZ262" s="64"/>
    </row>
    <row r="263" spans="1:5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X263" s="94"/>
      <c r="AY263" s="94"/>
      <c r="AZ263" s="64"/>
    </row>
    <row r="264" spans="1:5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X264" s="94"/>
      <c r="AY264" s="94"/>
      <c r="AZ264" s="64"/>
    </row>
    <row r="265" spans="1:5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X265" s="94"/>
      <c r="AY265" s="94"/>
      <c r="AZ265" s="64"/>
    </row>
    <row r="266" spans="1:5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X266" s="94"/>
      <c r="AY266" s="94"/>
      <c r="AZ266" s="64"/>
    </row>
    <row r="267" spans="1:5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X267" s="94"/>
      <c r="AY267" s="94"/>
      <c r="AZ267" s="64"/>
    </row>
    <row r="268" spans="1:5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X268" s="94"/>
      <c r="AY268" s="94"/>
      <c r="AZ268" s="64"/>
    </row>
    <row r="269" spans="1:5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X269" s="94"/>
      <c r="AY269" s="94"/>
      <c r="AZ269" s="64"/>
    </row>
    <row r="270" spans="1:5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X270" s="94"/>
      <c r="AY270" s="94"/>
      <c r="AZ270" s="64"/>
    </row>
    <row r="271" spans="1:5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X271" s="94"/>
      <c r="AY271" s="94"/>
      <c r="AZ271" s="64"/>
    </row>
    <row r="272" spans="1:5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X272" s="94"/>
      <c r="AY272" s="94"/>
      <c r="AZ272" s="64"/>
    </row>
    <row r="273" spans="1:5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X273" s="94"/>
      <c r="AY273" s="94"/>
      <c r="AZ273" s="64"/>
    </row>
    <row r="274" spans="1:5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X274" s="94"/>
      <c r="AY274" s="94"/>
      <c r="AZ274" s="64"/>
    </row>
    <row r="275" spans="1:5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X275" s="94"/>
      <c r="AY275" s="94"/>
      <c r="AZ275" s="64"/>
    </row>
    <row r="276" spans="1:5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X276" s="94"/>
      <c r="AY276" s="94"/>
      <c r="AZ276" s="64"/>
    </row>
    <row r="277" spans="1:5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X277" s="94"/>
      <c r="AY277" s="94"/>
      <c r="AZ277" s="64"/>
    </row>
    <row r="278" spans="1:5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X278" s="94"/>
      <c r="AY278" s="94"/>
      <c r="AZ278" s="64"/>
    </row>
    <row r="279" spans="1:5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X279" s="94"/>
      <c r="AY279" s="94"/>
      <c r="AZ279" s="64"/>
    </row>
    <row r="280" spans="1:5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X280" s="94"/>
      <c r="AY280" s="94"/>
      <c r="AZ280" s="64"/>
    </row>
    <row r="281" spans="1:5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X281" s="94"/>
      <c r="AY281" s="94"/>
      <c r="AZ281" s="64"/>
    </row>
    <row r="282" spans="1:5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X282" s="94"/>
      <c r="AY282" s="94"/>
      <c r="AZ282" s="64"/>
    </row>
    <row r="283" spans="1:5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X283" s="94"/>
      <c r="AY283" s="94"/>
      <c r="AZ283" s="64"/>
    </row>
    <row r="284" spans="1:5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X284" s="94"/>
      <c r="AY284" s="94"/>
      <c r="AZ284" s="64"/>
    </row>
    <row r="285" spans="1:5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X285" s="94"/>
      <c r="AY285" s="94"/>
      <c r="AZ285" s="64"/>
    </row>
    <row r="286" spans="1:5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X286" s="94"/>
      <c r="AY286" s="94"/>
      <c r="AZ286" s="64"/>
    </row>
    <row r="287" spans="1:5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X287" s="94"/>
      <c r="AY287" s="94"/>
      <c r="AZ287" s="64"/>
    </row>
    <row r="288" spans="1:5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X288" s="94"/>
      <c r="AY288" s="94"/>
      <c r="AZ288" s="64"/>
    </row>
    <row r="289" spans="1:5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X289" s="94"/>
      <c r="AY289" s="94"/>
      <c r="AZ289" s="64"/>
    </row>
    <row r="290" spans="1:5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X290" s="94"/>
      <c r="AY290" s="94"/>
      <c r="AZ290" s="64"/>
    </row>
    <row r="291" spans="1:5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X291" s="94"/>
      <c r="AY291" s="94"/>
      <c r="AZ291" s="64"/>
    </row>
    <row r="292" spans="1:5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X292" s="94"/>
      <c r="AY292" s="94"/>
      <c r="AZ292" s="64"/>
    </row>
    <row r="293" spans="1:5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X293" s="94"/>
      <c r="AY293" s="94"/>
      <c r="AZ293" s="64"/>
    </row>
    <row r="294" spans="1:5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X294" s="94"/>
      <c r="AY294" s="94"/>
      <c r="AZ294" s="64"/>
    </row>
    <row r="295" spans="1:5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X295" s="94"/>
      <c r="AY295" s="94"/>
      <c r="AZ295" s="64"/>
    </row>
    <row r="296" spans="1:5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X296" s="94"/>
      <c r="AY296" s="94"/>
      <c r="AZ296" s="64"/>
    </row>
    <row r="297" spans="1:5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X297" s="94"/>
      <c r="AY297" s="94"/>
      <c r="AZ297" s="64"/>
    </row>
    <row r="298" spans="1:5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X298" s="94"/>
      <c r="AY298" s="94"/>
      <c r="AZ298" s="64"/>
    </row>
    <row r="299" spans="1:5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X299" s="94"/>
      <c r="AY299" s="94"/>
      <c r="AZ299" s="64"/>
    </row>
    <row r="300" spans="1:5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X300" s="94"/>
      <c r="AY300" s="94"/>
      <c r="AZ300" s="64"/>
    </row>
    <row r="301" spans="1:5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X301" s="94"/>
      <c r="AY301" s="94"/>
      <c r="AZ301" s="64"/>
    </row>
    <row r="302" spans="1:5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X302" s="94"/>
      <c r="AY302" s="94"/>
      <c r="AZ302" s="64"/>
    </row>
    <row r="303" spans="1:5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X303" s="94"/>
      <c r="AY303" s="94"/>
      <c r="AZ303" s="64"/>
    </row>
    <row r="304" spans="1:5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X304" s="94"/>
      <c r="AY304" s="94"/>
      <c r="AZ304" s="64"/>
    </row>
    <row r="305" spans="1:5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X305" s="94"/>
      <c r="AY305" s="94"/>
      <c r="AZ305" s="64"/>
    </row>
    <row r="306" spans="1:5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X306" s="94"/>
      <c r="AY306" s="94"/>
      <c r="AZ306" s="64"/>
    </row>
    <row r="307" spans="1:5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X307" s="94"/>
      <c r="AY307" s="94"/>
      <c r="AZ307" s="64"/>
    </row>
    <row r="308" spans="1:5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X308" s="94"/>
      <c r="AY308" s="94"/>
      <c r="AZ308" s="64"/>
    </row>
    <row r="309" spans="1:5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X309" s="94"/>
      <c r="AY309" s="94"/>
      <c r="AZ309" s="64"/>
    </row>
    <row r="310" spans="1:5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X310" s="94"/>
      <c r="AY310" s="94"/>
      <c r="AZ310" s="64"/>
    </row>
    <row r="311" spans="1:5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X311" s="94"/>
      <c r="AY311" s="94"/>
      <c r="AZ311" s="64"/>
    </row>
    <row r="312" spans="1:5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X312" s="94"/>
      <c r="AY312" s="94"/>
      <c r="AZ312" s="64"/>
    </row>
    <row r="313" spans="1:5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X313" s="94"/>
      <c r="AY313" s="94"/>
      <c r="AZ313" s="64"/>
    </row>
    <row r="314" spans="1:5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X314" s="94"/>
      <c r="AY314" s="94"/>
      <c r="AZ314" s="64"/>
    </row>
    <row r="315" spans="1:5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X315" s="94"/>
      <c r="AY315" s="94"/>
      <c r="AZ315" s="64"/>
    </row>
    <row r="316" spans="1:5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X316" s="94"/>
      <c r="AY316" s="94"/>
      <c r="AZ316" s="64"/>
    </row>
    <row r="317" spans="1:5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X317" s="94"/>
      <c r="AY317" s="94"/>
      <c r="AZ317" s="64"/>
    </row>
    <row r="318" spans="1:5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X318" s="94"/>
      <c r="AY318" s="94"/>
      <c r="AZ318" s="64"/>
    </row>
    <row r="319" spans="1:5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X319" s="94"/>
      <c r="AY319" s="94"/>
      <c r="AZ319" s="64"/>
    </row>
    <row r="320" spans="1:5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X320" s="94"/>
      <c r="AY320" s="94"/>
      <c r="AZ320" s="64"/>
    </row>
    <row r="321" spans="1:58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X321" s="94"/>
      <c r="AY321" s="94"/>
      <c r="AZ321" s="64"/>
    </row>
    <row r="322" spans="1:58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X322" s="94"/>
      <c r="AY322" s="94"/>
      <c r="AZ322" s="64"/>
    </row>
    <row r="323" spans="1:58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X323" s="94"/>
      <c r="AY323" s="94"/>
      <c r="AZ323" s="64"/>
    </row>
    <row r="324" spans="1:58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X324" s="94"/>
      <c r="AY324" s="94"/>
      <c r="AZ324" s="64"/>
    </row>
    <row r="325" spans="1:58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X325" s="94"/>
      <c r="AY325" s="94"/>
      <c r="AZ325" s="64"/>
    </row>
    <row r="326" spans="1:58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X326" s="94"/>
      <c r="AY326" s="94"/>
      <c r="AZ326" s="64"/>
    </row>
    <row r="327" spans="1:58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X327" s="94"/>
      <c r="AY327" s="94"/>
      <c r="AZ327" s="64"/>
    </row>
    <row r="328" spans="1:58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X328" s="94"/>
      <c r="AY328" s="94"/>
      <c r="AZ328" s="64"/>
    </row>
    <row r="329" spans="1:58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X329" s="94"/>
      <c r="AY329" s="94"/>
      <c r="AZ329" s="64"/>
    </row>
    <row r="330" spans="1:58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X330" s="94"/>
      <c r="AY330" s="94"/>
      <c r="AZ330" s="64"/>
    </row>
    <row r="331" spans="1:58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X331" s="94"/>
      <c r="AY331" s="94"/>
      <c r="AZ331" s="64"/>
    </row>
    <row r="332" spans="1:58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X332" s="94"/>
      <c r="AY332" s="94"/>
      <c r="AZ332" s="64"/>
    </row>
    <row r="333" spans="1:58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X333" s="94"/>
      <c r="AY333" s="94"/>
      <c r="AZ333" s="64"/>
    </row>
    <row r="334" spans="1:58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X334" s="94"/>
      <c r="AY334" s="94"/>
      <c r="AZ334" s="64"/>
    </row>
    <row r="335" spans="1:58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X335" s="94"/>
      <c r="AY335" s="94"/>
      <c r="AZ335" s="64"/>
    </row>
    <row r="336" spans="1:58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X336" s="94"/>
      <c r="AY336" s="94"/>
      <c r="AZ336" s="94"/>
      <c r="BA336" s="80" t="s">
        <v>91</v>
      </c>
      <c r="BB336" s="95">
        <v>0</v>
      </c>
      <c r="BC336" s="95">
        <v>0</v>
      </c>
      <c r="BD336" s="95">
        <v>0</v>
      </c>
      <c r="BE336" s="95">
        <v>0</v>
      </c>
      <c r="BF336" s="95">
        <v>0</v>
      </c>
    </row>
    <row r="337" spans="1:58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X337" s="94"/>
      <c r="AY337" s="94"/>
      <c r="AZ337" s="94"/>
      <c r="BA337" s="80" t="s">
        <v>92</v>
      </c>
      <c r="BB337" s="95">
        <v>0</v>
      </c>
      <c r="BC337" s="95">
        <v>0</v>
      </c>
      <c r="BD337" s="95">
        <v>0</v>
      </c>
      <c r="BE337" s="95">
        <v>0</v>
      </c>
      <c r="BF337" s="95">
        <v>0</v>
      </c>
    </row>
    <row r="338" spans="1:58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X338" s="94"/>
      <c r="AY338" s="94"/>
      <c r="AZ338" s="94"/>
      <c r="BA338" s="73" t="s">
        <v>93</v>
      </c>
      <c r="BB338" s="96">
        <v>0</v>
      </c>
      <c r="BC338" s="96">
        <v>0</v>
      </c>
      <c r="BD338" s="96">
        <v>0</v>
      </c>
      <c r="BE338" s="96">
        <v>0</v>
      </c>
      <c r="BF338" s="96">
        <v>0</v>
      </c>
    </row>
    <row r="339" spans="1:58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X339" s="94"/>
      <c r="AY339" s="94"/>
      <c r="AZ339" s="94"/>
      <c r="BA339" s="2"/>
    </row>
    <row r="340" spans="1:58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X340" s="94"/>
      <c r="AY340" s="94"/>
      <c r="AZ340" s="94"/>
      <c r="BA340" s="80"/>
      <c r="BB340" s="80" t="s">
        <v>94</v>
      </c>
      <c r="BC340" s="80" t="s">
        <v>95</v>
      </c>
      <c r="BD340" s="80" t="s">
        <v>96</v>
      </c>
      <c r="BE340" s="80" t="s">
        <v>97</v>
      </c>
      <c r="BF340" s="80" t="s">
        <v>98</v>
      </c>
    </row>
    <row r="341" spans="1:58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X341" s="94"/>
      <c r="AY341" s="94"/>
      <c r="BA341" s="80" t="s">
        <v>91</v>
      </c>
      <c r="BB341" s="97" t="e">
        <v>#DIV/0!</v>
      </c>
      <c r="BC341" s="97" t="e">
        <v>#DIV/0!</v>
      </c>
      <c r="BD341" s="97" t="e">
        <v>#DIV/0!</v>
      </c>
      <c r="BE341" s="97" t="e">
        <v>#DIV/0!</v>
      </c>
      <c r="BF341" s="97" t="e">
        <v>#DIV/0!</v>
      </c>
    </row>
    <row r="342" spans="1:58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X342" s="94"/>
      <c r="AY342" s="94"/>
      <c r="BA342" s="73" t="s">
        <v>93</v>
      </c>
      <c r="BB342" s="98" t="e">
        <v>#DIV/0!</v>
      </c>
      <c r="BC342" s="98" t="e">
        <v>#DIV/0!</v>
      </c>
      <c r="BD342" s="98" t="e">
        <v>#DIV/0!</v>
      </c>
      <c r="BE342" s="98" t="e">
        <v>#DIV/0!</v>
      </c>
      <c r="BF342" s="98" t="e">
        <v>#DIV/0!</v>
      </c>
    </row>
    <row r="343" spans="1:58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X343" s="94"/>
      <c r="AY343" s="94"/>
      <c r="BA343" s="80" t="s">
        <v>98</v>
      </c>
      <c r="BB343" s="97" t="e">
        <v>#DIV/0!</v>
      </c>
      <c r="BC343" s="97" t="e">
        <v>#DIV/0!</v>
      </c>
      <c r="BD343" s="97" t="e">
        <v>#DIV/0!</v>
      </c>
      <c r="BE343" s="97" t="e">
        <v>#DIV/0!</v>
      </c>
      <c r="BF343" s="97" t="e">
        <v>#DIV/0!</v>
      </c>
    </row>
    <row r="344" spans="1:58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X344" s="94"/>
      <c r="AY344" s="94"/>
    </row>
    <row r="345" spans="1:58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X345" s="94"/>
      <c r="AY345" s="94"/>
    </row>
    <row r="346" spans="1:58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X346" s="94"/>
      <c r="AY346" s="94"/>
    </row>
    <row r="347" spans="1:58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X347" s="94"/>
      <c r="AY347" s="94"/>
    </row>
    <row r="348" spans="1:58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X348" s="94"/>
      <c r="AY348" s="94"/>
    </row>
    <row r="349" spans="1:58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X349" s="94"/>
      <c r="AY349" s="94"/>
    </row>
    <row r="350" spans="1:58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X350" s="94"/>
      <c r="AY350" s="94"/>
    </row>
    <row r="351" spans="1:58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X351" s="94"/>
      <c r="AY351" s="94"/>
    </row>
    <row r="352" spans="1:58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X352" s="94"/>
      <c r="AY352" s="94"/>
    </row>
    <row r="353" spans="1:51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X353" s="94"/>
      <c r="AY353" s="94"/>
    </row>
    <row r="354" spans="1:51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X354" s="94"/>
      <c r="AY354" s="94"/>
    </row>
    <row r="355" spans="1:51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X355" s="94"/>
      <c r="AY355" s="94"/>
    </row>
    <row r="356" spans="1:51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X356" s="94"/>
      <c r="AY356" s="94"/>
    </row>
    <row r="357" spans="1:51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X357" s="94"/>
      <c r="AY357" s="94"/>
    </row>
    <row r="358" spans="1:51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X358" s="94"/>
      <c r="AY358" s="94"/>
    </row>
    <row r="359" spans="1:51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X359" s="94"/>
      <c r="AY359" s="94"/>
    </row>
    <row r="360" spans="1:51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X360" s="94"/>
      <c r="AY360" s="94"/>
    </row>
    <row r="361" spans="1:51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X361" s="94"/>
      <c r="AY361" s="94"/>
    </row>
    <row r="362" spans="1:51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X362" s="94"/>
      <c r="AY362" s="94"/>
    </row>
    <row r="363" spans="1:51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X363" s="94"/>
      <c r="AY363" s="94"/>
    </row>
    <row r="364" spans="1:51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X364" s="94"/>
      <c r="AY364" s="94"/>
    </row>
    <row r="365" spans="1:51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X365" s="94"/>
      <c r="AY365" s="94"/>
    </row>
    <row r="366" spans="1:51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X366" s="94"/>
      <c r="AY366" s="94"/>
    </row>
    <row r="367" spans="1:51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X367" s="94"/>
      <c r="AY367" s="94"/>
    </row>
    <row r="368" spans="1:51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X368" s="94"/>
      <c r="AY368" s="94"/>
    </row>
    <row r="369" spans="1:51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X369" s="94"/>
      <c r="AY369" s="94"/>
    </row>
    <row r="370" spans="1:51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X370" s="94"/>
      <c r="AY370" s="94"/>
    </row>
    <row r="371" spans="1:51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X371" s="94"/>
      <c r="AY371" s="94"/>
    </row>
    <row r="372" spans="1:51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X372" s="94"/>
      <c r="AY372" s="94"/>
    </row>
    <row r="373" spans="1:51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X373" s="94"/>
      <c r="AY373" s="94"/>
    </row>
    <row r="374" spans="1:51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X374" s="94"/>
      <c r="AY374" s="94"/>
    </row>
    <row r="375" spans="1:51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X375" s="94"/>
      <c r="AY375" s="94"/>
    </row>
    <row r="376" spans="1:51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X376" s="94"/>
      <c r="AY376" s="94"/>
    </row>
    <row r="377" spans="1:51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X377" s="94"/>
      <c r="AY377" s="94"/>
    </row>
    <row r="378" spans="1:51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X378" s="94"/>
      <c r="AY378" s="94"/>
    </row>
    <row r="379" spans="1:51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X379" s="94"/>
      <c r="AY379" s="94"/>
    </row>
    <row r="380" spans="1:51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X380" s="94"/>
      <c r="AY380" s="94"/>
    </row>
    <row r="381" spans="1:51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X381" s="94"/>
      <c r="AY381" s="94"/>
    </row>
    <row r="382" spans="1:51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X382" s="94"/>
      <c r="AY382" s="94"/>
    </row>
    <row r="383" spans="1:51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X383" s="94"/>
      <c r="AY383" s="94"/>
    </row>
    <row r="384" spans="1:51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X384" s="94"/>
      <c r="AY384" s="94"/>
    </row>
    <row r="385" spans="1:51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X385" s="94"/>
      <c r="AY385" s="94"/>
    </row>
    <row r="386" spans="1:51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X386" s="94"/>
      <c r="AY386" s="94"/>
    </row>
    <row r="387" spans="1:51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X387" s="94"/>
      <c r="AY387" s="94"/>
    </row>
    <row r="388" spans="1:51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X388" s="94"/>
      <c r="AY388" s="94"/>
    </row>
    <row r="389" spans="1:51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X389" s="94"/>
      <c r="AY389" s="94"/>
    </row>
    <row r="390" spans="1:51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X390" s="94"/>
      <c r="AY390" s="94"/>
    </row>
    <row r="391" spans="1:51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X391" s="94"/>
      <c r="AY391" s="94"/>
    </row>
    <row r="392" spans="1:51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X392" s="94"/>
      <c r="AY392" s="94"/>
    </row>
    <row r="393" spans="1:51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X393" s="94"/>
      <c r="AY393" s="94"/>
    </row>
    <row r="394" spans="1:51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X394" s="94"/>
      <c r="AY394" s="94"/>
    </row>
    <row r="395" spans="1:51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X395" s="94"/>
      <c r="AY395" s="94"/>
    </row>
    <row r="396" spans="1:51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X396" s="94"/>
      <c r="AY396" s="94"/>
    </row>
    <row r="397" spans="1:51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X397" s="94"/>
      <c r="AY397" s="94"/>
    </row>
    <row r="398" spans="1:51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X398" s="94"/>
      <c r="AY398" s="94"/>
    </row>
    <row r="399" spans="1:51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X399" s="94"/>
      <c r="AY399" s="94"/>
    </row>
    <row r="400" spans="1:51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X400" s="94"/>
      <c r="AY400" s="94"/>
    </row>
    <row r="401" spans="1:58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X401" s="94"/>
      <c r="AY401" s="94"/>
    </row>
    <row r="402" spans="1:58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X402" s="94"/>
      <c r="AY402" s="94"/>
    </row>
    <row r="403" spans="1:58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X403" s="94"/>
      <c r="AY403" s="94"/>
    </row>
    <row r="404" spans="1:58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X404" s="94"/>
      <c r="AY404" s="94"/>
      <c r="AZ404" s="94"/>
      <c r="BA404" s="80" t="s">
        <v>91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X405" s="94"/>
      <c r="AY405" s="94"/>
      <c r="AZ405" s="94"/>
      <c r="BA405" s="80" t="s">
        <v>92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X406" s="94"/>
      <c r="AY406" s="94"/>
      <c r="AZ406" s="94"/>
      <c r="BA406" s="80" t="s">
        <v>98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X407" s="94"/>
      <c r="AY407" s="94"/>
      <c r="AZ407" s="94"/>
      <c r="BA407" s="2"/>
    </row>
    <row r="408" spans="1:58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X408" s="94"/>
      <c r="AY408" s="94"/>
      <c r="AZ408" s="94"/>
      <c r="BA408" s="80"/>
      <c r="BB408" s="80" t="s">
        <v>94</v>
      </c>
      <c r="BC408" s="80" t="s">
        <v>95</v>
      </c>
      <c r="BD408" s="80" t="s">
        <v>96</v>
      </c>
      <c r="BE408" s="80" t="s">
        <v>97</v>
      </c>
      <c r="BF408" s="80" t="s">
        <v>98</v>
      </c>
    </row>
    <row r="409" spans="1:58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X409" s="94"/>
      <c r="AY409" s="94"/>
      <c r="BA409" s="80" t="s">
        <v>91</v>
      </c>
      <c r="BB409" s="97" t="e">
        <v>#DIV/0!</v>
      </c>
      <c r="BC409" s="97" t="e">
        <v>#DIV/0!</v>
      </c>
      <c r="BD409" s="97" t="e">
        <v>#DIV/0!</v>
      </c>
      <c r="BE409" s="97" t="e">
        <v>#DIV/0!</v>
      </c>
      <c r="BF409" s="97" t="e">
        <v>#DIV/0!</v>
      </c>
    </row>
    <row r="410" spans="1:58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X410" s="94"/>
      <c r="AY410" s="94"/>
      <c r="BA410" s="80" t="s">
        <v>92</v>
      </c>
      <c r="BB410" s="97" t="e">
        <v>#DIV/0!</v>
      </c>
      <c r="BC410" s="97" t="e">
        <v>#DIV/0!</v>
      </c>
      <c r="BD410" s="97" t="e">
        <v>#DIV/0!</v>
      </c>
      <c r="BE410" s="97" t="e">
        <v>#DIV/0!</v>
      </c>
      <c r="BF410" s="97" t="e">
        <v>#DIV/0!</v>
      </c>
    </row>
    <row r="411" spans="1:58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X411" s="94"/>
      <c r="AY411" s="94"/>
      <c r="BA411" s="80" t="s">
        <v>98</v>
      </c>
      <c r="BB411" s="97" t="e">
        <v>#DIV/0!</v>
      </c>
      <c r="BC411" s="97" t="e">
        <v>#DIV/0!</v>
      </c>
      <c r="BD411" s="97" t="e">
        <v>#DIV/0!</v>
      </c>
      <c r="BE411" s="97" t="e">
        <v>#DIV/0!</v>
      </c>
      <c r="BF411" s="97" t="e">
        <v>#DIV/0!</v>
      </c>
    </row>
    <row r="412" spans="1:58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X412" s="94"/>
      <c r="AY412" s="94"/>
    </row>
    <row r="413" spans="1:58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X413" s="94"/>
      <c r="AY413" s="94"/>
    </row>
    <row r="414" spans="1:58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X414" s="94"/>
      <c r="AY414" s="94"/>
    </row>
    <row r="415" spans="1:58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X415" s="94"/>
      <c r="AY415" s="94"/>
    </row>
    <row r="416" spans="1:58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X416" s="94"/>
      <c r="AY416" s="94"/>
    </row>
    <row r="417" spans="1:58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X417" s="94"/>
      <c r="AY417" s="94"/>
    </row>
    <row r="418" spans="1:58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X418" s="94"/>
      <c r="AY418" s="94"/>
    </row>
    <row r="419" spans="1:58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X419" s="94"/>
      <c r="AY419" s="94"/>
    </row>
    <row r="420" spans="1:58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X420" s="94"/>
      <c r="AY420" s="94"/>
    </row>
    <row r="421" spans="1:58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X421" s="94"/>
      <c r="AY421" s="94"/>
    </row>
    <row r="422" spans="1:58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X422" s="94"/>
      <c r="AY422" s="94"/>
      <c r="AZ422" s="94"/>
      <c r="BA422" s="80" t="s">
        <v>91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X423" s="94"/>
      <c r="AY423" s="94"/>
      <c r="AZ423" s="94"/>
      <c r="BA423" s="80" t="s">
        <v>92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X424" s="94"/>
      <c r="AY424" s="94"/>
      <c r="AZ424" s="94"/>
      <c r="BA424" s="73" t="s">
        <v>93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X425" s="94"/>
      <c r="AY425" s="94"/>
      <c r="AZ425" s="94"/>
      <c r="BA425" s="2"/>
    </row>
    <row r="426" spans="1:58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X426" s="94"/>
      <c r="AY426" s="94"/>
      <c r="AZ426" s="94"/>
      <c r="BA426" s="80" t="s">
        <v>99</v>
      </c>
      <c r="BB426" s="97" t="e">
        <v>#DIV/0!</v>
      </c>
      <c r="BC426" s="97" t="e">
        <v>#DIV/0!</v>
      </c>
      <c r="BD426" s="97" t="e">
        <v>#DIV/0!</v>
      </c>
      <c r="BE426" s="97" t="e">
        <v>#DIV/0!</v>
      </c>
      <c r="BF426" s="97" t="e">
        <v>#DIV/0!</v>
      </c>
    </row>
    <row r="427" spans="1:58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X427" s="94"/>
      <c r="AY427" s="94"/>
      <c r="BA427" s="80" t="s">
        <v>92</v>
      </c>
      <c r="BB427" s="97" t="e">
        <v>#DIV/0!</v>
      </c>
      <c r="BC427" s="97" t="e">
        <v>#DIV/0!</v>
      </c>
      <c r="BD427" s="97" t="e">
        <v>#DIV/0!</v>
      </c>
      <c r="BE427" s="97" t="e">
        <v>#DIV/0!</v>
      </c>
      <c r="BF427" s="97" t="e">
        <v>#DIV/0!</v>
      </c>
    </row>
    <row r="428" spans="1:58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X428" s="94"/>
      <c r="AY428" s="94"/>
      <c r="BA428" s="73" t="s">
        <v>93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X429" s="94"/>
      <c r="AY429" s="94"/>
      <c r="BA429" s="80" t="s">
        <v>98</v>
      </c>
      <c r="BB429" s="97" t="e">
        <v>#DIV/0!</v>
      </c>
      <c r="BC429" s="97" t="e">
        <v>#DIV/0!</v>
      </c>
      <c r="BD429" s="97" t="e">
        <v>#DIV/0!</v>
      </c>
      <c r="BE429" s="97" t="e">
        <v>#DIV/0!</v>
      </c>
      <c r="BF429" s="97" t="e">
        <v>#DIV/0!</v>
      </c>
    </row>
    <row r="430" spans="1:58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X430" s="94"/>
      <c r="AY430" s="94"/>
    </row>
    <row r="431" spans="1:58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X431" s="94"/>
      <c r="AY431" s="94"/>
    </row>
    <row r="432" spans="1:58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X432" s="94"/>
      <c r="AY432" s="94"/>
    </row>
    <row r="433" spans="1:51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X433" s="94"/>
      <c r="AY433" s="94"/>
    </row>
    <row r="434" spans="1:51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X434" s="94"/>
      <c r="AY434" s="94"/>
    </row>
    <row r="435" spans="1:51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X435" s="94"/>
      <c r="AY435" s="94"/>
    </row>
    <row r="436" spans="1:51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X436" s="94"/>
      <c r="AY436" s="94"/>
    </row>
    <row r="437" spans="1:51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X437" s="94"/>
      <c r="AY437" s="94"/>
    </row>
    <row r="438" spans="1:51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X438" s="94"/>
      <c r="AY438" s="94"/>
    </row>
    <row r="439" spans="1:51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X439" s="94"/>
      <c r="AY439" s="94"/>
    </row>
    <row r="440" spans="1:51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X440" s="94"/>
      <c r="AY440" s="94"/>
    </row>
    <row r="441" spans="1:51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X441" s="94"/>
      <c r="AY441" s="94"/>
    </row>
    <row r="442" spans="1:51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X442" s="94"/>
      <c r="AY442" s="94"/>
    </row>
    <row r="443" spans="1:51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X443" s="94"/>
      <c r="AY443" s="94"/>
    </row>
    <row r="444" spans="1:51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X444" s="94"/>
      <c r="AY444" s="94"/>
    </row>
    <row r="445" spans="1:51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X445" s="94"/>
      <c r="AY445" s="94"/>
    </row>
    <row r="446" spans="1:51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X446" s="94"/>
      <c r="AY446" s="94"/>
    </row>
    <row r="447" spans="1:51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X447" s="94"/>
      <c r="AY447" s="94"/>
    </row>
    <row r="448" spans="1:51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X448" s="94"/>
      <c r="AY448" s="94"/>
    </row>
    <row r="449" spans="1:58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X449" s="94"/>
      <c r="AY449" s="94"/>
    </row>
    <row r="450" spans="1:58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X450" s="94"/>
      <c r="AY450" s="94"/>
    </row>
    <row r="451" spans="1:58" s="37" customFormat="1" ht="16.5" customHeight="1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X451" s="94"/>
      <c r="AY451" s="94"/>
    </row>
    <row r="452" spans="1:58" s="37" customFormat="1" ht="16.5" customHeight="1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X452" s="94"/>
      <c r="AY452" s="94"/>
    </row>
    <row r="453" spans="1:58" s="37" customFormat="1" ht="16.5" customHeight="1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X453" s="94"/>
      <c r="AY453" s="94"/>
    </row>
    <row r="454" spans="1:58" s="37" customFormat="1" ht="16.5" customHeight="1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X454" s="94"/>
      <c r="AY454" s="94"/>
    </row>
    <row r="455" spans="1:58" s="37" customFormat="1" ht="16.5" customHeight="1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X455" s="94"/>
      <c r="AY455" s="94"/>
    </row>
    <row r="456" spans="1:58" s="37" customFormat="1" ht="16.5" customHeight="1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X456" s="94"/>
      <c r="AY456" s="94"/>
    </row>
    <row r="457" spans="1:58" s="37" customFormat="1" ht="16.5" customHeight="1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X457" s="94"/>
      <c r="AY457" s="94"/>
    </row>
    <row r="458" spans="1:58" s="37" customFormat="1" ht="16.5" customHeight="1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X458" s="94"/>
      <c r="AY458" s="94"/>
    </row>
    <row r="459" spans="1:58" s="37" customFormat="1" ht="16.5" customHeight="1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X459" s="94"/>
      <c r="AY459" s="94"/>
    </row>
    <row r="460" spans="1:58" s="37" customFormat="1" ht="16.5" customHeight="1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X460" s="94"/>
      <c r="AY460" s="94"/>
    </row>
    <row r="461" spans="1:58" s="37" customFormat="1" ht="16.5" customHeight="1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X461" s="94"/>
      <c r="AY461" s="94"/>
    </row>
    <row r="462" spans="1:58" s="37" customFormat="1" ht="16.5" customHeight="1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X462" s="94"/>
      <c r="AY462" s="94"/>
    </row>
    <row r="463" spans="1:58" s="37" customFormat="1" ht="16.5" customHeight="1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X463" s="94"/>
      <c r="AY463" s="94"/>
    </row>
    <row r="464" spans="1:58" s="37" customFormat="1" ht="16.5" customHeight="1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X464" s="94"/>
      <c r="AY464" s="94"/>
      <c r="AZ464" s="94"/>
      <c r="BA464" s="80" t="s">
        <v>91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X465" s="94"/>
      <c r="AY465" s="94"/>
      <c r="AZ465" s="94"/>
      <c r="BA465" s="80" t="s">
        <v>92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X466" s="94"/>
      <c r="AY466" s="94"/>
      <c r="AZ466" s="94"/>
      <c r="BA466" s="73" t="s">
        <v>93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X467" s="94"/>
      <c r="AY467" s="94"/>
      <c r="AZ467" s="94"/>
      <c r="BA467" s="80" t="s">
        <v>98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X468" s="94"/>
      <c r="AY468" s="94"/>
      <c r="AZ468" s="94"/>
      <c r="BA468" s="80"/>
      <c r="BB468" s="80" t="s">
        <v>94</v>
      </c>
      <c r="BC468" s="80" t="s">
        <v>95</v>
      </c>
      <c r="BD468" s="80" t="s">
        <v>96</v>
      </c>
      <c r="BE468" s="80" t="s">
        <v>97</v>
      </c>
      <c r="BF468" s="80" t="s">
        <v>98</v>
      </c>
    </row>
    <row r="469" spans="1:58" s="37" customFormat="1" ht="16.5" customHeight="1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X469" s="94"/>
      <c r="AY469" s="94"/>
      <c r="AZ469" s="94"/>
      <c r="BA469" s="80" t="s">
        <v>99</v>
      </c>
      <c r="BB469" s="97" t="e">
        <v>#DIV/0!</v>
      </c>
      <c r="BC469" s="97" t="e">
        <v>#DIV/0!</v>
      </c>
      <c r="BD469" s="97" t="e">
        <v>#DIV/0!</v>
      </c>
      <c r="BE469" s="97" t="e">
        <v>#DIV/0!</v>
      </c>
      <c r="BF469" s="97" t="e">
        <v>#DIV/0!</v>
      </c>
    </row>
    <row r="470" spans="1:58" s="37" customFormat="1" ht="16.5" customHeight="1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X470" s="94"/>
      <c r="AY470" s="94"/>
      <c r="BA470" s="80" t="s">
        <v>91</v>
      </c>
      <c r="BB470" s="97" t="e">
        <v>#DIV/0!</v>
      </c>
      <c r="BC470" s="97" t="e">
        <v>#DIV/0!</v>
      </c>
      <c r="BD470" s="97" t="e">
        <v>#DIV/0!</v>
      </c>
      <c r="BE470" s="97" t="e">
        <v>#DIV/0!</v>
      </c>
      <c r="BF470" s="97" t="e">
        <v>#DIV/0!</v>
      </c>
    </row>
    <row r="471" spans="1:58" s="37" customFormat="1" ht="16.5" customHeight="1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X471" s="94"/>
      <c r="AY471" s="94"/>
      <c r="BA471" s="73" t="s">
        <v>93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X472" s="94"/>
      <c r="AY472" s="94"/>
      <c r="BA472" s="80" t="s">
        <v>98</v>
      </c>
      <c r="BB472" s="97" t="e">
        <v>#DIV/0!</v>
      </c>
      <c r="BC472" s="97" t="e">
        <v>#DIV/0!</v>
      </c>
      <c r="BD472" s="97" t="e">
        <v>#DIV/0!</v>
      </c>
      <c r="BE472" s="97" t="e">
        <v>#DIV/0!</v>
      </c>
      <c r="BF472" s="97" t="e">
        <v>#DIV/0!</v>
      </c>
    </row>
    <row r="473" spans="1:58" s="37" customFormat="1" ht="16.5" customHeight="1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X473" s="94"/>
      <c r="AY473" s="94"/>
    </row>
    <row r="474" spans="1:58" s="37" customFormat="1" ht="16.5" customHeight="1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X474" s="94"/>
      <c r="AY474" s="94"/>
    </row>
    <row r="475" spans="1:58" s="37" customFormat="1" ht="16.5" customHeight="1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X475" s="94"/>
      <c r="AY475" s="94"/>
    </row>
    <row r="476" spans="1:58" s="37" customFormat="1" ht="16.5" customHeight="1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X476" s="94"/>
      <c r="AY476" s="94"/>
    </row>
    <row r="477" spans="1:58" s="37" customFormat="1" ht="16.5" customHeight="1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X477" s="94"/>
      <c r="AY477" s="94"/>
    </row>
    <row r="478" spans="1:58" s="37" customFormat="1" ht="16.5" customHeight="1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X478" s="94"/>
      <c r="AY478" s="94"/>
    </row>
    <row r="479" spans="1:58" s="37" customFormat="1" ht="16.5" customHeight="1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X479" s="94"/>
      <c r="AY479" s="94"/>
    </row>
    <row r="480" spans="1:58" s="37" customFormat="1" ht="16.5" customHeight="1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X480" s="94"/>
      <c r="AY480" s="94"/>
    </row>
    <row r="481" spans="1:51" s="37" customFormat="1" ht="16.5" customHeight="1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X481" s="94"/>
      <c r="AY481" s="94"/>
    </row>
    <row r="482" spans="1:51" s="37" customFormat="1" ht="16.5" customHeight="1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X482" s="94"/>
      <c r="AY482" s="94"/>
    </row>
    <row r="483" spans="1:51" s="37" customFormat="1" ht="16.5" customHeight="1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X483" s="94"/>
      <c r="AY483" s="94"/>
    </row>
    <row r="484" spans="1:51" s="37" customFormat="1" ht="16.5" customHeight="1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X484" s="94"/>
      <c r="AY484" s="94"/>
    </row>
    <row r="485" spans="1:51" s="37" customFormat="1" ht="16.5" customHeight="1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X485" s="94"/>
      <c r="AY485" s="94"/>
    </row>
    <row r="486" spans="1:51" s="37" customFormat="1" ht="16.5" customHeight="1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X486" s="94"/>
      <c r="AY486" s="94"/>
    </row>
    <row r="487" spans="1:51" s="37" customFormat="1" ht="16.5" customHeight="1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X487" s="94"/>
      <c r="AY487" s="94"/>
    </row>
    <row r="488" spans="1:51" s="37" customFormat="1" ht="16.5" customHeight="1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X488" s="94"/>
      <c r="AY488" s="94"/>
    </row>
    <row r="489" spans="1:51" s="37" customFormat="1" ht="16.5" customHeight="1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X489" s="94"/>
      <c r="AY489" s="94"/>
    </row>
    <row r="490" spans="1:51" s="37" customFormat="1" ht="16.5" customHeight="1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X490" s="94"/>
      <c r="AY490" s="94"/>
    </row>
    <row r="491" spans="1:51" s="37" customFormat="1" ht="16.5" customHeight="1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X491" s="94"/>
      <c r="AY491" s="94"/>
    </row>
    <row r="492" spans="1:51" s="37" customFormat="1" ht="16.5" customHeight="1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X492" s="94"/>
      <c r="AY492" s="94"/>
    </row>
    <row r="493" spans="1:51" s="37" customFormat="1" ht="16.5" customHeight="1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X493" s="94"/>
      <c r="AY493" s="94"/>
    </row>
    <row r="494" spans="1:51" s="37" customFormat="1" ht="16.5" customHeight="1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X494" s="94"/>
      <c r="AY494" s="94"/>
    </row>
    <row r="495" spans="1:51" s="37" customFormat="1" ht="16.5" customHeight="1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X495" s="94"/>
      <c r="AY495" s="94"/>
    </row>
    <row r="496" spans="1:51" s="37" customFormat="1" ht="16.5" customHeight="1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X496" s="94"/>
      <c r="AY496" s="94"/>
    </row>
    <row r="497" spans="1:51" s="37" customFormat="1" ht="16.5" customHeight="1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X497" s="94"/>
      <c r="AY497" s="94"/>
    </row>
    <row r="498" spans="1:51" s="37" customFormat="1" ht="16.5" customHeight="1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X498" s="94"/>
      <c r="AY498" s="94"/>
    </row>
    <row r="499" spans="1:51" s="37" customFormat="1" ht="16.5" customHeight="1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X499" s="94"/>
      <c r="AY499" s="94"/>
    </row>
    <row r="500" spans="1:51" s="37" customFormat="1" ht="16.5" customHeight="1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X500" s="94"/>
      <c r="AY500" s="94"/>
    </row>
    <row r="501" spans="1:51" s="37" customFormat="1" ht="16.5" customHeight="1" x14ac:dyDescent="0.3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X501" s="94"/>
      <c r="AY501" s="94"/>
    </row>
    <row r="502" spans="1:51" s="37" customFormat="1" ht="16.5" customHeight="1" x14ac:dyDescent="0.3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X502" s="94"/>
      <c r="AY502" s="94"/>
    </row>
    <row r="503" spans="1:51" s="37" customFormat="1" ht="16.5" customHeight="1" x14ac:dyDescent="0.3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X503" s="94"/>
      <c r="AY503" s="94"/>
    </row>
    <row r="504" spans="1:51" s="37" customFormat="1" ht="16.5" customHeight="1" x14ac:dyDescent="0.3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X504" s="94"/>
      <c r="AY504" s="94"/>
    </row>
    <row r="505" spans="1:51" s="37" customFormat="1" ht="16.5" customHeight="1" x14ac:dyDescent="0.3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X505" s="94"/>
      <c r="AY505" s="94"/>
    </row>
    <row r="506" spans="1:51" s="37" customFormat="1" ht="16.5" customHeight="1" x14ac:dyDescent="0.3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X506" s="94"/>
      <c r="AY506" s="94"/>
    </row>
    <row r="507" spans="1:51" s="37" customFormat="1" ht="16.5" customHeight="1" x14ac:dyDescent="0.3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X507" s="94"/>
      <c r="AY507" s="94"/>
    </row>
    <row r="508" spans="1:51" s="37" customFormat="1" ht="16.5" customHeight="1" x14ac:dyDescent="0.3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X508" s="94"/>
      <c r="AY508" s="94"/>
    </row>
    <row r="509" spans="1:51" s="37" customFormat="1" ht="16.5" customHeight="1" x14ac:dyDescent="0.3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X509" s="94"/>
      <c r="AY509" s="94"/>
    </row>
    <row r="510" spans="1:51" s="37" customFormat="1" ht="16.5" customHeight="1" x14ac:dyDescent="0.3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X510" s="94"/>
      <c r="AY510" s="94"/>
    </row>
    <row r="511" spans="1:51" s="37" customFormat="1" ht="16.5" customHeight="1" x14ac:dyDescent="0.3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X511" s="94"/>
      <c r="AY511" s="94"/>
    </row>
    <row r="512" spans="1:51" s="37" customFormat="1" ht="16.5" customHeight="1" x14ac:dyDescent="0.3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X512" s="94"/>
      <c r="AY512" s="94"/>
    </row>
    <row r="513" spans="1:58" s="37" customFormat="1" ht="16.5" customHeight="1" x14ac:dyDescent="0.3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X513" s="94"/>
      <c r="AY513" s="94"/>
    </row>
    <row r="514" spans="1:58" s="37" customFormat="1" ht="16.5" customHeight="1" x14ac:dyDescent="0.3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X514" s="94"/>
      <c r="AY514" s="94"/>
    </row>
    <row r="515" spans="1:58" s="37" customFormat="1" ht="16.5" customHeight="1" x14ac:dyDescent="0.3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X515" s="94"/>
      <c r="AY515" s="94"/>
    </row>
    <row r="516" spans="1:58" s="37" customFormat="1" ht="16.5" customHeight="1" x14ac:dyDescent="0.3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X516" s="94"/>
      <c r="AY516" s="94"/>
    </row>
    <row r="517" spans="1:58" s="37" customFormat="1" ht="16.5" customHeight="1" x14ac:dyDescent="0.3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X517" s="94"/>
      <c r="AY517" s="94"/>
    </row>
    <row r="518" spans="1:58" s="37" customFormat="1" ht="16.5" customHeight="1" x14ac:dyDescent="0.3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X518" s="94"/>
      <c r="AY518" s="94"/>
    </row>
    <row r="519" spans="1:58" s="37" customFormat="1" ht="16.5" customHeight="1" x14ac:dyDescent="0.3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X519" s="94"/>
      <c r="AY519" s="94"/>
    </row>
    <row r="520" spans="1:58" s="37" customFormat="1" ht="16.5" customHeight="1" x14ac:dyDescent="0.3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X520" s="94"/>
      <c r="AY520" s="94"/>
    </row>
    <row r="521" spans="1:58" s="37" customFormat="1" ht="16.5" customHeight="1" x14ac:dyDescent="0.3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X521" s="94"/>
      <c r="AY521" s="94"/>
    </row>
    <row r="522" spans="1:58" s="37" customFormat="1" ht="16.5" customHeight="1" x14ac:dyDescent="0.3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X522" s="94"/>
      <c r="AY522" s="94"/>
    </row>
    <row r="523" spans="1:58" s="37" customFormat="1" ht="16.5" customHeight="1" x14ac:dyDescent="0.3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X523" s="94"/>
      <c r="AY523" s="94"/>
    </row>
    <row r="524" spans="1:58" s="37" customFormat="1" ht="16.5" customHeight="1" x14ac:dyDescent="0.3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X524" s="94"/>
      <c r="AY524" s="94"/>
    </row>
    <row r="525" spans="1:58" s="37" customFormat="1" ht="16.5" customHeight="1" x14ac:dyDescent="0.3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X525" s="94"/>
      <c r="AY525" s="94"/>
    </row>
    <row r="526" spans="1:58" s="37" customFormat="1" ht="16.5" customHeight="1" x14ac:dyDescent="0.3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X526" s="94"/>
      <c r="AY526" s="94"/>
    </row>
    <row r="527" spans="1:58" s="37" customFormat="1" ht="16.5" customHeight="1" x14ac:dyDescent="0.3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X527" s="94"/>
      <c r="AY527" s="94"/>
    </row>
    <row r="528" spans="1:58" s="37" customFormat="1" ht="16.5" customHeight="1" x14ac:dyDescent="0.3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X528" s="94"/>
      <c r="AY528" s="94"/>
      <c r="AZ528" s="94"/>
      <c r="BA528" s="80" t="s">
        <v>91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X529" s="94"/>
      <c r="AY529" s="94"/>
      <c r="AZ529" s="94"/>
      <c r="BA529" s="80" t="s">
        <v>92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X530" s="94"/>
      <c r="AY530" s="94"/>
      <c r="AZ530" s="94"/>
      <c r="BA530" s="80" t="s">
        <v>98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X531" s="94"/>
      <c r="AY531" s="94"/>
      <c r="AZ531" s="94"/>
      <c r="BA531" s="2"/>
    </row>
    <row r="532" spans="1:58" s="37" customFormat="1" ht="16.5" customHeight="1" x14ac:dyDescent="0.3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X532" s="94"/>
      <c r="AY532" s="94"/>
      <c r="AZ532" s="94"/>
      <c r="BA532" s="80"/>
      <c r="BB532" s="80" t="s">
        <v>94</v>
      </c>
      <c r="BC532" s="80" t="s">
        <v>95</v>
      </c>
      <c r="BD532" s="80" t="s">
        <v>96</v>
      </c>
      <c r="BE532" s="80" t="s">
        <v>97</v>
      </c>
      <c r="BF532" s="80" t="s">
        <v>98</v>
      </c>
    </row>
    <row r="533" spans="1:58" s="37" customFormat="1" ht="16.5" customHeight="1" x14ac:dyDescent="0.3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X533" s="94"/>
      <c r="AY533" s="94"/>
      <c r="BA533" s="80" t="s">
        <v>91</v>
      </c>
      <c r="BB533" s="97" t="e">
        <v>#DIV/0!</v>
      </c>
      <c r="BC533" s="97" t="e">
        <v>#DIV/0!</v>
      </c>
      <c r="BD533" s="97" t="e">
        <v>#DIV/0!</v>
      </c>
      <c r="BE533" s="97" t="e">
        <v>#DIV/0!</v>
      </c>
      <c r="BF533" s="97" t="e">
        <v>#DIV/0!</v>
      </c>
    </row>
    <row r="534" spans="1:58" s="37" customFormat="1" ht="16.5" customHeight="1" x14ac:dyDescent="0.3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X534" s="94"/>
      <c r="AY534" s="94"/>
      <c r="BA534" s="80" t="s">
        <v>92</v>
      </c>
      <c r="BB534" s="97" t="e">
        <v>#DIV/0!</v>
      </c>
      <c r="BC534" s="97" t="e">
        <v>#DIV/0!</v>
      </c>
      <c r="BD534" s="97" t="e">
        <v>#DIV/0!</v>
      </c>
      <c r="BE534" s="97" t="e">
        <v>#DIV/0!</v>
      </c>
      <c r="BF534" s="97" t="e">
        <v>#DIV/0!</v>
      </c>
    </row>
    <row r="535" spans="1:58" s="37" customFormat="1" ht="16.5" customHeight="1" x14ac:dyDescent="0.3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X535" s="94"/>
      <c r="AY535" s="94"/>
      <c r="BA535" s="80" t="s">
        <v>98</v>
      </c>
      <c r="BB535" s="97" t="e">
        <v>#DIV/0!</v>
      </c>
      <c r="BC535" s="97" t="e">
        <v>#DIV/0!</v>
      </c>
      <c r="BD535" s="97" t="e">
        <v>#DIV/0!</v>
      </c>
      <c r="BE535" s="97" t="e">
        <v>#DIV/0!</v>
      </c>
      <c r="BF535" s="97" t="e">
        <v>#DIV/0!</v>
      </c>
    </row>
    <row r="536" spans="1:58" s="37" customFormat="1" ht="16.5" customHeight="1" x14ac:dyDescent="0.3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X536" s="94"/>
      <c r="AY536" s="94"/>
    </row>
    <row r="537" spans="1:58" s="37" customFormat="1" ht="16.5" customHeight="1" x14ac:dyDescent="0.3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X537" s="94"/>
      <c r="AY537" s="94"/>
    </row>
    <row r="538" spans="1:58" s="37" customFormat="1" ht="16.5" customHeight="1" x14ac:dyDescent="0.3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X538" s="94"/>
      <c r="AY538" s="94"/>
    </row>
    <row r="539" spans="1:58" s="37" customFormat="1" ht="16.5" customHeight="1" x14ac:dyDescent="0.3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9231" priority="87688" operator="lessThan">
      <formula>15.1</formula>
    </cfRule>
    <cfRule type="cellIs" dxfId="9230" priority="87689" operator="lessThan">
      <formula>18.1</formula>
    </cfRule>
    <cfRule type="cellIs" dxfId="9229" priority="87690" operator="lessThan">
      <formula>21.1</formula>
    </cfRule>
    <cfRule type="cellIs" dxfId="9228" priority="87691" operator="lessThan">
      <formula>24.1</formula>
    </cfRule>
    <cfRule type="cellIs" dxfId="9227" priority="87692" operator="lessThan">
      <formula>30</formula>
    </cfRule>
    <cfRule type="cellIs" dxfId="9226" priority="87693" operator="lessThan">
      <formula>34.1</formula>
    </cfRule>
  </conditionalFormatting>
  <conditionalFormatting sqref="Z3">
    <cfRule type="colorScale" priority="87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9225" priority="87685" operator="greaterThan">
      <formula>0.9</formula>
    </cfRule>
    <cfRule type="cellIs" dxfId="9224" priority="87686" operator="greaterThan">
      <formula>0.85</formula>
    </cfRule>
  </conditionalFormatting>
  <conditionalFormatting sqref="N2">
    <cfRule type="cellIs" dxfId="9223" priority="87683" operator="greaterThan">
      <formula>0.9</formula>
    </cfRule>
    <cfRule type="cellIs" dxfId="9222" priority="87684" operator="greaterThan">
      <formula>0.85</formula>
    </cfRule>
  </conditionalFormatting>
  <conditionalFormatting sqref="AV221">
    <cfRule type="expression" dxfId="9221" priority="413">
      <formula>AV221="X"</formula>
    </cfRule>
    <cfRule type="expression" dxfId="9220" priority="414">
      <formula>AV221="후보"</formula>
    </cfRule>
  </conditionalFormatting>
  <conditionalFormatting sqref="AC221">
    <cfRule type="cellIs" dxfId="9219" priority="411" operator="greaterThan">
      <formula>0.9</formula>
    </cfRule>
    <cfRule type="cellIs" dxfId="9218" priority="412" operator="greaterThan">
      <formula>0.85</formula>
    </cfRule>
  </conditionalFormatting>
  <conditionalFormatting sqref="N221">
    <cfRule type="cellIs" dxfId="9217" priority="409" operator="greaterThan">
      <formula>0.9</formula>
    </cfRule>
    <cfRule type="cellIs" dxfId="9216" priority="410" operator="greaterThan">
      <formula>0.85</formula>
    </cfRule>
  </conditionalFormatting>
  <conditionalFormatting sqref="E221">
    <cfRule type="expression" dxfId="9215" priority="405">
      <formula>AND(IF(OR($Q221=1,$Q221=2),1,0),IF($X221&lt;=20,1,0))</formula>
    </cfRule>
    <cfRule type="expression" dxfId="9214" priority="406">
      <formula>AND(IF($Q221=2,1,0),IF($X221&lt;30,1,0))</formula>
    </cfRule>
    <cfRule type="expression" dxfId="9213" priority="407">
      <formula>AND(IF($Q221=3,1,0),IF($X221&lt;30,1,0))</formula>
    </cfRule>
    <cfRule type="expression" dxfId="9212" priority="408">
      <formula>AND(IF($Q221=3,1,IF($Q221=4,1,0)),IF($F221&lt;=85,1,0))</formula>
    </cfRule>
  </conditionalFormatting>
  <conditionalFormatting sqref="X221">
    <cfRule type="expression" dxfId="9211" priority="401">
      <formula>AND(IF(OR($Q221=1,$Q221=2),1,0),IF($X221&lt;=20,1,0))</formula>
    </cfRule>
    <cfRule type="expression" dxfId="9210" priority="402">
      <formula>AND(IF($Q221=2,1,0),IF($X221&lt;30,1,0))</formula>
    </cfRule>
    <cfRule type="expression" dxfId="9209" priority="403">
      <formula>AND(IF($Q221=3,1,0),IF($X221&lt;30,1,0))</formula>
    </cfRule>
    <cfRule type="expression" dxfId="9208" priority="404">
      <formula>AND(IF($Q221=3,1,IF($Q221=4,1,0)),IF($F221&lt;=85,1,0))</formula>
    </cfRule>
  </conditionalFormatting>
  <conditionalFormatting sqref="AI221">
    <cfRule type="expression" dxfId="9207" priority="397">
      <formula>AND(IF(OR($Q221=1,$Q221=2),1,0),IF($X221&lt;=20,1,0))</formula>
    </cfRule>
    <cfRule type="expression" dxfId="9206" priority="398">
      <formula>AND(IF($Q221=2,1,0),IF($X221&lt;30,1,0))</formula>
    </cfRule>
    <cfRule type="expression" dxfId="9205" priority="399">
      <formula>AND(IF($Q221=3,1,0),IF($X221&lt;30,1,0))</formula>
    </cfRule>
    <cfRule type="expression" dxfId="9204" priority="400">
      <formula>AND(IF($Q221=3,1,IF($Q221=4,1,0)),IF($F221&lt;=85,1,0))</formula>
    </cfRule>
  </conditionalFormatting>
  <conditionalFormatting sqref="AV222">
    <cfRule type="expression" dxfId="9203" priority="395">
      <formula>AV222="X"</formula>
    </cfRule>
    <cfRule type="expression" dxfId="9202" priority="396">
      <formula>AV222="후보"</formula>
    </cfRule>
  </conditionalFormatting>
  <conditionalFormatting sqref="AC222">
    <cfRule type="cellIs" dxfId="9201" priority="393" operator="greaterThan">
      <formula>0.9</formula>
    </cfRule>
    <cfRule type="cellIs" dxfId="9200" priority="394" operator="greaterThan">
      <formula>0.85</formula>
    </cfRule>
  </conditionalFormatting>
  <conditionalFormatting sqref="N222">
    <cfRule type="cellIs" dxfId="9199" priority="391" operator="greaterThan">
      <formula>0.9</formula>
    </cfRule>
    <cfRule type="cellIs" dxfId="9198" priority="392" operator="greaterThan">
      <formula>0.85</formula>
    </cfRule>
  </conditionalFormatting>
  <conditionalFormatting sqref="E222">
    <cfRule type="expression" dxfId="9197" priority="387">
      <formula>AND(IF(OR($Q222=1,$Q222=2),1,0),IF($X222&lt;=20,1,0))</formula>
    </cfRule>
    <cfRule type="expression" dxfId="9196" priority="388">
      <formula>AND(IF($Q222=2,1,0),IF($X222&lt;30,1,0))</formula>
    </cfRule>
    <cfRule type="expression" dxfId="9195" priority="389">
      <formula>AND(IF($Q222=3,1,0),IF($X222&lt;30,1,0))</formula>
    </cfRule>
    <cfRule type="expression" dxfId="9194" priority="390">
      <formula>AND(IF($Q222=3,1,IF($Q222=4,1,0)),IF($F222&lt;=85,1,0))</formula>
    </cfRule>
  </conditionalFormatting>
  <conditionalFormatting sqref="X222">
    <cfRule type="expression" dxfId="9193" priority="383">
      <formula>AND(IF(OR($Q222=1,$Q222=2),1,0),IF($X222&lt;=20,1,0))</formula>
    </cfRule>
    <cfRule type="expression" dxfId="9192" priority="384">
      <formula>AND(IF($Q222=2,1,0),IF($X222&lt;30,1,0))</formula>
    </cfRule>
    <cfRule type="expression" dxfId="9191" priority="385">
      <formula>AND(IF($Q222=3,1,0),IF($X222&lt;30,1,0))</formula>
    </cfRule>
    <cfRule type="expression" dxfId="9190" priority="386">
      <formula>AND(IF($Q222=3,1,IF($Q222=4,1,0)),IF($F222&lt;=85,1,0))</formula>
    </cfRule>
  </conditionalFormatting>
  <conditionalFormatting sqref="AI222">
    <cfRule type="expression" dxfId="9189" priority="379">
      <formula>AND(IF(OR($Q222=1,$Q222=2),1,0),IF($X222&lt;=20,1,0))</formula>
    </cfRule>
    <cfRule type="expression" dxfId="9188" priority="380">
      <formula>AND(IF($Q222=2,1,0),IF($X222&lt;30,1,0))</formula>
    </cfRule>
    <cfRule type="expression" dxfId="9187" priority="381">
      <formula>AND(IF($Q222=3,1,0),IF($X222&lt;30,1,0))</formula>
    </cfRule>
    <cfRule type="expression" dxfId="9186" priority="382">
      <formula>AND(IF($Q222=3,1,IF($Q222=4,1,0)),IF($F222&lt;=85,1,0))</formula>
    </cfRule>
  </conditionalFormatting>
  <conditionalFormatting sqref="AV223">
    <cfRule type="expression" dxfId="9185" priority="377">
      <formula>AV223="X"</formula>
    </cfRule>
    <cfRule type="expression" dxfId="9184" priority="378">
      <formula>AV223="후보"</formula>
    </cfRule>
  </conditionalFormatting>
  <conditionalFormatting sqref="AC223">
    <cfRule type="cellIs" dxfId="9183" priority="375" operator="greaterThan">
      <formula>0.9</formula>
    </cfRule>
    <cfRule type="cellIs" dxfId="9182" priority="376" operator="greaterThan">
      <formula>0.85</formula>
    </cfRule>
  </conditionalFormatting>
  <conditionalFormatting sqref="N223">
    <cfRule type="cellIs" dxfId="9181" priority="373" operator="greaterThan">
      <formula>0.9</formula>
    </cfRule>
    <cfRule type="cellIs" dxfId="9180" priority="374" operator="greaterThan">
      <formula>0.85</formula>
    </cfRule>
  </conditionalFormatting>
  <conditionalFormatting sqref="E223">
    <cfRule type="expression" dxfId="9179" priority="369">
      <formula>AND(IF(OR($Q223=1,$Q223=2),1,0),IF($X223&lt;=20,1,0))</formula>
    </cfRule>
    <cfRule type="expression" dxfId="9178" priority="370">
      <formula>AND(IF($Q223=2,1,0),IF($X223&lt;30,1,0))</formula>
    </cfRule>
    <cfRule type="expression" dxfId="9177" priority="371">
      <formula>AND(IF($Q223=3,1,0),IF($X223&lt;30,1,0))</formula>
    </cfRule>
    <cfRule type="expression" dxfId="9176" priority="372">
      <formula>AND(IF($Q223=3,1,IF($Q223=4,1,0)),IF($F223&lt;=85,1,0))</formula>
    </cfRule>
  </conditionalFormatting>
  <conditionalFormatting sqref="X223">
    <cfRule type="expression" dxfId="9175" priority="365">
      <formula>AND(IF(OR($Q223=1,$Q223=2),1,0),IF($X223&lt;=20,1,0))</formula>
    </cfRule>
    <cfRule type="expression" dxfId="9174" priority="366">
      <formula>AND(IF($Q223=2,1,0),IF($X223&lt;30,1,0))</formula>
    </cfRule>
    <cfRule type="expression" dxfId="9173" priority="367">
      <formula>AND(IF($Q223=3,1,0),IF($X223&lt;30,1,0))</formula>
    </cfRule>
    <cfRule type="expression" dxfId="9172" priority="368">
      <formula>AND(IF($Q223=3,1,IF($Q223=4,1,0)),IF($F223&lt;=85,1,0))</formula>
    </cfRule>
  </conditionalFormatting>
  <conditionalFormatting sqref="AI223">
    <cfRule type="expression" dxfId="9171" priority="361">
      <formula>AND(IF(OR($Q223=1,$Q223=2),1,0),IF($X223&lt;=20,1,0))</formula>
    </cfRule>
    <cfRule type="expression" dxfId="9170" priority="362">
      <formula>AND(IF($Q223=2,1,0),IF($X223&lt;30,1,0))</formula>
    </cfRule>
    <cfRule type="expression" dxfId="9169" priority="363">
      <formula>AND(IF($Q223=3,1,0),IF($X223&lt;30,1,0))</formula>
    </cfRule>
    <cfRule type="expression" dxfId="9168" priority="364">
      <formula>AND(IF($Q223=3,1,IF($Q223=4,1,0)),IF($F223&lt;=85,1,0))</formula>
    </cfRule>
  </conditionalFormatting>
  <conditionalFormatting sqref="AV224">
    <cfRule type="expression" dxfId="9167" priority="359">
      <formula>AV224="X"</formula>
    </cfRule>
    <cfRule type="expression" dxfId="9166" priority="360">
      <formula>AV224="후보"</formula>
    </cfRule>
  </conditionalFormatting>
  <conditionalFormatting sqref="AC224">
    <cfRule type="cellIs" dxfId="9165" priority="357" operator="greaterThan">
      <formula>0.9</formula>
    </cfRule>
    <cfRule type="cellIs" dxfId="9164" priority="358" operator="greaterThan">
      <formula>0.85</formula>
    </cfRule>
  </conditionalFormatting>
  <conditionalFormatting sqref="N224">
    <cfRule type="cellIs" dxfId="9163" priority="355" operator="greaterThan">
      <formula>0.9</formula>
    </cfRule>
    <cfRule type="cellIs" dxfId="9162" priority="356" operator="greaterThan">
      <formula>0.85</formula>
    </cfRule>
  </conditionalFormatting>
  <conditionalFormatting sqref="E224">
    <cfRule type="expression" dxfId="9161" priority="351">
      <formula>AND(IF(OR($Q224=1,$Q224=2),1,0),IF($X224&lt;=20,1,0))</formula>
    </cfRule>
    <cfRule type="expression" dxfId="9160" priority="352">
      <formula>AND(IF($Q224=2,1,0),IF($X224&lt;30,1,0))</formula>
    </cfRule>
    <cfRule type="expression" dxfId="9159" priority="353">
      <formula>AND(IF($Q224=3,1,0),IF($X224&lt;30,1,0))</formula>
    </cfRule>
    <cfRule type="expression" dxfId="9158" priority="354">
      <formula>AND(IF($Q224=3,1,IF($Q224=4,1,0)),IF($F224&lt;=85,1,0))</formula>
    </cfRule>
  </conditionalFormatting>
  <conditionalFormatting sqref="X224">
    <cfRule type="expression" dxfId="9157" priority="347">
      <formula>AND(IF(OR($Q224=1,$Q224=2),1,0),IF($X224&lt;=20,1,0))</formula>
    </cfRule>
    <cfRule type="expression" dxfId="9156" priority="348">
      <formula>AND(IF($Q224=2,1,0),IF($X224&lt;30,1,0))</formula>
    </cfRule>
    <cfRule type="expression" dxfId="9155" priority="349">
      <formula>AND(IF($Q224=3,1,0),IF($X224&lt;30,1,0))</formula>
    </cfRule>
    <cfRule type="expression" dxfId="9154" priority="350">
      <formula>AND(IF($Q224=3,1,IF($Q224=4,1,0)),IF($F224&lt;=85,1,0))</formula>
    </cfRule>
  </conditionalFormatting>
  <conditionalFormatting sqref="AI224">
    <cfRule type="expression" dxfId="9153" priority="343">
      <formula>AND(IF(OR($Q224=1,$Q224=2),1,0),IF($X224&lt;=20,1,0))</formula>
    </cfRule>
    <cfRule type="expression" dxfId="9152" priority="344">
      <formula>AND(IF($Q224=2,1,0),IF($X224&lt;30,1,0))</formula>
    </cfRule>
    <cfRule type="expression" dxfId="9151" priority="345">
      <formula>AND(IF($Q224=3,1,0),IF($X224&lt;30,1,0))</formula>
    </cfRule>
    <cfRule type="expression" dxfId="9150" priority="346">
      <formula>AND(IF($Q224=3,1,IF($Q224=4,1,0)),IF($F224&lt;=85,1,0))</formula>
    </cfRule>
  </conditionalFormatting>
  <conditionalFormatting sqref="AV225">
    <cfRule type="expression" dxfId="9149" priority="341">
      <formula>AV225="X"</formula>
    </cfRule>
    <cfRule type="expression" dxfId="9148" priority="342">
      <formula>AV225="후보"</formula>
    </cfRule>
  </conditionalFormatting>
  <conditionalFormatting sqref="AC225">
    <cfRule type="cellIs" dxfId="9147" priority="339" operator="greaterThan">
      <formula>0.9</formula>
    </cfRule>
    <cfRule type="cellIs" dxfId="9146" priority="340" operator="greaterThan">
      <formula>0.85</formula>
    </cfRule>
  </conditionalFormatting>
  <conditionalFormatting sqref="N225">
    <cfRule type="cellIs" dxfId="9145" priority="337" operator="greaterThan">
      <formula>0.9</formula>
    </cfRule>
    <cfRule type="cellIs" dxfId="9144" priority="338" operator="greaterThan">
      <formula>0.85</formula>
    </cfRule>
  </conditionalFormatting>
  <conditionalFormatting sqref="E225">
    <cfRule type="expression" dxfId="9143" priority="333">
      <formula>AND(IF(OR($Q225=1,$Q225=2),1,0),IF($X225&lt;=20,1,0))</formula>
    </cfRule>
    <cfRule type="expression" dxfId="9142" priority="334">
      <formula>AND(IF($Q225=2,1,0),IF($X225&lt;30,1,0))</formula>
    </cfRule>
    <cfRule type="expression" dxfId="9141" priority="335">
      <formula>AND(IF($Q225=3,1,0),IF($X225&lt;30,1,0))</formula>
    </cfRule>
    <cfRule type="expression" dxfId="9140" priority="336">
      <formula>AND(IF($Q225=3,1,IF($Q225=4,1,0)),IF($F225&lt;=85,1,0))</formula>
    </cfRule>
  </conditionalFormatting>
  <conditionalFormatting sqref="X225">
    <cfRule type="expression" dxfId="9139" priority="329">
      <formula>AND(IF(OR($Q225=1,$Q225=2),1,0),IF($X225&lt;=20,1,0))</formula>
    </cfRule>
    <cfRule type="expression" dxfId="9138" priority="330">
      <formula>AND(IF($Q225=2,1,0),IF($X225&lt;30,1,0))</formula>
    </cfRule>
    <cfRule type="expression" dxfId="9137" priority="331">
      <formula>AND(IF($Q225=3,1,0),IF($X225&lt;30,1,0))</formula>
    </cfRule>
    <cfRule type="expression" dxfId="9136" priority="332">
      <formula>AND(IF($Q225=3,1,IF($Q225=4,1,0)),IF($F225&lt;=85,1,0))</formula>
    </cfRule>
  </conditionalFormatting>
  <conditionalFormatting sqref="AI225">
    <cfRule type="expression" dxfId="9135" priority="325">
      <formula>AND(IF(OR($Q225=1,$Q225=2),1,0),IF($X225&lt;=20,1,0))</formula>
    </cfRule>
    <cfRule type="expression" dxfId="9134" priority="326">
      <formula>AND(IF($Q225=2,1,0),IF($X225&lt;30,1,0))</formula>
    </cfRule>
    <cfRule type="expression" dxfId="9133" priority="327">
      <formula>AND(IF($Q225=3,1,0),IF($X225&lt;30,1,0))</formula>
    </cfRule>
    <cfRule type="expression" dxfId="9132" priority="328">
      <formula>AND(IF($Q225=3,1,IF($Q225=4,1,0)),IF($F225&lt;=85,1,0))</formula>
    </cfRule>
  </conditionalFormatting>
  <conditionalFormatting sqref="AV226">
    <cfRule type="expression" dxfId="9131" priority="323">
      <formula>AV226="X"</formula>
    </cfRule>
    <cfRule type="expression" dxfId="9130" priority="324">
      <formula>AV226="후보"</formula>
    </cfRule>
  </conditionalFormatting>
  <conditionalFormatting sqref="AC226">
    <cfRule type="cellIs" dxfId="9129" priority="321" operator="greaterThan">
      <formula>0.9</formula>
    </cfRule>
    <cfRule type="cellIs" dxfId="9128" priority="322" operator="greaterThan">
      <formula>0.85</formula>
    </cfRule>
  </conditionalFormatting>
  <conditionalFormatting sqref="N226">
    <cfRule type="cellIs" dxfId="9127" priority="319" operator="greaterThan">
      <formula>0.9</formula>
    </cfRule>
    <cfRule type="cellIs" dxfId="9126" priority="320" operator="greaterThan">
      <formula>0.85</formula>
    </cfRule>
  </conditionalFormatting>
  <conditionalFormatting sqref="E226">
    <cfRule type="expression" dxfId="9125" priority="315">
      <formula>AND(IF(OR($Q226=1,$Q226=2),1,0),IF($X226&lt;=20,1,0))</formula>
    </cfRule>
    <cfRule type="expression" dxfId="9124" priority="316">
      <formula>AND(IF($Q226=2,1,0),IF($X226&lt;30,1,0))</formula>
    </cfRule>
    <cfRule type="expression" dxfId="9123" priority="317">
      <formula>AND(IF($Q226=3,1,0),IF($X226&lt;30,1,0))</formula>
    </cfRule>
    <cfRule type="expression" dxfId="9122" priority="318">
      <formula>AND(IF($Q226=3,1,IF($Q226=4,1,0)),IF($F226&lt;=85,1,0))</formula>
    </cfRule>
  </conditionalFormatting>
  <conditionalFormatting sqref="X226">
    <cfRule type="expression" dxfId="9121" priority="311">
      <formula>AND(IF(OR($Q226=1,$Q226=2),1,0),IF($X226&lt;=20,1,0))</formula>
    </cfRule>
    <cfRule type="expression" dxfId="9120" priority="312">
      <formula>AND(IF($Q226=2,1,0),IF($X226&lt;30,1,0))</formula>
    </cfRule>
    <cfRule type="expression" dxfId="9119" priority="313">
      <formula>AND(IF($Q226=3,1,0),IF($X226&lt;30,1,0))</formula>
    </cfRule>
    <cfRule type="expression" dxfId="9118" priority="314">
      <formula>AND(IF($Q226=3,1,IF($Q226=4,1,0)),IF($F226&lt;=85,1,0))</formula>
    </cfRule>
  </conditionalFormatting>
  <conditionalFormatting sqref="AI226">
    <cfRule type="expression" dxfId="9117" priority="307">
      <formula>AND(IF(OR($Q226=1,$Q226=2),1,0),IF($X226&lt;=20,1,0))</formula>
    </cfRule>
    <cfRule type="expression" dxfId="9116" priority="308">
      <formula>AND(IF($Q226=2,1,0),IF($X226&lt;30,1,0))</formula>
    </cfRule>
    <cfRule type="expression" dxfId="9115" priority="309">
      <formula>AND(IF($Q226=3,1,0),IF($X226&lt;30,1,0))</formula>
    </cfRule>
    <cfRule type="expression" dxfId="9114" priority="310">
      <formula>AND(IF($Q226=3,1,IF($Q226=4,1,0)),IF($F226&lt;=85,1,0))</formula>
    </cfRule>
  </conditionalFormatting>
  <conditionalFormatting sqref="AV227">
    <cfRule type="expression" dxfId="9113" priority="305">
      <formula>AV227="X"</formula>
    </cfRule>
    <cfRule type="expression" dxfId="9112" priority="306">
      <formula>AV227="후보"</formula>
    </cfRule>
  </conditionalFormatting>
  <conditionalFormatting sqref="AC227">
    <cfRule type="cellIs" dxfId="9111" priority="303" operator="greaterThan">
      <formula>0.9</formula>
    </cfRule>
    <cfRule type="cellIs" dxfId="9110" priority="304" operator="greaterThan">
      <formula>0.85</formula>
    </cfRule>
  </conditionalFormatting>
  <conditionalFormatting sqref="N227">
    <cfRule type="cellIs" dxfId="9109" priority="301" operator="greaterThan">
      <formula>0.9</formula>
    </cfRule>
    <cfRule type="cellIs" dxfId="9108" priority="302" operator="greaterThan">
      <formula>0.85</formula>
    </cfRule>
  </conditionalFormatting>
  <conditionalFormatting sqref="E227">
    <cfRule type="expression" dxfId="9107" priority="297">
      <formula>AND(IF(OR($Q227=1,$Q227=2),1,0),IF($X227&lt;=20,1,0))</formula>
    </cfRule>
    <cfRule type="expression" dxfId="9106" priority="298">
      <formula>AND(IF($Q227=2,1,0),IF($X227&lt;30,1,0))</formula>
    </cfRule>
    <cfRule type="expression" dxfId="9105" priority="299">
      <formula>AND(IF($Q227=3,1,0),IF($X227&lt;30,1,0))</formula>
    </cfRule>
    <cfRule type="expression" dxfId="9104" priority="300">
      <formula>AND(IF($Q227=3,1,IF($Q227=4,1,0)),IF($F227&lt;=85,1,0))</formula>
    </cfRule>
  </conditionalFormatting>
  <conditionalFormatting sqref="X227">
    <cfRule type="expression" dxfId="9103" priority="293">
      <formula>AND(IF(OR($Q227=1,$Q227=2),1,0),IF($X227&lt;=20,1,0))</formula>
    </cfRule>
    <cfRule type="expression" dxfId="9102" priority="294">
      <formula>AND(IF($Q227=2,1,0),IF($X227&lt;30,1,0))</formula>
    </cfRule>
    <cfRule type="expression" dxfId="9101" priority="295">
      <formula>AND(IF($Q227=3,1,0),IF($X227&lt;30,1,0))</formula>
    </cfRule>
    <cfRule type="expression" dxfId="9100" priority="296">
      <formula>AND(IF($Q227=3,1,IF($Q227=4,1,0)),IF($F227&lt;=85,1,0))</formula>
    </cfRule>
  </conditionalFormatting>
  <conditionalFormatting sqref="AI227">
    <cfRule type="expression" dxfId="9099" priority="289">
      <formula>AND(IF(OR($Q227=1,$Q227=2),1,0),IF($X227&lt;=20,1,0))</formula>
    </cfRule>
    <cfRule type="expression" dxfId="9098" priority="290">
      <formula>AND(IF($Q227=2,1,0),IF($X227&lt;30,1,0))</formula>
    </cfRule>
    <cfRule type="expression" dxfId="9097" priority="291">
      <formula>AND(IF($Q227=3,1,0),IF($X227&lt;30,1,0))</formula>
    </cfRule>
    <cfRule type="expression" dxfId="9096" priority="292">
      <formula>AND(IF($Q227=3,1,IF($Q227=4,1,0)),IF($F227&lt;=85,1,0))</formula>
    </cfRule>
  </conditionalFormatting>
  <conditionalFormatting sqref="AV228">
    <cfRule type="expression" dxfId="9095" priority="287">
      <formula>AV228="X"</formula>
    </cfRule>
    <cfRule type="expression" dxfId="9094" priority="288">
      <formula>AV228="후보"</formula>
    </cfRule>
  </conditionalFormatting>
  <conditionalFormatting sqref="AC228">
    <cfRule type="cellIs" dxfId="9093" priority="285" operator="greaterThan">
      <formula>0.9</formula>
    </cfRule>
    <cfRule type="cellIs" dxfId="9092" priority="286" operator="greaterThan">
      <formula>0.85</formula>
    </cfRule>
  </conditionalFormatting>
  <conditionalFormatting sqref="N228">
    <cfRule type="cellIs" dxfId="9091" priority="283" operator="greaterThan">
      <formula>0.9</formula>
    </cfRule>
    <cfRule type="cellIs" dxfId="9090" priority="284" operator="greaterThan">
      <formula>0.85</formula>
    </cfRule>
  </conditionalFormatting>
  <conditionalFormatting sqref="E228">
    <cfRule type="expression" dxfId="9089" priority="279">
      <formula>AND(IF(OR($Q228=1,$Q228=2),1,0),IF($X228&lt;=20,1,0))</formula>
    </cfRule>
    <cfRule type="expression" dxfId="9088" priority="280">
      <formula>AND(IF($Q228=2,1,0),IF($X228&lt;30,1,0))</formula>
    </cfRule>
    <cfRule type="expression" dxfId="9087" priority="281">
      <formula>AND(IF($Q228=3,1,0),IF($X228&lt;30,1,0))</formula>
    </cfRule>
    <cfRule type="expression" dxfId="9086" priority="282">
      <formula>AND(IF($Q228=3,1,IF($Q228=4,1,0)),IF($F228&lt;=85,1,0))</formula>
    </cfRule>
  </conditionalFormatting>
  <conditionalFormatting sqref="X228">
    <cfRule type="expression" dxfId="9085" priority="275">
      <formula>AND(IF(OR($Q228=1,$Q228=2),1,0),IF($X228&lt;=20,1,0))</formula>
    </cfRule>
    <cfRule type="expression" dxfId="9084" priority="276">
      <formula>AND(IF($Q228=2,1,0),IF($X228&lt;30,1,0))</formula>
    </cfRule>
    <cfRule type="expression" dxfId="9083" priority="277">
      <formula>AND(IF($Q228=3,1,0),IF($X228&lt;30,1,0))</formula>
    </cfRule>
    <cfRule type="expression" dxfId="9082" priority="278">
      <formula>AND(IF($Q228=3,1,IF($Q228=4,1,0)),IF($F228&lt;=85,1,0))</formula>
    </cfRule>
  </conditionalFormatting>
  <conditionalFormatting sqref="AI228">
    <cfRule type="expression" dxfId="9081" priority="271">
      <formula>AND(IF(OR($Q228=1,$Q228=2),1,0),IF($X228&lt;=20,1,0))</formula>
    </cfRule>
    <cfRule type="expression" dxfId="9080" priority="272">
      <formula>AND(IF($Q228=2,1,0),IF($X228&lt;30,1,0))</formula>
    </cfRule>
    <cfRule type="expression" dxfId="9079" priority="273">
      <formula>AND(IF($Q228=3,1,0),IF($X228&lt;30,1,0))</formula>
    </cfRule>
    <cfRule type="expression" dxfId="9078" priority="274">
      <formula>AND(IF($Q228=3,1,IF($Q228=4,1,0)),IF($F228&lt;=85,1,0))</formula>
    </cfRule>
  </conditionalFormatting>
  <conditionalFormatting sqref="AV229">
    <cfRule type="expression" dxfId="9077" priority="269">
      <formula>AV229="X"</formula>
    </cfRule>
    <cfRule type="expression" dxfId="9076" priority="270">
      <formula>AV229="후보"</formula>
    </cfRule>
  </conditionalFormatting>
  <conditionalFormatting sqref="AC229">
    <cfRule type="cellIs" dxfId="9075" priority="267" operator="greaterThan">
      <formula>0.9</formula>
    </cfRule>
    <cfRule type="cellIs" dxfId="9074" priority="268" operator="greaterThan">
      <formula>0.85</formula>
    </cfRule>
  </conditionalFormatting>
  <conditionalFormatting sqref="N229">
    <cfRule type="cellIs" dxfId="9073" priority="265" operator="greaterThan">
      <formula>0.9</formula>
    </cfRule>
    <cfRule type="cellIs" dxfId="9072" priority="266" operator="greaterThan">
      <formula>0.85</formula>
    </cfRule>
  </conditionalFormatting>
  <conditionalFormatting sqref="E229">
    <cfRule type="expression" dxfId="9071" priority="261">
      <formula>AND(IF(OR($Q229=1,$Q229=2),1,0),IF($X229&lt;=20,1,0))</formula>
    </cfRule>
    <cfRule type="expression" dxfId="9070" priority="262">
      <formula>AND(IF($Q229=2,1,0),IF($X229&lt;30,1,0))</formula>
    </cfRule>
    <cfRule type="expression" dxfId="9069" priority="263">
      <formula>AND(IF($Q229=3,1,0),IF($X229&lt;30,1,0))</formula>
    </cfRule>
    <cfRule type="expression" dxfId="9068" priority="264">
      <formula>AND(IF($Q229=3,1,IF($Q229=4,1,0)),IF($F229&lt;=85,1,0))</formula>
    </cfRule>
  </conditionalFormatting>
  <conditionalFormatting sqref="X229">
    <cfRule type="expression" dxfId="9067" priority="257">
      <formula>AND(IF(OR($Q229=1,$Q229=2),1,0),IF($X229&lt;=20,1,0))</formula>
    </cfRule>
    <cfRule type="expression" dxfId="9066" priority="258">
      <formula>AND(IF($Q229=2,1,0),IF($X229&lt;30,1,0))</formula>
    </cfRule>
    <cfRule type="expression" dxfId="9065" priority="259">
      <formula>AND(IF($Q229=3,1,0),IF($X229&lt;30,1,0))</formula>
    </cfRule>
    <cfRule type="expression" dxfId="9064" priority="260">
      <formula>AND(IF($Q229=3,1,IF($Q229=4,1,0)),IF($F229&lt;=85,1,0))</formula>
    </cfRule>
  </conditionalFormatting>
  <conditionalFormatting sqref="AI229">
    <cfRule type="expression" dxfId="9063" priority="253">
      <formula>AND(IF(OR($Q229=1,$Q229=2),1,0),IF($X229&lt;=20,1,0))</formula>
    </cfRule>
    <cfRule type="expression" dxfId="9062" priority="254">
      <formula>AND(IF($Q229=2,1,0),IF($X229&lt;30,1,0))</formula>
    </cfRule>
    <cfRule type="expression" dxfId="9061" priority="255">
      <formula>AND(IF($Q229=3,1,0),IF($X229&lt;30,1,0))</formula>
    </cfRule>
    <cfRule type="expression" dxfId="9060" priority="256">
      <formula>AND(IF($Q229=3,1,IF($Q229=4,1,0)),IF($F229&lt;=85,1,0))</formula>
    </cfRule>
  </conditionalFormatting>
  <conditionalFormatting sqref="AV230">
    <cfRule type="expression" dxfId="9059" priority="251">
      <formula>AV230="X"</formula>
    </cfRule>
    <cfRule type="expression" dxfId="9058" priority="252">
      <formula>AV230="후보"</formula>
    </cfRule>
  </conditionalFormatting>
  <conditionalFormatting sqref="AC230">
    <cfRule type="cellIs" dxfId="9057" priority="249" operator="greaterThan">
      <formula>0.9</formula>
    </cfRule>
    <cfRule type="cellIs" dxfId="9056" priority="250" operator="greaterThan">
      <formula>0.85</formula>
    </cfRule>
  </conditionalFormatting>
  <conditionalFormatting sqref="N230">
    <cfRule type="cellIs" dxfId="9055" priority="247" operator="greaterThan">
      <formula>0.9</formula>
    </cfRule>
    <cfRule type="cellIs" dxfId="9054" priority="248" operator="greaterThan">
      <formula>0.85</formula>
    </cfRule>
  </conditionalFormatting>
  <conditionalFormatting sqref="E230">
    <cfRule type="expression" dxfId="9053" priority="243">
      <formula>AND(IF(OR($Q230=1,$Q230=2),1,0),IF($X230&lt;=20,1,0))</formula>
    </cfRule>
    <cfRule type="expression" dxfId="9052" priority="244">
      <formula>AND(IF($Q230=2,1,0),IF($X230&lt;30,1,0))</formula>
    </cfRule>
    <cfRule type="expression" dxfId="9051" priority="245">
      <formula>AND(IF($Q230=3,1,0),IF($X230&lt;30,1,0))</formula>
    </cfRule>
    <cfRule type="expression" dxfId="9050" priority="246">
      <formula>AND(IF($Q230=3,1,IF($Q230=4,1,0)),IF($F230&lt;=85,1,0))</formula>
    </cfRule>
  </conditionalFormatting>
  <conditionalFormatting sqref="X230">
    <cfRule type="expression" dxfId="9049" priority="239">
      <formula>AND(IF(OR($Q230=1,$Q230=2),1,0),IF($X230&lt;=20,1,0))</formula>
    </cfRule>
    <cfRule type="expression" dxfId="9048" priority="240">
      <formula>AND(IF($Q230=2,1,0),IF($X230&lt;30,1,0))</formula>
    </cfRule>
    <cfRule type="expression" dxfId="9047" priority="241">
      <formula>AND(IF($Q230=3,1,0),IF($X230&lt;30,1,0))</formula>
    </cfRule>
    <cfRule type="expression" dxfId="9046" priority="242">
      <formula>AND(IF($Q230=3,1,IF($Q230=4,1,0)),IF($F230&lt;=85,1,0))</formula>
    </cfRule>
  </conditionalFormatting>
  <conditionalFormatting sqref="AI230">
    <cfRule type="expression" dxfId="9045" priority="235">
      <formula>AND(IF(OR($Q230=1,$Q230=2),1,0),IF($X230&lt;=20,1,0))</formula>
    </cfRule>
    <cfRule type="expression" dxfId="9044" priority="236">
      <formula>AND(IF($Q230=2,1,0),IF($X230&lt;30,1,0))</formula>
    </cfRule>
    <cfRule type="expression" dxfId="9043" priority="237">
      <formula>AND(IF($Q230=3,1,0),IF($X230&lt;30,1,0))</formula>
    </cfRule>
    <cfRule type="expression" dxfId="9042" priority="238">
      <formula>AND(IF($Q230=3,1,IF($Q230=4,1,0)),IF($F230&lt;=85,1,0))</formula>
    </cfRule>
  </conditionalFormatting>
  <conditionalFormatting sqref="AV231">
    <cfRule type="expression" dxfId="9041" priority="233">
      <formula>AV231="X"</formula>
    </cfRule>
    <cfRule type="expression" dxfId="9040" priority="234">
      <formula>AV231="후보"</formula>
    </cfRule>
  </conditionalFormatting>
  <conditionalFormatting sqref="AC231">
    <cfRule type="cellIs" dxfId="9039" priority="231" operator="greaterThan">
      <formula>0.9</formula>
    </cfRule>
    <cfRule type="cellIs" dxfId="9038" priority="232" operator="greaterThan">
      <formula>0.85</formula>
    </cfRule>
  </conditionalFormatting>
  <conditionalFormatting sqref="N231">
    <cfRule type="cellIs" dxfId="9037" priority="229" operator="greaterThan">
      <formula>0.9</formula>
    </cfRule>
    <cfRule type="cellIs" dxfId="9036" priority="230" operator="greaterThan">
      <formula>0.85</formula>
    </cfRule>
  </conditionalFormatting>
  <conditionalFormatting sqref="E231">
    <cfRule type="expression" dxfId="9035" priority="225">
      <formula>AND(IF(OR($Q231=1,$Q231=2),1,0),IF($X231&lt;=20,1,0))</formula>
    </cfRule>
    <cfRule type="expression" dxfId="9034" priority="226">
      <formula>AND(IF($Q231=2,1,0),IF($X231&lt;30,1,0))</formula>
    </cfRule>
    <cfRule type="expression" dxfId="9033" priority="227">
      <formula>AND(IF($Q231=3,1,0),IF($X231&lt;30,1,0))</formula>
    </cfRule>
    <cfRule type="expression" dxfId="9032" priority="228">
      <formula>AND(IF($Q231=3,1,IF($Q231=4,1,0)),IF($F231&lt;=85,1,0))</formula>
    </cfRule>
  </conditionalFormatting>
  <conditionalFormatting sqref="X231">
    <cfRule type="expression" dxfId="9031" priority="221">
      <formula>AND(IF(OR($Q231=1,$Q231=2),1,0),IF($X231&lt;=20,1,0))</formula>
    </cfRule>
    <cfRule type="expression" dxfId="9030" priority="222">
      <formula>AND(IF($Q231=2,1,0),IF($X231&lt;30,1,0))</formula>
    </cfRule>
    <cfRule type="expression" dxfId="9029" priority="223">
      <formula>AND(IF($Q231=3,1,0),IF($X231&lt;30,1,0))</formula>
    </cfRule>
    <cfRule type="expression" dxfId="9028" priority="224">
      <formula>AND(IF($Q231=3,1,IF($Q231=4,1,0)),IF($F231&lt;=85,1,0))</formula>
    </cfRule>
  </conditionalFormatting>
  <conditionalFormatting sqref="AI231">
    <cfRule type="expression" dxfId="9027" priority="217">
      <formula>AND(IF(OR($Q231=1,$Q231=2),1,0),IF($X231&lt;=20,1,0))</formula>
    </cfRule>
    <cfRule type="expression" dxfId="9026" priority="218">
      <formula>AND(IF($Q231=2,1,0),IF($X231&lt;30,1,0))</formula>
    </cfRule>
    <cfRule type="expression" dxfId="9025" priority="219">
      <formula>AND(IF($Q231=3,1,0),IF($X231&lt;30,1,0))</formula>
    </cfRule>
    <cfRule type="expression" dxfId="9024" priority="220">
      <formula>AND(IF($Q231=3,1,IF($Q231=4,1,0)),IF($F231&lt;=85,1,0))</formula>
    </cfRule>
  </conditionalFormatting>
  <conditionalFormatting sqref="AV232">
    <cfRule type="expression" dxfId="9023" priority="215">
      <formula>AV232="X"</formula>
    </cfRule>
    <cfRule type="expression" dxfId="9022" priority="216">
      <formula>AV232="후보"</formula>
    </cfRule>
  </conditionalFormatting>
  <conditionalFormatting sqref="AC232">
    <cfRule type="cellIs" dxfId="9021" priority="213" operator="greaterThan">
      <formula>0.9</formula>
    </cfRule>
    <cfRule type="cellIs" dxfId="9020" priority="214" operator="greaterThan">
      <formula>0.85</formula>
    </cfRule>
  </conditionalFormatting>
  <conditionalFormatting sqref="N232">
    <cfRule type="cellIs" dxfId="9019" priority="211" operator="greaterThan">
      <formula>0.9</formula>
    </cfRule>
    <cfRule type="cellIs" dxfId="9018" priority="212" operator="greaterThan">
      <formula>0.85</formula>
    </cfRule>
  </conditionalFormatting>
  <conditionalFormatting sqref="E232">
    <cfRule type="expression" dxfId="9017" priority="207">
      <formula>AND(IF(OR($Q232=1,$Q232=2),1,0),IF($X232&lt;=20,1,0))</formula>
    </cfRule>
    <cfRule type="expression" dxfId="9016" priority="208">
      <formula>AND(IF($Q232=2,1,0),IF($X232&lt;30,1,0))</formula>
    </cfRule>
    <cfRule type="expression" dxfId="9015" priority="209">
      <formula>AND(IF($Q232=3,1,0),IF($X232&lt;30,1,0))</formula>
    </cfRule>
    <cfRule type="expression" dxfId="9014" priority="210">
      <formula>AND(IF($Q232=3,1,IF($Q232=4,1,0)),IF($F232&lt;=85,1,0))</formula>
    </cfRule>
  </conditionalFormatting>
  <conditionalFormatting sqref="X232">
    <cfRule type="expression" dxfId="9013" priority="203">
      <formula>AND(IF(OR($Q232=1,$Q232=2),1,0),IF($X232&lt;=20,1,0))</formula>
    </cfRule>
    <cfRule type="expression" dxfId="9012" priority="204">
      <formula>AND(IF($Q232=2,1,0),IF($X232&lt;30,1,0))</formula>
    </cfRule>
    <cfRule type="expression" dxfId="9011" priority="205">
      <formula>AND(IF($Q232=3,1,0),IF($X232&lt;30,1,0))</formula>
    </cfRule>
    <cfRule type="expression" dxfId="9010" priority="206">
      <formula>AND(IF($Q232=3,1,IF($Q232=4,1,0)),IF($F232&lt;=85,1,0))</formula>
    </cfRule>
  </conditionalFormatting>
  <conditionalFormatting sqref="AI232">
    <cfRule type="expression" dxfId="9009" priority="199">
      <formula>AND(IF(OR($Q232=1,$Q232=2),1,0),IF($X232&lt;=20,1,0))</formula>
    </cfRule>
    <cfRule type="expression" dxfId="9008" priority="200">
      <formula>AND(IF($Q232=2,1,0),IF($X232&lt;30,1,0))</formula>
    </cfRule>
    <cfRule type="expression" dxfId="9007" priority="201">
      <formula>AND(IF($Q232=3,1,0),IF($X232&lt;30,1,0))</formula>
    </cfRule>
    <cfRule type="expression" dxfId="9006" priority="202">
      <formula>AND(IF($Q232=3,1,IF($Q232=4,1,0)),IF($F232&lt;=85,1,0))</formula>
    </cfRule>
  </conditionalFormatting>
  <conditionalFormatting sqref="AV233">
    <cfRule type="expression" dxfId="9005" priority="197">
      <formula>AV233="X"</formula>
    </cfRule>
    <cfRule type="expression" dxfId="9004" priority="198">
      <formula>AV233="후보"</formula>
    </cfRule>
  </conditionalFormatting>
  <conditionalFormatting sqref="AC233">
    <cfRule type="cellIs" dxfId="9003" priority="195" operator="greaterThan">
      <formula>0.9</formula>
    </cfRule>
    <cfRule type="cellIs" dxfId="9002" priority="196" operator="greaterThan">
      <formula>0.85</formula>
    </cfRule>
  </conditionalFormatting>
  <conditionalFormatting sqref="N233">
    <cfRule type="cellIs" dxfId="9001" priority="193" operator="greaterThan">
      <formula>0.9</formula>
    </cfRule>
    <cfRule type="cellIs" dxfId="9000" priority="194" operator="greaterThan">
      <formula>0.85</formula>
    </cfRule>
  </conditionalFormatting>
  <conditionalFormatting sqref="E233">
    <cfRule type="expression" dxfId="8999" priority="189">
      <formula>AND(IF(OR($Q233=1,$Q233=2),1,0),IF($X233&lt;=20,1,0))</formula>
    </cfRule>
    <cfRule type="expression" dxfId="8998" priority="190">
      <formula>AND(IF($Q233=2,1,0),IF($X233&lt;30,1,0))</formula>
    </cfRule>
    <cfRule type="expression" dxfId="8997" priority="191">
      <formula>AND(IF($Q233=3,1,0),IF($X233&lt;30,1,0))</formula>
    </cfRule>
    <cfRule type="expression" dxfId="8996" priority="192">
      <formula>AND(IF($Q233=3,1,IF($Q233=4,1,0)),IF($F233&lt;=85,1,0))</formula>
    </cfRule>
  </conditionalFormatting>
  <conditionalFormatting sqref="X233">
    <cfRule type="expression" dxfId="8995" priority="185">
      <formula>AND(IF(OR($Q233=1,$Q233=2),1,0),IF($X233&lt;=20,1,0))</formula>
    </cfRule>
    <cfRule type="expression" dxfId="8994" priority="186">
      <formula>AND(IF($Q233=2,1,0),IF($X233&lt;30,1,0))</formula>
    </cfRule>
    <cfRule type="expression" dxfId="8993" priority="187">
      <formula>AND(IF($Q233=3,1,0),IF($X233&lt;30,1,0))</formula>
    </cfRule>
    <cfRule type="expression" dxfId="8992" priority="188">
      <formula>AND(IF($Q233=3,1,IF($Q233=4,1,0)),IF($F233&lt;=85,1,0))</formula>
    </cfRule>
  </conditionalFormatting>
  <conditionalFormatting sqref="AI233">
    <cfRule type="expression" dxfId="8991" priority="181">
      <formula>AND(IF(OR($Q233=1,$Q233=2),1,0),IF($X233&lt;=20,1,0))</formula>
    </cfRule>
    <cfRule type="expression" dxfId="8990" priority="182">
      <formula>AND(IF($Q233=2,1,0),IF($X233&lt;30,1,0))</formula>
    </cfRule>
    <cfRule type="expression" dxfId="8989" priority="183">
      <formula>AND(IF($Q233=3,1,0),IF($X233&lt;30,1,0))</formula>
    </cfRule>
    <cfRule type="expression" dxfId="8988" priority="184">
      <formula>AND(IF($Q233=3,1,IF($Q233=4,1,0)),IF($F233&lt;=85,1,0))</formula>
    </cfRule>
  </conditionalFormatting>
  <conditionalFormatting sqref="AV234">
    <cfRule type="expression" dxfId="8987" priority="179">
      <formula>AV234="X"</formula>
    </cfRule>
    <cfRule type="expression" dxfId="8986" priority="180">
      <formula>AV234="후보"</formula>
    </cfRule>
  </conditionalFormatting>
  <conditionalFormatting sqref="AC234">
    <cfRule type="cellIs" dxfId="8985" priority="177" operator="greaterThan">
      <formula>0.9</formula>
    </cfRule>
    <cfRule type="cellIs" dxfId="8984" priority="178" operator="greaterThan">
      <formula>0.85</formula>
    </cfRule>
  </conditionalFormatting>
  <conditionalFormatting sqref="N234">
    <cfRule type="cellIs" dxfId="8983" priority="175" operator="greaterThan">
      <formula>0.9</formula>
    </cfRule>
    <cfRule type="cellIs" dxfId="8982" priority="176" operator="greaterThan">
      <formula>0.85</formula>
    </cfRule>
  </conditionalFormatting>
  <conditionalFormatting sqref="E234">
    <cfRule type="expression" dxfId="8981" priority="171">
      <formula>AND(IF(OR($Q234=1,$Q234=2),1,0),IF($X234&lt;=20,1,0))</formula>
    </cfRule>
    <cfRule type="expression" dxfId="8980" priority="172">
      <formula>AND(IF($Q234=2,1,0),IF($X234&lt;30,1,0))</formula>
    </cfRule>
    <cfRule type="expression" dxfId="8979" priority="173">
      <formula>AND(IF($Q234=3,1,0),IF($X234&lt;30,1,0))</formula>
    </cfRule>
    <cfRule type="expression" dxfId="8978" priority="174">
      <formula>AND(IF($Q234=3,1,IF($Q234=4,1,0)),IF($F234&lt;=85,1,0))</formula>
    </cfRule>
  </conditionalFormatting>
  <conditionalFormatting sqref="X234">
    <cfRule type="expression" dxfId="8977" priority="167">
      <formula>AND(IF(OR($Q234=1,$Q234=2),1,0),IF($X234&lt;=20,1,0))</formula>
    </cfRule>
    <cfRule type="expression" dxfId="8976" priority="168">
      <formula>AND(IF($Q234=2,1,0),IF($X234&lt;30,1,0))</formula>
    </cfRule>
    <cfRule type="expression" dxfId="8975" priority="169">
      <formula>AND(IF($Q234=3,1,0),IF($X234&lt;30,1,0))</formula>
    </cfRule>
    <cfRule type="expression" dxfId="8974" priority="170">
      <formula>AND(IF($Q234=3,1,IF($Q234=4,1,0)),IF($F234&lt;=85,1,0))</formula>
    </cfRule>
  </conditionalFormatting>
  <conditionalFormatting sqref="AI234">
    <cfRule type="expression" dxfId="8973" priority="163">
      <formula>AND(IF(OR($Q234=1,$Q234=2),1,0),IF($X234&lt;=20,1,0))</formula>
    </cfRule>
    <cfRule type="expression" dxfId="8972" priority="164">
      <formula>AND(IF($Q234=2,1,0),IF($X234&lt;30,1,0))</formula>
    </cfRule>
    <cfRule type="expression" dxfId="8971" priority="165">
      <formula>AND(IF($Q234=3,1,0),IF($X234&lt;30,1,0))</formula>
    </cfRule>
    <cfRule type="expression" dxfId="8970" priority="166">
      <formula>AND(IF($Q234=3,1,IF($Q234=4,1,0)),IF($F234&lt;=85,1,0))</formula>
    </cfRule>
  </conditionalFormatting>
  <conditionalFormatting sqref="AV235">
    <cfRule type="expression" dxfId="8969" priority="161">
      <formula>AV235="X"</formula>
    </cfRule>
    <cfRule type="expression" dxfId="8968" priority="162">
      <formula>AV235="후보"</formula>
    </cfRule>
  </conditionalFormatting>
  <conditionalFormatting sqref="AC235">
    <cfRule type="cellIs" dxfId="8967" priority="159" operator="greaterThan">
      <formula>0.9</formula>
    </cfRule>
    <cfRule type="cellIs" dxfId="8966" priority="160" operator="greaterThan">
      <formula>0.85</formula>
    </cfRule>
  </conditionalFormatting>
  <conditionalFormatting sqref="N235">
    <cfRule type="cellIs" dxfId="8965" priority="157" operator="greaterThan">
      <formula>0.9</formula>
    </cfRule>
    <cfRule type="cellIs" dxfId="8964" priority="158" operator="greaterThan">
      <formula>0.85</formula>
    </cfRule>
  </conditionalFormatting>
  <conditionalFormatting sqref="E235">
    <cfRule type="expression" dxfId="8963" priority="153">
      <formula>AND(IF(OR($Q235=1,$Q235=2),1,0),IF($X235&lt;=20,1,0))</formula>
    </cfRule>
    <cfRule type="expression" dxfId="8962" priority="154">
      <formula>AND(IF($Q235=2,1,0),IF($X235&lt;30,1,0))</formula>
    </cfRule>
    <cfRule type="expression" dxfId="8961" priority="155">
      <formula>AND(IF($Q235=3,1,0),IF($X235&lt;30,1,0))</formula>
    </cfRule>
    <cfRule type="expression" dxfId="8960" priority="156">
      <formula>AND(IF($Q235=3,1,IF($Q235=4,1,0)),IF($F235&lt;=85,1,0))</formula>
    </cfRule>
  </conditionalFormatting>
  <conditionalFormatting sqref="X235">
    <cfRule type="expression" dxfId="8959" priority="149">
      <formula>AND(IF(OR($Q235=1,$Q235=2),1,0),IF($X235&lt;=20,1,0))</formula>
    </cfRule>
    <cfRule type="expression" dxfId="8958" priority="150">
      <formula>AND(IF($Q235=2,1,0),IF($X235&lt;30,1,0))</formula>
    </cfRule>
    <cfRule type="expression" dxfId="8957" priority="151">
      <formula>AND(IF($Q235=3,1,0),IF($X235&lt;30,1,0))</formula>
    </cfRule>
    <cfRule type="expression" dxfId="8956" priority="152">
      <formula>AND(IF($Q235=3,1,IF($Q235=4,1,0)),IF($F235&lt;=85,1,0))</formula>
    </cfRule>
  </conditionalFormatting>
  <conditionalFormatting sqref="AI235">
    <cfRule type="expression" dxfId="8955" priority="145">
      <formula>AND(IF(OR($Q235=1,$Q235=2),1,0),IF($X235&lt;=20,1,0))</formula>
    </cfRule>
    <cfRule type="expression" dxfId="8954" priority="146">
      <formula>AND(IF($Q235=2,1,0),IF($X235&lt;30,1,0))</formula>
    </cfRule>
    <cfRule type="expression" dxfId="8953" priority="147">
      <formula>AND(IF($Q235=3,1,0),IF($X235&lt;30,1,0))</formula>
    </cfRule>
    <cfRule type="expression" dxfId="8952" priority="148">
      <formula>AND(IF($Q235=3,1,IF($Q235=4,1,0)),IF($F235&lt;=85,1,0))</formula>
    </cfRule>
  </conditionalFormatting>
  <conditionalFormatting sqref="AV236">
    <cfRule type="expression" dxfId="8951" priority="143">
      <formula>AV236="X"</formula>
    </cfRule>
    <cfRule type="expression" dxfId="8950" priority="144">
      <formula>AV236="후보"</formula>
    </cfRule>
  </conditionalFormatting>
  <conditionalFormatting sqref="AC236">
    <cfRule type="cellIs" dxfId="8949" priority="141" operator="greaterThan">
      <formula>0.9</formula>
    </cfRule>
    <cfRule type="cellIs" dxfId="8948" priority="142" operator="greaterThan">
      <formula>0.85</formula>
    </cfRule>
  </conditionalFormatting>
  <conditionalFormatting sqref="N236">
    <cfRule type="cellIs" dxfId="8947" priority="139" operator="greaterThan">
      <formula>0.9</formula>
    </cfRule>
    <cfRule type="cellIs" dxfId="8946" priority="140" operator="greaterThan">
      <formula>0.85</formula>
    </cfRule>
  </conditionalFormatting>
  <conditionalFormatting sqref="E236">
    <cfRule type="expression" dxfId="8945" priority="135">
      <formula>AND(IF(OR($Q236=1,$Q236=2),1,0),IF($X236&lt;=20,1,0))</formula>
    </cfRule>
    <cfRule type="expression" dxfId="8944" priority="136">
      <formula>AND(IF($Q236=2,1,0),IF($X236&lt;30,1,0))</formula>
    </cfRule>
    <cfRule type="expression" dxfId="8943" priority="137">
      <formula>AND(IF($Q236=3,1,0),IF($X236&lt;30,1,0))</formula>
    </cfRule>
    <cfRule type="expression" dxfId="8942" priority="138">
      <formula>AND(IF($Q236=3,1,IF($Q236=4,1,0)),IF($F236&lt;=85,1,0))</formula>
    </cfRule>
  </conditionalFormatting>
  <conditionalFormatting sqref="X236">
    <cfRule type="expression" dxfId="8941" priority="131">
      <formula>AND(IF(OR($Q236=1,$Q236=2),1,0),IF($X236&lt;=20,1,0))</formula>
    </cfRule>
    <cfRule type="expression" dxfId="8940" priority="132">
      <formula>AND(IF($Q236=2,1,0),IF($X236&lt;30,1,0))</formula>
    </cfRule>
    <cfRule type="expression" dxfId="8939" priority="133">
      <formula>AND(IF($Q236=3,1,0),IF($X236&lt;30,1,0))</formula>
    </cfRule>
    <cfRule type="expression" dxfId="8938" priority="134">
      <formula>AND(IF($Q236=3,1,IF($Q236=4,1,0)),IF($F236&lt;=85,1,0))</formula>
    </cfRule>
  </conditionalFormatting>
  <conditionalFormatting sqref="AI236">
    <cfRule type="expression" dxfId="8937" priority="127">
      <formula>AND(IF(OR($Q236=1,$Q236=2),1,0),IF($X236&lt;=20,1,0))</formula>
    </cfRule>
    <cfRule type="expression" dxfId="8936" priority="128">
      <formula>AND(IF($Q236=2,1,0),IF($X236&lt;30,1,0))</formula>
    </cfRule>
    <cfRule type="expression" dxfId="8935" priority="129">
      <formula>AND(IF($Q236=3,1,0),IF($X236&lt;30,1,0))</formula>
    </cfRule>
    <cfRule type="expression" dxfId="8934" priority="130">
      <formula>AND(IF($Q236=3,1,IF($Q236=4,1,0)),IF($F236&lt;=85,1,0))</formula>
    </cfRule>
  </conditionalFormatting>
  <conditionalFormatting sqref="AV237">
    <cfRule type="expression" dxfId="8933" priority="125">
      <formula>AV237="X"</formula>
    </cfRule>
    <cfRule type="expression" dxfId="8932" priority="126">
      <formula>AV237="후보"</formula>
    </cfRule>
  </conditionalFormatting>
  <conditionalFormatting sqref="AC237">
    <cfRule type="cellIs" dxfId="8931" priority="123" operator="greaterThan">
      <formula>0.9</formula>
    </cfRule>
    <cfRule type="cellIs" dxfId="8930" priority="124" operator="greaterThan">
      <formula>0.85</formula>
    </cfRule>
  </conditionalFormatting>
  <conditionalFormatting sqref="N237">
    <cfRule type="cellIs" dxfId="8929" priority="121" operator="greaterThan">
      <formula>0.9</formula>
    </cfRule>
    <cfRule type="cellIs" dxfId="8928" priority="122" operator="greaterThan">
      <formula>0.85</formula>
    </cfRule>
  </conditionalFormatting>
  <conditionalFormatting sqref="E237">
    <cfRule type="expression" dxfId="8927" priority="117">
      <formula>AND(IF(OR($Q237=1,$Q237=2),1,0),IF($X237&lt;=20,1,0))</formula>
    </cfRule>
    <cfRule type="expression" dxfId="8926" priority="118">
      <formula>AND(IF($Q237=2,1,0),IF($X237&lt;30,1,0))</formula>
    </cfRule>
    <cfRule type="expression" dxfId="8925" priority="119">
      <formula>AND(IF($Q237=3,1,0),IF($X237&lt;30,1,0))</formula>
    </cfRule>
    <cfRule type="expression" dxfId="8924" priority="120">
      <formula>AND(IF($Q237=3,1,IF($Q237=4,1,0)),IF($F237&lt;=85,1,0))</formula>
    </cfRule>
  </conditionalFormatting>
  <conditionalFormatting sqref="X237">
    <cfRule type="expression" dxfId="8923" priority="113">
      <formula>AND(IF(OR($Q237=1,$Q237=2),1,0),IF($X237&lt;=20,1,0))</formula>
    </cfRule>
    <cfRule type="expression" dxfId="8922" priority="114">
      <formula>AND(IF($Q237=2,1,0),IF($X237&lt;30,1,0))</formula>
    </cfRule>
    <cfRule type="expression" dxfId="8921" priority="115">
      <formula>AND(IF($Q237=3,1,0),IF($X237&lt;30,1,0))</formula>
    </cfRule>
    <cfRule type="expression" dxfId="8920" priority="116">
      <formula>AND(IF($Q237=3,1,IF($Q237=4,1,0)),IF($F237&lt;=85,1,0))</formula>
    </cfRule>
  </conditionalFormatting>
  <conditionalFormatting sqref="AI237">
    <cfRule type="expression" dxfId="8919" priority="109">
      <formula>AND(IF(OR($Q237=1,$Q237=2),1,0),IF($X237&lt;=20,1,0))</formula>
    </cfRule>
    <cfRule type="expression" dxfId="8918" priority="110">
      <formula>AND(IF($Q237=2,1,0),IF($X237&lt;30,1,0))</formula>
    </cfRule>
    <cfRule type="expression" dxfId="8917" priority="111">
      <formula>AND(IF($Q237=3,1,0),IF($X237&lt;30,1,0))</formula>
    </cfRule>
    <cfRule type="expression" dxfId="8916" priority="112">
      <formula>AND(IF($Q237=3,1,IF($Q237=4,1,0)),IF($F237&lt;=85,1,0))</formula>
    </cfRule>
  </conditionalFormatting>
  <conditionalFormatting sqref="AV238">
    <cfRule type="expression" dxfId="8915" priority="107">
      <formula>AV238="X"</formula>
    </cfRule>
    <cfRule type="expression" dxfId="8914" priority="108">
      <formula>AV238="후보"</formula>
    </cfRule>
  </conditionalFormatting>
  <conditionalFormatting sqref="AC238">
    <cfRule type="cellIs" dxfId="8913" priority="105" operator="greaterThan">
      <formula>0.9</formula>
    </cfRule>
    <cfRule type="cellIs" dxfId="8912" priority="106" operator="greaterThan">
      <formula>0.85</formula>
    </cfRule>
  </conditionalFormatting>
  <conditionalFormatting sqref="N238">
    <cfRule type="cellIs" dxfId="8911" priority="103" operator="greaterThan">
      <formula>0.9</formula>
    </cfRule>
    <cfRule type="cellIs" dxfId="8910" priority="104" operator="greaterThan">
      <formula>0.85</formula>
    </cfRule>
  </conditionalFormatting>
  <conditionalFormatting sqref="E238">
    <cfRule type="expression" dxfId="8909" priority="99">
      <formula>AND(IF(OR($Q238=1,$Q238=2),1,0),IF($X238&lt;=20,1,0))</formula>
    </cfRule>
    <cfRule type="expression" dxfId="8908" priority="100">
      <formula>AND(IF($Q238=2,1,0),IF($X238&lt;30,1,0))</formula>
    </cfRule>
    <cfRule type="expression" dxfId="8907" priority="101">
      <formula>AND(IF($Q238=3,1,0),IF($X238&lt;30,1,0))</formula>
    </cfRule>
    <cfRule type="expression" dxfId="8906" priority="102">
      <formula>AND(IF($Q238=3,1,IF($Q238=4,1,0)),IF($F238&lt;=85,1,0))</formula>
    </cfRule>
  </conditionalFormatting>
  <conditionalFormatting sqref="X238">
    <cfRule type="expression" dxfId="8905" priority="95">
      <formula>AND(IF(OR($Q238=1,$Q238=2),1,0),IF($X238&lt;=20,1,0))</formula>
    </cfRule>
    <cfRule type="expression" dxfId="8904" priority="96">
      <formula>AND(IF($Q238=2,1,0),IF($X238&lt;30,1,0))</formula>
    </cfRule>
    <cfRule type="expression" dxfId="8903" priority="97">
      <formula>AND(IF($Q238=3,1,0),IF($X238&lt;30,1,0))</formula>
    </cfRule>
    <cfRule type="expression" dxfId="8902" priority="98">
      <formula>AND(IF($Q238=3,1,IF($Q238=4,1,0)),IF($F238&lt;=85,1,0))</formula>
    </cfRule>
  </conditionalFormatting>
  <conditionalFormatting sqref="AI238">
    <cfRule type="expression" dxfId="8901" priority="91">
      <formula>AND(IF(OR($Q238=1,$Q238=2),1,0),IF($X238&lt;=20,1,0))</formula>
    </cfRule>
    <cfRule type="expression" dxfId="8900" priority="92">
      <formula>AND(IF($Q238=2,1,0),IF($X238&lt;30,1,0))</formula>
    </cfRule>
    <cfRule type="expression" dxfId="8899" priority="93">
      <formula>AND(IF($Q238=3,1,0),IF($X238&lt;30,1,0))</formula>
    </cfRule>
    <cfRule type="expression" dxfId="8898" priority="94">
      <formula>AND(IF($Q238=3,1,IF($Q238=4,1,0)),IF($F238&lt;=85,1,0))</formula>
    </cfRule>
  </conditionalFormatting>
  <conditionalFormatting sqref="AV239">
    <cfRule type="expression" dxfId="8897" priority="89">
      <formula>AV239="X"</formula>
    </cfRule>
    <cfRule type="expression" dxfId="8896" priority="90">
      <formula>AV239="후보"</formula>
    </cfRule>
  </conditionalFormatting>
  <conditionalFormatting sqref="AC239">
    <cfRule type="cellIs" dxfId="8895" priority="87" operator="greaterThan">
      <formula>0.9</formula>
    </cfRule>
    <cfRule type="cellIs" dxfId="8894" priority="88" operator="greaterThan">
      <formula>0.85</formula>
    </cfRule>
  </conditionalFormatting>
  <conditionalFormatting sqref="N239">
    <cfRule type="cellIs" dxfId="8893" priority="85" operator="greaterThan">
      <formula>0.9</formula>
    </cfRule>
    <cfRule type="cellIs" dxfId="8892" priority="86" operator="greaterThan">
      <formula>0.85</formula>
    </cfRule>
  </conditionalFormatting>
  <conditionalFormatting sqref="E239">
    <cfRule type="expression" dxfId="8891" priority="81">
      <formula>AND(IF(OR($Q239=1,$Q239=2),1,0),IF($X239&lt;=20,1,0))</formula>
    </cfRule>
    <cfRule type="expression" dxfId="8890" priority="82">
      <formula>AND(IF($Q239=2,1,0),IF($X239&lt;30,1,0))</formula>
    </cfRule>
    <cfRule type="expression" dxfId="8889" priority="83">
      <formula>AND(IF($Q239=3,1,0),IF($X239&lt;30,1,0))</formula>
    </cfRule>
    <cfRule type="expression" dxfId="8888" priority="84">
      <formula>AND(IF($Q239=3,1,IF($Q239=4,1,0)),IF($F239&lt;=85,1,0))</formula>
    </cfRule>
  </conditionalFormatting>
  <conditionalFormatting sqref="X239">
    <cfRule type="expression" dxfId="8887" priority="77">
      <formula>AND(IF(OR($Q239=1,$Q239=2),1,0),IF($X239&lt;=20,1,0))</formula>
    </cfRule>
    <cfRule type="expression" dxfId="8886" priority="78">
      <formula>AND(IF($Q239=2,1,0),IF($X239&lt;30,1,0))</formula>
    </cfRule>
    <cfRule type="expression" dxfId="8885" priority="79">
      <formula>AND(IF($Q239=3,1,0),IF($X239&lt;30,1,0))</formula>
    </cfRule>
    <cfRule type="expression" dxfId="8884" priority="80">
      <formula>AND(IF($Q239=3,1,IF($Q239=4,1,0)),IF($F239&lt;=85,1,0))</formula>
    </cfRule>
  </conditionalFormatting>
  <conditionalFormatting sqref="AI239">
    <cfRule type="expression" dxfId="8883" priority="73">
      <formula>AND(IF(OR($Q239=1,$Q239=2),1,0),IF($X239&lt;=20,1,0))</formula>
    </cfRule>
    <cfRule type="expression" dxfId="8882" priority="74">
      <formula>AND(IF($Q239=2,1,0),IF($X239&lt;30,1,0))</formula>
    </cfRule>
    <cfRule type="expression" dxfId="8881" priority="75">
      <formula>AND(IF($Q239=3,1,0),IF($X239&lt;30,1,0))</formula>
    </cfRule>
    <cfRule type="expression" dxfId="8880" priority="76">
      <formula>AND(IF($Q239=3,1,IF($Q239=4,1,0)),IF($F239&lt;=85,1,0))</formula>
    </cfRule>
  </conditionalFormatting>
  <conditionalFormatting sqref="AV240">
    <cfRule type="expression" dxfId="8879" priority="71">
      <formula>AV240="X"</formula>
    </cfRule>
    <cfRule type="expression" dxfId="8878" priority="72">
      <formula>AV240="후보"</formula>
    </cfRule>
  </conditionalFormatting>
  <conditionalFormatting sqref="AC240">
    <cfRule type="cellIs" dxfId="8877" priority="69" operator="greaterThan">
      <formula>0.9</formula>
    </cfRule>
    <cfRule type="cellIs" dxfId="8876" priority="70" operator="greaterThan">
      <formula>0.85</formula>
    </cfRule>
  </conditionalFormatting>
  <conditionalFormatting sqref="N240">
    <cfRule type="cellIs" dxfId="8875" priority="67" operator="greaterThan">
      <formula>0.9</formula>
    </cfRule>
    <cfRule type="cellIs" dxfId="8874" priority="68" operator="greaterThan">
      <formula>0.85</formula>
    </cfRule>
  </conditionalFormatting>
  <conditionalFormatting sqref="E240">
    <cfRule type="expression" dxfId="8873" priority="63">
      <formula>AND(IF(OR($Q240=1,$Q240=2),1,0),IF($X240&lt;=20,1,0))</formula>
    </cfRule>
    <cfRule type="expression" dxfId="8872" priority="64">
      <formula>AND(IF($Q240=2,1,0),IF($X240&lt;30,1,0))</formula>
    </cfRule>
    <cfRule type="expression" dxfId="8871" priority="65">
      <formula>AND(IF($Q240=3,1,0),IF($X240&lt;30,1,0))</formula>
    </cfRule>
    <cfRule type="expression" dxfId="8870" priority="66">
      <formula>AND(IF($Q240=3,1,IF($Q240=4,1,0)),IF($F240&lt;=85,1,0))</formula>
    </cfRule>
  </conditionalFormatting>
  <conditionalFormatting sqref="X240">
    <cfRule type="expression" dxfId="8869" priority="59">
      <formula>AND(IF(OR($Q240=1,$Q240=2),1,0),IF($X240&lt;=20,1,0))</formula>
    </cfRule>
    <cfRule type="expression" dxfId="8868" priority="60">
      <formula>AND(IF($Q240=2,1,0),IF($X240&lt;30,1,0))</formula>
    </cfRule>
    <cfRule type="expression" dxfId="8867" priority="61">
      <formula>AND(IF($Q240=3,1,0),IF($X240&lt;30,1,0))</formula>
    </cfRule>
    <cfRule type="expression" dxfId="8866" priority="62">
      <formula>AND(IF($Q240=3,1,IF($Q240=4,1,0)),IF($F240&lt;=85,1,0))</formula>
    </cfRule>
  </conditionalFormatting>
  <conditionalFormatting sqref="AI240">
    <cfRule type="expression" dxfId="8865" priority="55">
      <formula>AND(IF(OR($Q240=1,$Q240=2),1,0),IF($X240&lt;=20,1,0))</formula>
    </cfRule>
    <cfRule type="expression" dxfId="8864" priority="56">
      <formula>AND(IF($Q240=2,1,0),IF($X240&lt;30,1,0))</formula>
    </cfRule>
    <cfRule type="expression" dxfId="8863" priority="57">
      <formula>AND(IF($Q240=3,1,0),IF($X240&lt;30,1,0))</formula>
    </cfRule>
    <cfRule type="expression" dxfId="8862" priority="58">
      <formula>AND(IF($Q240=3,1,IF($Q240=4,1,0)),IF($F240&lt;=85,1,0))</formula>
    </cfRule>
  </conditionalFormatting>
  <conditionalFormatting sqref="AV241">
    <cfRule type="expression" dxfId="8861" priority="53">
      <formula>AV241="X"</formula>
    </cfRule>
    <cfRule type="expression" dxfId="8860" priority="54">
      <formula>AV241="후보"</formula>
    </cfRule>
  </conditionalFormatting>
  <conditionalFormatting sqref="AC241">
    <cfRule type="cellIs" dxfId="8859" priority="51" operator="greaterThan">
      <formula>0.9</formula>
    </cfRule>
    <cfRule type="cellIs" dxfId="8858" priority="52" operator="greaterThan">
      <formula>0.85</formula>
    </cfRule>
  </conditionalFormatting>
  <conditionalFormatting sqref="N241">
    <cfRule type="cellIs" dxfId="8857" priority="49" operator="greaterThan">
      <formula>0.9</formula>
    </cfRule>
    <cfRule type="cellIs" dxfId="8856" priority="50" operator="greaterThan">
      <formula>0.85</formula>
    </cfRule>
  </conditionalFormatting>
  <conditionalFormatting sqref="E241">
    <cfRule type="expression" dxfId="8855" priority="45">
      <formula>AND(IF(OR($Q241=1,$Q241=2),1,0),IF($X241&lt;=20,1,0))</formula>
    </cfRule>
    <cfRule type="expression" dxfId="8854" priority="46">
      <formula>AND(IF($Q241=2,1,0),IF($X241&lt;30,1,0))</formula>
    </cfRule>
    <cfRule type="expression" dxfId="8853" priority="47">
      <formula>AND(IF($Q241=3,1,0),IF($X241&lt;30,1,0))</formula>
    </cfRule>
    <cfRule type="expression" dxfId="8852" priority="48">
      <formula>AND(IF($Q241=3,1,IF($Q241=4,1,0)),IF($F241&lt;=85,1,0))</formula>
    </cfRule>
  </conditionalFormatting>
  <conditionalFormatting sqref="X241">
    <cfRule type="expression" dxfId="8851" priority="41">
      <formula>AND(IF(OR($Q241=1,$Q241=2),1,0),IF($X241&lt;=20,1,0))</formula>
    </cfRule>
    <cfRule type="expression" dxfId="8850" priority="42">
      <formula>AND(IF($Q241=2,1,0),IF($X241&lt;30,1,0))</formula>
    </cfRule>
    <cfRule type="expression" dxfId="8849" priority="43">
      <formula>AND(IF($Q241=3,1,0),IF($X241&lt;30,1,0))</formula>
    </cfRule>
    <cfRule type="expression" dxfId="8848" priority="44">
      <formula>AND(IF($Q241=3,1,IF($Q241=4,1,0)),IF($F241&lt;=85,1,0))</formula>
    </cfRule>
  </conditionalFormatting>
  <conditionalFormatting sqref="AI241">
    <cfRule type="expression" dxfId="8847" priority="37">
      <formula>AND(IF(OR($Q241=1,$Q241=2),1,0),IF($X241&lt;=20,1,0))</formula>
    </cfRule>
    <cfRule type="expression" dxfId="8846" priority="38">
      <formula>AND(IF($Q241=2,1,0),IF($X241&lt;30,1,0))</formula>
    </cfRule>
    <cfRule type="expression" dxfId="8845" priority="39">
      <formula>AND(IF($Q241=3,1,0),IF($X241&lt;30,1,0))</formula>
    </cfRule>
    <cfRule type="expression" dxfId="8844" priority="40">
      <formula>AND(IF($Q241=3,1,IF($Q241=4,1,0)),IF($F241&lt;=85,1,0))</formula>
    </cfRule>
  </conditionalFormatting>
  <conditionalFormatting sqref="AV242">
    <cfRule type="expression" dxfId="8843" priority="35">
      <formula>AV242="X"</formula>
    </cfRule>
    <cfRule type="expression" dxfId="8842" priority="36">
      <formula>AV242="후보"</formula>
    </cfRule>
  </conditionalFormatting>
  <conditionalFormatting sqref="AC242">
    <cfRule type="cellIs" dxfId="8841" priority="33" operator="greaterThan">
      <formula>0.9</formula>
    </cfRule>
    <cfRule type="cellIs" dxfId="8840" priority="34" operator="greaterThan">
      <formula>0.85</formula>
    </cfRule>
  </conditionalFormatting>
  <conditionalFormatting sqref="N242">
    <cfRule type="cellIs" dxfId="8839" priority="31" operator="greaterThan">
      <formula>0.9</formula>
    </cfRule>
    <cfRule type="cellIs" dxfId="8838" priority="32" operator="greaterThan">
      <formula>0.85</formula>
    </cfRule>
  </conditionalFormatting>
  <conditionalFormatting sqref="E242">
    <cfRule type="expression" dxfId="8837" priority="27">
      <formula>AND(IF(OR($Q242=1,$Q242=2),1,0),IF($X242&lt;=20,1,0))</formula>
    </cfRule>
    <cfRule type="expression" dxfId="8836" priority="28">
      <formula>AND(IF($Q242=2,1,0),IF($X242&lt;30,1,0))</formula>
    </cfRule>
    <cfRule type="expression" dxfId="8835" priority="29">
      <formula>AND(IF($Q242=3,1,0),IF($X242&lt;30,1,0))</formula>
    </cfRule>
    <cfRule type="expression" dxfId="8834" priority="30">
      <formula>AND(IF($Q242=3,1,IF($Q242=4,1,0)),IF($F242&lt;=85,1,0))</formula>
    </cfRule>
  </conditionalFormatting>
  <conditionalFormatting sqref="X242">
    <cfRule type="expression" dxfId="8833" priority="23">
      <formula>AND(IF(OR($Q242=1,$Q242=2),1,0),IF($X242&lt;=20,1,0))</formula>
    </cfRule>
    <cfRule type="expression" dxfId="8832" priority="24">
      <formula>AND(IF($Q242=2,1,0),IF($X242&lt;30,1,0))</formula>
    </cfRule>
    <cfRule type="expression" dxfId="8831" priority="25">
      <formula>AND(IF($Q242=3,1,0),IF($X242&lt;30,1,0))</formula>
    </cfRule>
    <cfRule type="expression" dxfId="8830" priority="26">
      <formula>AND(IF($Q242=3,1,IF($Q242=4,1,0)),IF($F242&lt;=85,1,0))</formula>
    </cfRule>
  </conditionalFormatting>
  <conditionalFormatting sqref="AI242">
    <cfRule type="expression" dxfId="8829" priority="19">
      <formula>AND(IF(OR($Q242=1,$Q242=2),1,0),IF($X242&lt;=20,1,0))</formula>
    </cfRule>
    <cfRule type="expression" dxfId="8828" priority="20">
      <formula>AND(IF($Q242=2,1,0),IF($X242&lt;30,1,0))</formula>
    </cfRule>
    <cfRule type="expression" dxfId="8827" priority="21">
      <formula>AND(IF($Q242=3,1,0),IF($X242&lt;30,1,0))</formula>
    </cfRule>
    <cfRule type="expression" dxfId="8826" priority="22">
      <formula>AND(IF($Q242=3,1,IF($Q242=4,1,0)),IF($F242&lt;=85,1,0))</formula>
    </cfRule>
  </conditionalFormatting>
  <conditionalFormatting sqref="AV243">
    <cfRule type="expression" dxfId="8825" priority="17">
      <formula>AV243="X"</formula>
    </cfRule>
    <cfRule type="expression" dxfId="8824" priority="18">
      <formula>AV243="후보"</formula>
    </cfRule>
  </conditionalFormatting>
  <conditionalFormatting sqref="AC243">
    <cfRule type="cellIs" dxfId="8823" priority="15" operator="greaterThan">
      <formula>0.9</formula>
    </cfRule>
    <cfRule type="cellIs" dxfId="8822" priority="16" operator="greaterThan">
      <formula>0.85</formula>
    </cfRule>
  </conditionalFormatting>
  <conditionalFormatting sqref="N243">
    <cfRule type="cellIs" dxfId="8821" priority="13" operator="greaterThan">
      <formula>0.9</formula>
    </cfRule>
    <cfRule type="cellIs" dxfId="8820" priority="14" operator="greaterThan">
      <formula>0.85</formula>
    </cfRule>
  </conditionalFormatting>
  <conditionalFormatting sqref="E243">
    <cfRule type="expression" dxfId="8819" priority="9">
      <formula>AND(IF(OR($Q243=1,$Q243=2),1,0),IF($X243&lt;=20,1,0))</formula>
    </cfRule>
    <cfRule type="expression" dxfId="8818" priority="10">
      <formula>AND(IF($Q243=2,1,0),IF($X243&lt;30,1,0))</formula>
    </cfRule>
    <cfRule type="expression" dxfId="8817" priority="11">
      <formula>AND(IF($Q243=3,1,0),IF($X243&lt;30,1,0))</formula>
    </cfRule>
    <cfRule type="expression" dxfId="8816" priority="12">
      <formula>AND(IF($Q243=3,1,IF($Q243=4,1,0)),IF($F243&lt;=85,1,0))</formula>
    </cfRule>
  </conditionalFormatting>
  <conditionalFormatting sqref="X243">
    <cfRule type="expression" dxfId="8815" priority="5">
      <formula>AND(IF(OR($Q243=1,$Q243=2),1,0),IF($X243&lt;=20,1,0))</formula>
    </cfRule>
    <cfRule type="expression" dxfId="8814" priority="6">
      <formula>AND(IF($Q243=2,1,0),IF($X243&lt;30,1,0))</formula>
    </cfRule>
    <cfRule type="expression" dxfId="8813" priority="7">
      <formula>AND(IF($Q243=3,1,0),IF($X243&lt;30,1,0))</formula>
    </cfRule>
    <cfRule type="expression" dxfId="8812" priority="8">
      <formula>AND(IF($Q243=3,1,IF($Q243=4,1,0)),IF($F243&lt;=85,1,0))</formula>
    </cfRule>
  </conditionalFormatting>
  <conditionalFormatting sqref="AI243">
    <cfRule type="expression" dxfId="8811" priority="1">
      <formula>AND(IF(OR($Q243=1,$Q243=2),1,0),IF($X243&lt;=20,1,0))</formula>
    </cfRule>
    <cfRule type="expression" dxfId="8810" priority="2">
      <formula>AND(IF($Q243=2,1,0),IF($X243&lt;30,1,0))</formula>
    </cfRule>
    <cfRule type="expression" dxfId="8809" priority="3">
      <formula>AND(IF($Q243=3,1,0),IF($X243&lt;30,1,0))</formula>
    </cfRule>
    <cfRule type="expression" dxfId="8808" priority="4">
      <formula>AND(IF($Q243=3,1,IF($Q243=4,1,0)),IF($F243&lt;=85,1,0))</formula>
    </cfRule>
  </conditionalFormatting>
  <conditionalFormatting sqref="AV4">
    <cfRule type="expression" dxfId="8807" priority="4319">
      <formula>AV4="X"</formula>
    </cfRule>
    <cfRule type="expression" dxfId="8806" priority="4320">
      <formula>AV4="후보"</formula>
    </cfRule>
  </conditionalFormatting>
  <conditionalFormatting sqref="AC4">
    <cfRule type="cellIs" dxfId="8805" priority="4317" operator="greaterThan">
      <formula>0.9</formula>
    </cfRule>
    <cfRule type="cellIs" dxfId="8804" priority="4318" operator="greaterThan">
      <formula>0.85</formula>
    </cfRule>
  </conditionalFormatting>
  <conditionalFormatting sqref="N4">
    <cfRule type="cellIs" dxfId="8803" priority="4315" operator="greaterThan">
      <formula>0.9</formula>
    </cfRule>
    <cfRule type="cellIs" dxfId="8802" priority="4316" operator="greaterThan">
      <formula>0.85</formula>
    </cfRule>
  </conditionalFormatting>
  <conditionalFormatting sqref="E4">
    <cfRule type="expression" dxfId="8801" priority="4311">
      <formula>AND(IF(OR($Q4=1,$Q4=2),1,0),IF($X4&lt;=20,1,0))</formula>
    </cfRule>
    <cfRule type="expression" dxfId="8800" priority="4312">
      <formula>AND(IF($Q4=2,1,0),IF($X4&lt;30,1,0))</formula>
    </cfRule>
    <cfRule type="expression" dxfId="8799" priority="4313">
      <formula>AND(IF($Q4=3,1,0),IF($X4&lt;30,1,0))</formula>
    </cfRule>
    <cfRule type="expression" dxfId="8798" priority="4314">
      <formula>AND(IF($Q4=3,1,IF($Q4=4,1,0)),IF($F4&lt;=85,1,0))</formula>
    </cfRule>
  </conditionalFormatting>
  <conditionalFormatting sqref="X4">
    <cfRule type="expression" dxfId="8797" priority="4307">
      <formula>AND(IF(OR($Q4=1,$Q4=2),1,0),IF($X4&lt;=20,1,0))</formula>
    </cfRule>
    <cfRule type="expression" dxfId="8796" priority="4308">
      <formula>AND(IF($Q4=2,1,0),IF($X4&lt;30,1,0))</formula>
    </cfRule>
    <cfRule type="expression" dxfId="8795" priority="4309">
      <formula>AND(IF($Q4=3,1,0),IF($X4&lt;30,1,0))</formula>
    </cfRule>
    <cfRule type="expression" dxfId="8794" priority="4310">
      <formula>AND(IF($Q4=3,1,IF($Q4=4,1,0)),IF($F4&lt;=85,1,0))</formula>
    </cfRule>
  </conditionalFormatting>
  <conditionalFormatting sqref="AI4">
    <cfRule type="expression" dxfId="8793" priority="4303">
      <formula>AND(IF(OR($Q4=1,$Q4=2),1,0),IF($X4&lt;=20,1,0))</formula>
    </cfRule>
    <cfRule type="expression" dxfId="8792" priority="4304">
      <formula>AND(IF($Q4=2,1,0),IF($X4&lt;30,1,0))</formula>
    </cfRule>
    <cfRule type="expression" dxfId="8791" priority="4305">
      <formula>AND(IF($Q4=3,1,0),IF($X4&lt;30,1,0))</formula>
    </cfRule>
    <cfRule type="expression" dxfId="8790" priority="4306">
      <formula>AND(IF($Q4=3,1,IF($Q4=4,1,0)),IF($F4&lt;=85,1,0))</formula>
    </cfRule>
  </conditionalFormatting>
  <conditionalFormatting sqref="AV5">
    <cfRule type="expression" dxfId="8789" priority="4301">
      <formula>AV5="X"</formula>
    </cfRule>
    <cfRule type="expression" dxfId="8788" priority="4302">
      <formula>AV5="후보"</formula>
    </cfRule>
  </conditionalFormatting>
  <conditionalFormatting sqref="AC5">
    <cfRule type="cellIs" dxfId="8787" priority="4299" operator="greaterThan">
      <formula>0.9</formula>
    </cfRule>
    <cfRule type="cellIs" dxfId="8786" priority="4300" operator="greaterThan">
      <formula>0.85</formula>
    </cfRule>
  </conditionalFormatting>
  <conditionalFormatting sqref="N5">
    <cfRule type="cellIs" dxfId="8785" priority="4297" operator="greaterThan">
      <formula>0.9</formula>
    </cfRule>
    <cfRule type="cellIs" dxfId="8784" priority="4298" operator="greaterThan">
      <formula>0.85</formula>
    </cfRule>
  </conditionalFormatting>
  <conditionalFormatting sqref="E5">
    <cfRule type="expression" dxfId="8783" priority="4293">
      <formula>AND(IF(OR($Q5=1,$Q5=2),1,0),IF($X5&lt;=20,1,0))</formula>
    </cfRule>
    <cfRule type="expression" dxfId="8782" priority="4294">
      <formula>AND(IF($Q5=2,1,0),IF($X5&lt;30,1,0))</formula>
    </cfRule>
    <cfRule type="expression" dxfId="8781" priority="4295">
      <formula>AND(IF($Q5=3,1,0),IF($X5&lt;30,1,0))</formula>
    </cfRule>
    <cfRule type="expression" dxfId="8780" priority="4296">
      <formula>AND(IF($Q5=3,1,IF($Q5=4,1,0)),IF($F5&lt;=85,1,0))</formula>
    </cfRule>
  </conditionalFormatting>
  <conditionalFormatting sqref="X5">
    <cfRule type="expression" dxfId="8779" priority="4289">
      <formula>AND(IF(OR($Q5=1,$Q5=2),1,0),IF($X5&lt;=20,1,0))</formula>
    </cfRule>
    <cfRule type="expression" dxfId="8778" priority="4290">
      <formula>AND(IF($Q5=2,1,0),IF($X5&lt;30,1,0))</formula>
    </cfRule>
    <cfRule type="expression" dxfId="8777" priority="4291">
      <formula>AND(IF($Q5=3,1,0),IF($X5&lt;30,1,0))</formula>
    </cfRule>
    <cfRule type="expression" dxfId="8776" priority="4292">
      <formula>AND(IF($Q5=3,1,IF($Q5=4,1,0)),IF($F5&lt;=85,1,0))</formula>
    </cfRule>
  </conditionalFormatting>
  <conditionalFormatting sqref="AI5">
    <cfRule type="expression" dxfId="8775" priority="4285">
      <formula>AND(IF(OR($Q5=1,$Q5=2),1,0),IF($X5&lt;=20,1,0))</formula>
    </cfRule>
    <cfRule type="expression" dxfId="8774" priority="4286">
      <formula>AND(IF($Q5=2,1,0),IF($X5&lt;30,1,0))</formula>
    </cfRule>
    <cfRule type="expression" dxfId="8773" priority="4287">
      <formula>AND(IF($Q5=3,1,0),IF($X5&lt;30,1,0))</formula>
    </cfRule>
    <cfRule type="expression" dxfId="8772" priority="4288">
      <formula>AND(IF($Q5=3,1,IF($Q5=4,1,0)),IF($F5&lt;=85,1,0))</formula>
    </cfRule>
  </conditionalFormatting>
  <conditionalFormatting sqref="AV6">
    <cfRule type="expression" dxfId="8771" priority="4283">
      <formula>AV6="X"</formula>
    </cfRule>
    <cfRule type="expression" dxfId="8770" priority="4284">
      <formula>AV6="후보"</formula>
    </cfRule>
  </conditionalFormatting>
  <conditionalFormatting sqref="AC6">
    <cfRule type="cellIs" dxfId="8769" priority="4281" operator="greaterThan">
      <formula>0.9</formula>
    </cfRule>
    <cfRule type="cellIs" dxfId="8768" priority="4282" operator="greaterThan">
      <formula>0.85</formula>
    </cfRule>
  </conditionalFormatting>
  <conditionalFormatting sqref="N6">
    <cfRule type="cellIs" dxfId="8767" priority="4279" operator="greaterThan">
      <formula>0.9</formula>
    </cfRule>
    <cfRule type="cellIs" dxfId="8766" priority="4280" operator="greaterThan">
      <formula>0.85</formula>
    </cfRule>
  </conditionalFormatting>
  <conditionalFormatting sqref="E6">
    <cfRule type="expression" dxfId="8765" priority="4275">
      <formula>AND(IF(OR($Q6=1,$Q6=2),1,0),IF($X6&lt;=20,1,0))</formula>
    </cfRule>
    <cfRule type="expression" dxfId="8764" priority="4276">
      <formula>AND(IF($Q6=2,1,0),IF($X6&lt;30,1,0))</formula>
    </cfRule>
    <cfRule type="expression" dxfId="8763" priority="4277">
      <formula>AND(IF($Q6=3,1,0),IF($X6&lt;30,1,0))</formula>
    </cfRule>
    <cfRule type="expression" dxfId="8762" priority="4278">
      <formula>AND(IF($Q6=3,1,IF($Q6=4,1,0)),IF($F6&lt;=85,1,0))</formula>
    </cfRule>
  </conditionalFormatting>
  <conditionalFormatting sqref="X6">
    <cfRule type="expression" dxfId="8761" priority="4271">
      <formula>AND(IF(OR($Q6=1,$Q6=2),1,0),IF($X6&lt;=20,1,0))</formula>
    </cfRule>
    <cfRule type="expression" dxfId="8760" priority="4272">
      <formula>AND(IF($Q6=2,1,0),IF($X6&lt;30,1,0))</formula>
    </cfRule>
    <cfRule type="expression" dxfId="8759" priority="4273">
      <formula>AND(IF($Q6=3,1,0),IF($X6&lt;30,1,0))</formula>
    </cfRule>
    <cfRule type="expression" dxfId="8758" priority="4274">
      <formula>AND(IF($Q6=3,1,IF($Q6=4,1,0)),IF($F6&lt;=85,1,0))</formula>
    </cfRule>
  </conditionalFormatting>
  <conditionalFormatting sqref="AI6">
    <cfRule type="expression" dxfId="8757" priority="4267">
      <formula>AND(IF(OR($Q6=1,$Q6=2),1,0),IF($X6&lt;=20,1,0))</formula>
    </cfRule>
    <cfRule type="expression" dxfId="8756" priority="4268">
      <formula>AND(IF($Q6=2,1,0),IF($X6&lt;30,1,0))</formula>
    </cfRule>
    <cfRule type="expression" dxfId="8755" priority="4269">
      <formula>AND(IF($Q6=3,1,0),IF($X6&lt;30,1,0))</formula>
    </cfRule>
    <cfRule type="expression" dxfId="8754" priority="4270">
      <formula>AND(IF($Q6=3,1,IF($Q6=4,1,0)),IF($F6&lt;=85,1,0))</formula>
    </cfRule>
  </conditionalFormatting>
  <conditionalFormatting sqref="AV7">
    <cfRule type="expression" dxfId="8753" priority="4265">
      <formula>AV7="X"</formula>
    </cfRule>
    <cfRule type="expression" dxfId="8752" priority="4266">
      <formula>AV7="후보"</formula>
    </cfRule>
  </conditionalFormatting>
  <conditionalFormatting sqref="AC7">
    <cfRule type="cellIs" dxfId="8751" priority="4263" operator="greaterThan">
      <formula>0.9</formula>
    </cfRule>
    <cfRule type="cellIs" dxfId="8750" priority="4264" operator="greaterThan">
      <formula>0.85</formula>
    </cfRule>
  </conditionalFormatting>
  <conditionalFormatting sqref="N7">
    <cfRule type="cellIs" dxfId="8749" priority="4261" operator="greaterThan">
      <formula>0.9</formula>
    </cfRule>
    <cfRule type="cellIs" dxfId="8748" priority="4262" operator="greaterThan">
      <formula>0.85</formula>
    </cfRule>
  </conditionalFormatting>
  <conditionalFormatting sqref="E7">
    <cfRule type="expression" dxfId="8747" priority="4257">
      <formula>AND(IF(OR($Q7=1,$Q7=2),1,0),IF($X7&lt;=20,1,0))</formula>
    </cfRule>
    <cfRule type="expression" dxfId="8746" priority="4258">
      <formula>AND(IF($Q7=2,1,0),IF($X7&lt;30,1,0))</formula>
    </cfRule>
    <cfRule type="expression" dxfId="8745" priority="4259">
      <formula>AND(IF($Q7=3,1,0),IF($X7&lt;30,1,0))</formula>
    </cfRule>
    <cfRule type="expression" dxfId="8744" priority="4260">
      <formula>AND(IF($Q7=3,1,IF($Q7=4,1,0)),IF($F7&lt;=85,1,0))</formula>
    </cfRule>
  </conditionalFormatting>
  <conditionalFormatting sqref="X7">
    <cfRule type="expression" dxfId="8743" priority="4253">
      <formula>AND(IF(OR($Q7=1,$Q7=2),1,0),IF($X7&lt;=20,1,0))</formula>
    </cfRule>
    <cfRule type="expression" dxfId="8742" priority="4254">
      <formula>AND(IF($Q7=2,1,0),IF($X7&lt;30,1,0))</formula>
    </cfRule>
    <cfRule type="expression" dxfId="8741" priority="4255">
      <formula>AND(IF($Q7=3,1,0),IF($X7&lt;30,1,0))</formula>
    </cfRule>
    <cfRule type="expression" dxfId="8740" priority="4256">
      <formula>AND(IF($Q7=3,1,IF($Q7=4,1,0)),IF($F7&lt;=85,1,0))</formula>
    </cfRule>
  </conditionalFormatting>
  <conditionalFormatting sqref="AI7">
    <cfRule type="expression" dxfId="8739" priority="4249">
      <formula>AND(IF(OR($Q7=1,$Q7=2),1,0),IF($X7&lt;=20,1,0))</formula>
    </cfRule>
    <cfRule type="expression" dxfId="8738" priority="4250">
      <formula>AND(IF($Q7=2,1,0),IF($X7&lt;30,1,0))</formula>
    </cfRule>
    <cfRule type="expression" dxfId="8737" priority="4251">
      <formula>AND(IF($Q7=3,1,0),IF($X7&lt;30,1,0))</formula>
    </cfRule>
    <cfRule type="expression" dxfId="8736" priority="4252">
      <formula>AND(IF($Q7=3,1,IF($Q7=4,1,0)),IF($F7&lt;=85,1,0))</formula>
    </cfRule>
  </conditionalFormatting>
  <conditionalFormatting sqref="AV8">
    <cfRule type="expression" dxfId="8735" priority="4247">
      <formula>AV8="X"</formula>
    </cfRule>
    <cfRule type="expression" dxfId="8734" priority="4248">
      <formula>AV8="후보"</formula>
    </cfRule>
  </conditionalFormatting>
  <conditionalFormatting sqref="AC8">
    <cfRule type="cellIs" dxfId="8733" priority="4245" operator="greaterThan">
      <formula>0.9</formula>
    </cfRule>
    <cfRule type="cellIs" dxfId="8732" priority="4246" operator="greaterThan">
      <formula>0.85</formula>
    </cfRule>
  </conditionalFormatting>
  <conditionalFormatting sqref="N8">
    <cfRule type="cellIs" dxfId="8731" priority="4243" operator="greaterThan">
      <formula>0.9</formula>
    </cfRule>
    <cfRule type="cellIs" dxfId="8730" priority="4244" operator="greaterThan">
      <formula>0.85</formula>
    </cfRule>
  </conditionalFormatting>
  <conditionalFormatting sqref="E8">
    <cfRule type="expression" dxfId="8729" priority="4239">
      <formula>AND(IF(OR($Q8=1,$Q8=2),1,0),IF($X8&lt;=20,1,0))</formula>
    </cfRule>
    <cfRule type="expression" dxfId="8728" priority="4240">
      <formula>AND(IF($Q8=2,1,0),IF($X8&lt;30,1,0))</formula>
    </cfRule>
    <cfRule type="expression" dxfId="8727" priority="4241">
      <formula>AND(IF($Q8=3,1,0),IF($X8&lt;30,1,0))</formula>
    </cfRule>
    <cfRule type="expression" dxfId="8726" priority="4242">
      <formula>AND(IF($Q8=3,1,IF($Q8=4,1,0)),IF($F8&lt;=85,1,0))</formula>
    </cfRule>
  </conditionalFormatting>
  <conditionalFormatting sqref="X8">
    <cfRule type="expression" dxfId="8725" priority="4235">
      <formula>AND(IF(OR($Q8=1,$Q8=2),1,0),IF($X8&lt;=20,1,0))</formula>
    </cfRule>
    <cfRule type="expression" dxfId="8724" priority="4236">
      <formula>AND(IF($Q8=2,1,0),IF($X8&lt;30,1,0))</formula>
    </cfRule>
    <cfRule type="expression" dxfId="8723" priority="4237">
      <formula>AND(IF($Q8=3,1,0),IF($X8&lt;30,1,0))</formula>
    </cfRule>
    <cfRule type="expression" dxfId="8722" priority="4238">
      <formula>AND(IF($Q8=3,1,IF($Q8=4,1,0)),IF($F8&lt;=85,1,0))</formula>
    </cfRule>
  </conditionalFormatting>
  <conditionalFormatting sqref="AI8">
    <cfRule type="expression" dxfId="8721" priority="4231">
      <formula>AND(IF(OR($Q8=1,$Q8=2),1,0),IF($X8&lt;=20,1,0))</formula>
    </cfRule>
    <cfRule type="expression" dxfId="8720" priority="4232">
      <formula>AND(IF($Q8=2,1,0),IF($X8&lt;30,1,0))</formula>
    </cfRule>
    <cfRule type="expression" dxfId="8719" priority="4233">
      <formula>AND(IF($Q8=3,1,0),IF($X8&lt;30,1,0))</formula>
    </cfRule>
    <cfRule type="expression" dxfId="8718" priority="4234">
      <formula>AND(IF($Q8=3,1,IF($Q8=4,1,0)),IF($F8&lt;=85,1,0))</formula>
    </cfRule>
  </conditionalFormatting>
  <conditionalFormatting sqref="AV9">
    <cfRule type="expression" dxfId="8717" priority="4229">
      <formula>AV9="X"</formula>
    </cfRule>
    <cfRule type="expression" dxfId="8716" priority="4230">
      <formula>AV9="후보"</formula>
    </cfRule>
  </conditionalFormatting>
  <conditionalFormatting sqref="AC9">
    <cfRule type="cellIs" dxfId="8715" priority="4227" operator="greaterThan">
      <formula>0.9</formula>
    </cfRule>
    <cfRule type="cellIs" dxfId="8714" priority="4228" operator="greaterThan">
      <formula>0.85</formula>
    </cfRule>
  </conditionalFormatting>
  <conditionalFormatting sqref="N9">
    <cfRule type="cellIs" dxfId="8713" priority="4225" operator="greaterThan">
      <formula>0.9</formula>
    </cfRule>
    <cfRule type="cellIs" dxfId="8712" priority="4226" operator="greaterThan">
      <formula>0.85</formula>
    </cfRule>
  </conditionalFormatting>
  <conditionalFormatting sqref="E9">
    <cfRule type="expression" dxfId="8711" priority="4221">
      <formula>AND(IF(OR($Q9=1,$Q9=2),1,0),IF($X9&lt;=20,1,0))</formula>
    </cfRule>
    <cfRule type="expression" dxfId="8710" priority="4222">
      <formula>AND(IF($Q9=2,1,0),IF($X9&lt;30,1,0))</formula>
    </cfRule>
    <cfRule type="expression" dxfId="8709" priority="4223">
      <formula>AND(IF($Q9=3,1,0),IF($X9&lt;30,1,0))</formula>
    </cfRule>
    <cfRule type="expression" dxfId="8708" priority="4224">
      <formula>AND(IF($Q9=3,1,IF($Q9=4,1,0)),IF($F9&lt;=85,1,0))</formula>
    </cfRule>
  </conditionalFormatting>
  <conditionalFormatting sqref="X9">
    <cfRule type="expression" dxfId="8707" priority="4217">
      <formula>AND(IF(OR($Q9=1,$Q9=2),1,0),IF($X9&lt;=20,1,0))</formula>
    </cfRule>
    <cfRule type="expression" dxfId="8706" priority="4218">
      <formula>AND(IF($Q9=2,1,0),IF($X9&lt;30,1,0))</formula>
    </cfRule>
    <cfRule type="expression" dxfId="8705" priority="4219">
      <formula>AND(IF($Q9=3,1,0),IF($X9&lt;30,1,0))</formula>
    </cfRule>
    <cfRule type="expression" dxfId="8704" priority="4220">
      <formula>AND(IF($Q9=3,1,IF($Q9=4,1,0)),IF($F9&lt;=85,1,0))</formula>
    </cfRule>
  </conditionalFormatting>
  <conditionalFormatting sqref="AI9">
    <cfRule type="expression" dxfId="8703" priority="4213">
      <formula>AND(IF(OR($Q9=1,$Q9=2),1,0),IF($X9&lt;=20,1,0))</formula>
    </cfRule>
    <cfRule type="expression" dxfId="8702" priority="4214">
      <formula>AND(IF($Q9=2,1,0),IF($X9&lt;30,1,0))</formula>
    </cfRule>
    <cfRule type="expression" dxfId="8701" priority="4215">
      <formula>AND(IF($Q9=3,1,0),IF($X9&lt;30,1,0))</formula>
    </cfRule>
    <cfRule type="expression" dxfId="8700" priority="4216">
      <formula>AND(IF($Q9=3,1,IF($Q9=4,1,0)),IF($F9&lt;=85,1,0))</formula>
    </cfRule>
  </conditionalFormatting>
  <conditionalFormatting sqref="AV10">
    <cfRule type="expression" dxfId="8699" priority="4211">
      <formula>AV10="X"</formula>
    </cfRule>
    <cfRule type="expression" dxfId="8698" priority="4212">
      <formula>AV10="후보"</formula>
    </cfRule>
  </conditionalFormatting>
  <conditionalFormatting sqref="AC10">
    <cfRule type="cellIs" dxfId="8697" priority="4209" operator="greaterThan">
      <formula>0.9</formula>
    </cfRule>
    <cfRule type="cellIs" dxfId="8696" priority="4210" operator="greaterThan">
      <formula>0.85</formula>
    </cfRule>
  </conditionalFormatting>
  <conditionalFormatting sqref="N10">
    <cfRule type="cellIs" dxfId="8695" priority="4207" operator="greaterThan">
      <formula>0.9</formula>
    </cfRule>
    <cfRule type="cellIs" dxfId="8694" priority="4208" operator="greaterThan">
      <formula>0.85</formula>
    </cfRule>
  </conditionalFormatting>
  <conditionalFormatting sqref="E10">
    <cfRule type="expression" dxfId="8693" priority="4203">
      <formula>AND(IF(OR($Q10=1,$Q10=2),1,0),IF($X10&lt;=20,1,0))</formula>
    </cfRule>
    <cfRule type="expression" dxfId="8692" priority="4204">
      <formula>AND(IF($Q10=2,1,0),IF($X10&lt;30,1,0))</formula>
    </cfRule>
    <cfRule type="expression" dxfId="8691" priority="4205">
      <formula>AND(IF($Q10=3,1,0),IF($X10&lt;30,1,0))</formula>
    </cfRule>
    <cfRule type="expression" dxfId="8690" priority="4206">
      <formula>AND(IF($Q10=3,1,IF($Q10=4,1,0)),IF($F10&lt;=85,1,0))</formula>
    </cfRule>
  </conditionalFormatting>
  <conditionalFormatting sqref="X10">
    <cfRule type="expression" dxfId="8689" priority="4199">
      <formula>AND(IF(OR($Q10=1,$Q10=2),1,0),IF($X10&lt;=20,1,0))</formula>
    </cfRule>
    <cfRule type="expression" dxfId="8688" priority="4200">
      <formula>AND(IF($Q10=2,1,0),IF($X10&lt;30,1,0))</formula>
    </cfRule>
    <cfRule type="expression" dxfId="8687" priority="4201">
      <formula>AND(IF($Q10=3,1,0),IF($X10&lt;30,1,0))</formula>
    </cfRule>
    <cfRule type="expression" dxfId="8686" priority="4202">
      <formula>AND(IF($Q10=3,1,IF($Q10=4,1,0)),IF($F10&lt;=85,1,0))</formula>
    </cfRule>
  </conditionalFormatting>
  <conditionalFormatting sqref="AI10">
    <cfRule type="expression" dxfId="8685" priority="4195">
      <formula>AND(IF(OR($Q10=1,$Q10=2),1,0),IF($X10&lt;=20,1,0))</formula>
    </cfRule>
    <cfRule type="expression" dxfId="8684" priority="4196">
      <formula>AND(IF($Q10=2,1,0),IF($X10&lt;30,1,0))</formula>
    </cfRule>
    <cfRule type="expression" dxfId="8683" priority="4197">
      <formula>AND(IF($Q10=3,1,0),IF($X10&lt;30,1,0))</formula>
    </cfRule>
    <cfRule type="expression" dxfId="8682" priority="4198">
      <formula>AND(IF($Q10=3,1,IF($Q10=4,1,0)),IF($F10&lt;=85,1,0))</formula>
    </cfRule>
  </conditionalFormatting>
  <conditionalFormatting sqref="AV11">
    <cfRule type="expression" dxfId="8681" priority="4193">
      <formula>AV11="X"</formula>
    </cfRule>
    <cfRule type="expression" dxfId="8680" priority="4194">
      <formula>AV11="후보"</formula>
    </cfRule>
  </conditionalFormatting>
  <conditionalFormatting sqref="AC11">
    <cfRule type="cellIs" dxfId="8679" priority="4191" operator="greaterThan">
      <formula>0.9</formula>
    </cfRule>
    <cfRule type="cellIs" dxfId="8678" priority="4192" operator="greaterThan">
      <formula>0.85</formula>
    </cfRule>
  </conditionalFormatting>
  <conditionalFormatting sqref="N11">
    <cfRule type="cellIs" dxfId="8677" priority="4189" operator="greaterThan">
      <formula>0.9</formula>
    </cfRule>
    <cfRule type="cellIs" dxfId="8676" priority="4190" operator="greaterThan">
      <formula>0.85</formula>
    </cfRule>
  </conditionalFormatting>
  <conditionalFormatting sqref="E11">
    <cfRule type="expression" dxfId="8675" priority="4185">
      <formula>AND(IF(OR($Q11=1,$Q11=2),1,0),IF($X11&lt;=20,1,0))</formula>
    </cfRule>
    <cfRule type="expression" dxfId="8674" priority="4186">
      <formula>AND(IF($Q11=2,1,0),IF($X11&lt;30,1,0))</formula>
    </cfRule>
    <cfRule type="expression" dxfId="8673" priority="4187">
      <formula>AND(IF($Q11=3,1,0),IF($X11&lt;30,1,0))</formula>
    </cfRule>
    <cfRule type="expression" dxfId="8672" priority="4188">
      <formula>AND(IF($Q11=3,1,IF($Q11=4,1,0)),IF($F11&lt;=85,1,0))</formula>
    </cfRule>
  </conditionalFormatting>
  <conditionalFormatting sqref="X11">
    <cfRule type="expression" dxfId="8671" priority="4181">
      <formula>AND(IF(OR($Q11=1,$Q11=2),1,0),IF($X11&lt;=20,1,0))</formula>
    </cfRule>
    <cfRule type="expression" dxfId="8670" priority="4182">
      <formula>AND(IF($Q11=2,1,0),IF($X11&lt;30,1,0))</formula>
    </cfRule>
    <cfRule type="expression" dxfId="8669" priority="4183">
      <formula>AND(IF($Q11=3,1,0),IF($X11&lt;30,1,0))</formula>
    </cfRule>
    <cfRule type="expression" dxfId="8668" priority="4184">
      <formula>AND(IF($Q11=3,1,IF($Q11=4,1,0)),IF($F11&lt;=85,1,0))</formula>
    </cfRule>
  </conditionalFormatting>
  <conditionalFormatting sqref="AI11">
    <cfRule type="expression" dxfId="8667" priority="4177">
      <formula>AND(IF(OR($Q11=1,$Q11=2),1,0),IF($X11&lt;=20,1,0))</formula>
    </cfRule>
    <cfRule type="expression" dxfId="8666" priority="4178">
      <formula>AND(IF($Q11=2,1,0),IF($X11&lt;30,1,0))</formula>
    </cfRule>
    <cfRule type="expression" dxfId="8665" priority="4179">
      <formula>AND(IF($Q11=3,1,0),IF($X11&lt;30,1,0))</formula>
    </cfRule>
    <cfRule type="expression" dxfId="8664" priority="4180">
      <formula>AND(IF($Q11=3,1,IF($Q11=4,1,0)),IF($F11&lt;=85,1,0))</formula>
    </cfRule>
  </conditionalFormatting>
  <conditionalFormatting sqref="AV12">
    <cfRule type="expression" dxfId="8663" priority="4175">
      <formula>AV12="X"</formula>
    </cfRule>
    <cfRule type="expression" dxfId="8662" priority="4176">
      <formula>AV12="후보"</formula>
    </cfRule>
  </conditionalFormatting>
  <conditionalFormatting sqref="AC12">
    <cfRule type="cellIs" dxfId="8661" priority="4173" operator="greaterThan">
      <formula>0.9</formula>
    </cfRule>
    <cfRule type="cellIs" dxfId="8660" priority="4174" operator="greaterThan">
      <formula>0.85</formula>
    </cfRule>
  </conditionalFormatting>
  <conditionalFormatting sqref="N12">
    <cfRule type="cellIs" dxfId="8659" priority="4171" operator="greaterThan">
      <formula>0.9</formula>
    </cfRule>
    <cfRule type="cellIs" dxfId="8658" priority="4172" operator="greaterThan">
      <formula>0.85</formula>
    </cfRule>
  </conditionalFormatting>
  <conditionalFormatting sqref="E12">
    <cfRule type="expression" dxfId="8657" priority="4167">
      <formula>AND(IF(OR($Q12=1,$Q12=2),1,0),IF($X12&lt;=20,1,0))</formula>
    </cfRule>
    <cfRule type="expression" dxfId="8656" priority="4168">
      <formula>AND(IF($Q12=2,1,0),IF($X12&lt;30,1,0))</formula>
    </cfRule>
    <cfRule type="expression" dxfId="8655" priority="4169">
      <formula>AND(IF($Q12=3,1,0),IF($X12&lt;30,1,0))</formula>
    </cfRule>
    <cfRule type="expression" dxfId="8654" priority="4170">
      <formula>AND(IF($Q12=3,1,IF($Q12=4,1,0)),IF($F12&lt;=85,1,0))</formula>
    </cfRule>
  </conditionalFormatting>
  <conditionalFormatting sqref="X12">
    <cfRule type="expression" dxfId="8653" priority="4163">
      <formula>AND(IF(OR($Q12=1,$Q12=2),1,0),IF($X12&lt;=20,1,0))</formula>
    </cfRule>
    <cfRule type="expression" dxfId="8652" priority="4164">
      <formula>AND(IF($Q12=2,1,0),IF($X12&lt;30,1,0))</formula>
    </cfRule>
    <cfRule type="expression" dxfId="8651" priority="4165">
      <formula>AND(IF($Q12=3,1,0),IF($X12&lt;30,1,0))</formula>
    </cfRule>
    <cfRule type="expression" dxfId="8650" priority="4166">
      <formula>AND(IF($Q12=3,1,IF($Q12=4,1,0)),IF($F12&lt;=85,1,0))</formula>
    </cfRule>
  </conditionalFormatting>
  <conditionalFormatting sqref="AI12">
    <cfRule type="expression" dxfId="8649" priority="4159">
      <formula>AND(IF(OR($Q12=1,$Q12=2),1,0),IF($X12&lt;=20,1,0))</formula>
    </cfRule>
    <cfRule type="expression" dxfId="8648" priority="4160">
      <formula>AND(IF($Q12=2,1,0),IF($X12&lt;30,1,0))</formula>
    </cfRule>
    <cfRule type="expression" dxfId="8647" priority="4161">
      <formula>AND(IF($Q12=3,1,0),IF($X12&lt;30,1,0))</formula>
    </cfRule>
    <cfRule type="expression" dxfId="8646" priority="4162">
      <formula>AND(IF($Q12=3,1,IF($Q12=4,1,0)),IF($F12&lt;=85,1,0))</formula>
    </cfRule>
  </conditionalFormatting>
  <conditionalFormatting sqref="AV13">
    <cfRule type="expression" dxfId="8645" priority="4157">
      <formula>AV13="X"</formula>
    </cfRule>
    <cfRule type="expression" dxfId="8644" priority="4158">
      <formula>AV13="후보"</formula>
    </cfRule>
  </conditionalFormatting>
  <conditionalFormatting sqref="AC13">
    <cfRule type="cellIs" dxfId="8643" priority="4155" operator="greaterThan">
      <formula>0.9</formula>
    </cfRule>
    <cfRule type="cellIs" dxfId="8642" priority="4156" operator="greaterThan">
      <formula>0.85</formula>
    </cfRule>
  </conditionalFormatting>
  <conditionalFormatting sqref="N13">
    <cfRule type="cellIs" dxfId="8641" priority="4153" operator="greaterThan">
      <formula>0.9</formula>
    </cfRule>
    <cfRule type="cellIs" dxfId="8640" priority="4154" operator="greaterThan">
      <formula>0.85</formula>
    </cfRule>
  </conditionalFormatting>
  <conditionalFormatting sqref="E13">
    <cfRule type="expression" dxfId="8639" priority="4149">
      <formula>AND(IF(OR($Q13=1,$Q13=2),1,0),IF($X13&lt;=20,1,0))</formula>
    </cfRule>
    <cfRule type="expression" dxfId="8638" priority="4150">
      <formula>AND(IF($Q13=2,1,0),IF($X13&lt;30,1,0))</formula>
    </cfRule>
    <cfRule type="expression" dxfId="8637" priority="4151">
      <formula>AND(IF($Q13=3,1,0),IF($X13&lt;30,1,0))</formula>
    </cfRule>
    <cfRule type="expression" dxfId="8636" priority="4152">
      <formula>AND(IF($Q13=3,1,IF($Q13=4,1,0)),IF($F13&lt;=85,1,0))</formula>
    </cfRule>
  </conditionalFormatting>
  <conditionalFormatting sqref="X13">
    <cfRule type="expression" dxfId="8635" priority="4145">
      <formula>AND(IF(OR($Q13=1,$Q13=2),1,0),IF($X13&lt;=20,1,0))</formula>
    </cfRule>
    <cfRule type="expression" dxfId="8634" priority="4146">
      <formula>AND(IF($Q13=2,1,0),IF($X13&lt;30,1,0))</formula>
    </cfRule>
    <cfRule type="expression" dxfId="8633" priority="4147">
      <formula>AND(IF($Q13=3,1,0),IF($X13&lt;30,1,0))</formula>
    </cfRule>
    <cfRule type="expression" dxfId="8632" priority="4148">
      <formula>AND(IF($Q13=3,1,IF($Q13=4,1,0)),IF($F13&lt;=85,1,0))</formula>
    </cfRule>
  </conditionalFormatting>
  <conditionalFormatting sqref="AI13">
    <cfRule type="expression" dxfId="8631" priority="4141">
      <formula>AND(IF(OR($Q13=1,$Q13=2),1,0),IF($X13&lt;=20,1,0))</formula>
    </cfRule>
    <cfRule type="expression" dxfId="8630" priority="4142">
      <formula>AND(IF($Q13=2,1,0),IF($X13&lt;30,1,0))</formula>
    </cfRule>
    <cfRule type="expression" dxfId="8629" priority="4143">
      <formula>AND(IF($Q13=3,1,0),IF($X13&lt;30,1,0))</formula>
    </cfRule>
    <cfRule type="expression" dxfId="8628" priority="4144">
      <formula>AND(IF($Q13=3,1,IF($Q13=4,1,0)),IF($F13&lt;=85,1,0))</formula>
    </cfRule>
  </conditionalFormatting>
  <conditionalFormatting sqref="AV14">
    <cfRule type="expression" dxfId="8627" priority="4139">
      <formula>AV14="X"</formula>
    </cfRule>
    <cfRule type="expression" dxfId="8626" priority="4140">
      <formula>AV14="후보"</formula>
    </cfRule>
  </conditionalFormatting>
  <conditionalFormatting sqref="AC14">
    <cfRule type="cellIs" dxfId="8625" priority="4137" operator="greaterThan">
      <formula>0.9</formula>
    </cfRule>
    <cfRule type="cellIs" dxfId="8624" priority="4138" operator="greaterThan">
      <formula>0.85</formula>
    </cfRule>
  </conditionalFormatting>
  <conditionalFormatting sqref="N14">
    <cfRule type="cellIs" dxfId="8623" priority="4135" operator="greaterThan">
      <formula>0.9</formula>
    </cfRule>
    <cfRule type="cellIs" dxfId="8622" priority="4136" operator="greaterThan">
      <formula>0.85</formula>
    </cfRule>
  </conditionalFormatting>
  <conditionalFormatting sqref="E14">
    <cfRule type="expression" dxfId="8621" priority="4131">
      <formula>AND(IF(OR($Q14=1,$Q14=2),1,0),IF($X14&lt;=20,1,0))</formula>
    </cfRule>
    <cfRule type="expression" dxfId="8620" priority="4132">
      <formula>AND(IF($Q14=2,1,0),IF($X14&lt;30,1,0))</formula>
    </cfRule>
    <cfRule type="expression" dxfId="8619" priority="4133">
      <formula>AND(IF($Q14=3,1,0),IF($X14&lt;30,1,0))</formula>
    </cfRule>
    <cfRule type="expression" dxfId="8618" priority="4134">
      <formula>AND(IF($Q14=3,1,IF($Q14=4,1,0)),IF($F14&lt;=85,1,0))</formula>
    </cfRule>
  </conditionalFormatting>
  <conditionalFormatting sqref="X14">
    <cfRule type="expression" dxfId="8617" priority="4127">
      <formula>AND(IF(OR($Q14=1,$Q14=2),1,0),IF($X14&lt;=20,1,0))</formula>
    </cfRule>
    <cfRule type="expression" dxfId="8616" priority="4128">
      <formula>AND(IF($Q14=2,1,0),IF($X14&lt;30,1,0))</formula>
    </cfRule>
    <cfRule type="expression" dxfId="8615" priority="4129">
      <formula>AND(IF($Q14=3,1,0),IF($X14&lt;30,1,0))</formula>
    </cfRule>
    <cfRule type="expression" dxfId="8614" priority="4130">
      <formula>AND(IF($Q14=3,1,IF($Q14=4,1,0)),IF($F14&lt;=85,1,0))</formula>
    </cfRule>
  </conditionalFormatting>
  <conditionalFormatting sqref="AI14">
    <cfRule type="expression" dxfId="8613" priority="4123">
      <formula>AND(IF(OR($Q14=1,$Q14=2),1,0),IF($X14&lt;=20,1,0))</formula>
    </cfRule>
    <cfRule type="expression" dxfId="8612" priority="4124">
      <formula>AND(IF($Q14=2,1,0),IF($X14&lt;30,1,0))</formula>
    </cfRule>
    <cfRule type="expression" dxfId="8611" priority="4125">
      <formula>AND(IF($Q14=3,1,0),IF($X14&lt;30,1,0))</formula>
    </cfRule>
    <cfRule type="expression" dxfId="8610" priority="4126">
      <formula>AND(IF($Q14=3,1,IF($Q14=4,1,0)),IF($F14&lt;=85,1,0))</formula>
    </cfRule>
  </conditionalFormatting>
  <conditionalFormatting sqref="AV15">
    <cfRule type="expression" dxfId="8609" priority="4121">
      <formula>AV15="X"</formula>
    </cfRule>
    <cfRule type="expression" dxfId="8608" priority="4122">
      <formula>AV15="후보"</formula>
    </cfRule>
  </conditionalFormatting>
  <conditionalFormatting sqref="AC15">
    <cfRule type="cellIs" dxfId="8607" priority="4119" operator="greaterThan">
      <formula>0.9</formula>
    </cfRule>
    <cfRule type="cellIs" dxfId="8606" priority="4120" operator="greaterThan">
      <formula>0.85</formula>
    </cfRule>
  </conditionalFormatting>
  <conditionalFormatting sqref="N15">
    <cfRule type="cellIs" dxfId="8605" priority="4117" operator="greaterThan">
      <formula>0.9</formula>
    </cfRule>
    <cfRule type="cellIs" dxfId="8604" priority="4118" operator="greaterThan">
      <formula>0.85</formula>
    </cfRule>
  </conditionalFormatting>
  <conditionalFormatting sqref="E15">
    <cfRule type="expression" dxfId="8603" priority="4113">
      <formula>AND(IF(OR($Q15=1,$Q15=2),1,0),IF($X15&lt;=20,1,0))</formula>
    </cfRule>
    <cfRule type="expression" dxfId="8602" priority="4114">
      <formula>AND(IF($Q15=2,1,0),IF($X15&lt;30,1,0))</formula>
    </cfRule>
    <cfRule type="expression" dxfId="8601" priority="4115">
      <formula>AND(IF($Q15=3,1,0),IF($X15&lt;30,1,0))</formula>
    </cfRule>
    <cfRule type="expression" dxfId="8600" priority="4116">
      <formula>AND(IF($Q15=3,1,IF($Q15=4,1,0)),IF($F15&lt;=85,1,0))</formula>
    </cfRule>
  </conditionalFormatting>
  <conditionalFormatting sqref="X15">
    <cfRule type="expression" dxfId="8599" priority="4109">
      <formula>AND(IF(OR($Q15=1,$Q15=2),1,0),IF($X15&lt;=20,1,0))</formula>
    </cfRule>
    <cfRule type="expression" dxfId="8598" priority="4110">
      <formula>AND(IF($Q15=2,1,0),IF($X15&lt;30,1,0))</formula>
    </cfRule>
    <cfRule type="expression" dxfId="8597" priority="4111">
      <formula>AND(IF($Q15=3,1,0),IF($X15&lt;30,1,0))</formula>
    </cfRule>
    <cfRule type="expression" dxfId="8596" priority="4112">
      <formula>AND(IF($Q15=3,1,IF($Q15=4,1,0)),IF($F15&lt;=85,1,0))</formula>
    </cfRule>
  </conditionalFormatting>
  <conditionalFormatting sqref="AI15">
    <cfRule type="expression" dxfId="8595" priority="4105">
      <formula>AND(IF(OR($Q15=1,$Q15=2),1,0),IF($X15&lt;=20,1,0))</formula>
    </cfRule>
    <cfRule type="expression" dxfId="8594" priority="4106">
      <formula>AND(IF($Q15=2,1,0),IF($X15&lt;30,1,0))</formula>
    </cfRule>
    <cfRule type="expression" dxfId="8593" priority="4107">
      <formula>AND(IF($Q15=3,1,0),IF($X15&lt;30,1,0))</formula>
    </cfRule>
    <cfRule type="expression" dxfId="8592" priority="4108">
      <formula>AND(IF($Q15=3,1,IF($Q15=4,1,0)),IF($F15&lt;=85,1,0))</formula>
    </cfRule>
  </conditionalFormatting>
  <conditionalFormatting sqref="AV16">
    <cfRule type="expression" dxfId="8591" priority="4103">
      <formula>AV16="X"</formula>
    </cfRule>
    <cfRule type="expression" dxfId="8590" priority="4104">
      <formula>AV16="후보"</formula>
    </cfRule>
  </conditionalFormatting>
  <conditionalFormatting sqref="AC16">
    <cfRule type="cellIs" dxfId="8589" priority="4101" operator="greaterThan">
      <formula>0.9</formula>
    </cfRule>
    <cfRule type="cellIs" dxfId="8588" priority="4102" operator="greaterThan">
      <formula>0.85</formula>
    </cfRule>
  </conditionalFormatting>
  <conditionalFormatting sqref="N16">
    <cfRule type="cellIs" dxfId="8587" priority="4099" operator="greaterThan">
      <formula>0.9</formula>
    </cfRule>
    <cfRule type="cellIs" dxfId="8586" priority="4100" operator="greaterThan">
      <formula>0.85</formula>
    </cfRule>
  </conditionalFormatting>
  <conditionalFormatting sqref="E16">
    <cfRule type="expression" dxfId="8585" priority="4095">
      <formula>AND(IF(OR($Q16=1,$Q16=2),1,0),IF($X16&lt;=20,1,0))</formula>
    </cfRule>
    <cfRule type="expression" dxfId="8584" priority="4096">
      <formula>AND(IF($Q16=2,1,0),IF($X16&lt;30,1,0))</formula>
    </cfRule>
    <cfRule type="expression" dxfId="8583" priority="4097">
      <formula>AND(IF($Q16=3,1,0),IF($X16&lt;30,1,0))</formula>
    </cfRule>
    <cfRule type="expression" dxfId="8582" priority="4098">
      <formula>AND(IF($Q16=3,1,IF($Q16=4,1,0)),IF($F16&lt;=85,1,0))</formula>
    </cfRule>
  </conditionalFormatting>
  <conditionalFormatting sqref="X16">
    <cfRule type="expression" dxfId="8581" priority="4091">
      <formula>AND(IF(OR($Q16=1,$Q16=2),1,0),IF($X16&lt;=20,1,0))</formula>
    </cfRule>
    <cfRule type="expression" dxfId="8580" priority="4092">
      <formula>AND(IF($Q16=2,1,0),IF($X16&lt;30,1,0))</formula>
    </cfRule>
    <cfRule type="expression" dxfId="8579" priority="4093">
      <formula>AND(IF($Q16=3,1,0),IF($X16&lt;30,1,0))</formula>
    </cfRule>
    <cfRule type="expression" dxfId="8578" priority="4094">
      <formula>AND(IF($Q16=3,1,IF($Q16=4,1,0)),IF($F16&lt;=85,1,0))</formula>
    </cfRule>
  </conditionalFormatting>
  <conditionalFormatting sqref="AI16">
    <cfRule type="expression" dxfId="8577" priority="4087">
      <formula>AND(IF(OR($Q16=1,$Q16=2),1,0),IF($X16&lt;=20,1,0))</formula>
    </cfRule>
    <cfRule type="expression" dxfId="8576" priority="4088">
      <formula>AND(IF($Q16=2,1,0),IF($X16&lt;30,1,0))</formula>
    </cfRule>
    <cfRule type="expression" dxfId="8575" priority="4089">
      <formula>AND(IF($Q16=3,1,0),IF($X16&lt;30,1,0))</formula>
    </cfRule>
    <cfRule type="expression" dxfId="8574" priority="4090">
      <formula>AND(IF($Q16=3,1,IF($Q16=4,1,0)),IF($F16&lt;=85,1,0))</formula>
    </cfRule>
  </conditionalFormatting>
  <conditionalFormatting sqref="AV17">
    <cfRule type="expression" dxfId="8573" priority="4085">
      <formula>AV17="X"</formula>
    </cfRule>
    <cfRule type="expression" dxfId="8572" priority="4086">
      <formula>AV17="후보"</formula>
    </cfRule>
  </conditionalFormatting>
  <conditionalFormatting sqref="AC17">
    <cfRule type="cellIs" dxfId="8571" priority="4083" operator="greaterThan">
      <formula>0.9</formula>
    </cfRule>
    <cfRule type="cellIs" dxfId="8570" priority="4084" operator="greaterThan">
      <formula>0.85</formula>
    </cfRule>
  </conditionalFormatting>
  <conditionalFormatting sqref="N17">
    <cfRule type="cellIs" dxfId="8569" priority="4081" operator="greaterThan">
      <formula>0.9</formula>
    </cfRule>
    <cfRule type="cellIs" dxfId="8568" priority="4082" operator="greaterThan">
      <formula>0.85</formula>
    </cfRule>
  </conditionalFormatting>
  <conditionalFormatting sqref="E17">
    <cfRule type="expression" dxfId="8567" priority="4077">
      <formula>AND(IF(OR($Q17=1,$Q17=2),1,0),IF($X17&lt;=20,1,0))</formula>
    </cfRule>
    <cfRule type="expression" dxfId="8566" priority="4078">
      <formula>AND(IF($Q17=2,1,0),IF($X17&lt;30,1,0))</formula>
    </cfRule>
    <cfRule type="expression" dxfId="8565" priority="4079">
      <formula>AND(IF($Q17=3,1,0),IF($X17&lt;30,1,0))</formula>
    </cfRule>
    <cfRule type="expression" dxfId="8564" priority="4080">
      <formula>AND(IF($Q17=3,1,IF($Q17=4,1,0)),IF($F17&lt;=85,1,0))</formula>
    </cfRule>
  </conditionalFormatting>
  <conditionalFormatting sqref="X17">
    <cfRule type="expression" dxfId="8563" priority="4073">
      <formula>AND(IF(OR($Q17=1,$Q17=2),1,0),IF($X17&lt;=20,1,0))</formula>
    </cfRule>
    <cfRule type="expression" dxfId="8562" priority="4074">
      <formula>AND(IF($Q17=2,1,0),IF($X17&lt;30,1,0))</formula>
    </cfRule>
    <cfRule type="expression" dxfId="8561" priority="4075">
      <formula>AND(IF($Q17=3,1,0),IF($X17&lt;30,1,0))</formula>
    </cfRule>
    <cfRule type="expression" dxfId="8560" priority="4076">
      <formula>AND(IF($Q17=3,1,IF($Q17=4,1,0)),IF($F17&lt;=85,1,0))</formula>
    </cfRule>
  </conditionalFormatting>
  <conditionalFormatting sqref="AI17">
    <cfRule type="expression" dxfId="8559" priority="4069">
      <formula>AND(IF(OR($Q17=1,$Q17=2),1,0),IF($X17&lt;=20,1,0))</formula>
    </cfRule>
    <cfRule type="expression" dxfId="8558" priority="4070">
      <formula>AND(IF($Q17=2,1,0),IF($X17&lt;30,1,0))</formula>
    </cfRule>
    <cfRule type="expression" dxfId="8557" priority="4071">
      <formula>AND(IF($Q17=3,1,0),IF($X17&lt;30,1,0))</formula>
    </cfRule>
    <cfRule type="expression" dxfId="8556" priority="4072">
      <formula>AND(IF($Q17=3,1,IF($Q17=4,1,0)),IF($F17&lt;=85,1,0))</formula>
    </cfRule>
  </conditionalFormatting>
  <conditionalFormatting sqref="AV18">
    <cfRule type="expression" dxfId="8555" priority="4067">
      <formula>AV18="X"</formula>
    </cfRule>
    <cfRule type="expression" dxfId="8554" priority="4068">
      <formula>AV18="후보"</formula>
    </cfRule>
  </conditionalFormatting>
  <conditionalFormatting sqref="AC18">
    <cfRule type="cellIs" dxfId="8553" priority="4065" operator="greaterThan">
      <formula>0.9</formula>
    </cfRule>
    <cfRule type="cellIs" dxfId="8552" priority="4066" operator="greaterThan">
      <formula>0.85</formula>
    </cfRule>
  </conditionalFormatting>
  <conditionalFormatting sqref="N18">
    <cfRule type="cellIs" dxfId="8551" priority="4063" operator="greaterThan">
      <formula>0.9</formula>
    </cfRule>
    <cfRule type="cellIs" dxfId="8550" priority="4064" operator="greaterThan">
      <formula>0.85</formula>
    </cfRule>
  </conditionalFormatting>
  <conditionalFormatting sqref="E18">
    <cfRule type="expression" dxfId="8549" priority="4059">
      <formula>AND(IF(OR($Q18=1,$Q18=2),1,0),IF($X18&lt;=20,1,0))</formula>
    </cfRule>
    <cfRule type="expression" dxfId="8548" priority="4060">
      <formula>AND(IF($Q18=2,1,0),IF($X18&lt;30,1,0))</formula>
    </cfRule>
    <cfRule type="expression" dxfId="8547" priority="4061">
      <formula>AND(IF($Q18=3,1,0),IF($X18&lt;30,1,0))</formula>
    </cfRule>
    <cfRule type="expression" dxfId="8546" priority="4062">
      <formula>AND(IF($Q18=3,1,IF($Q18=4,1,0)),IF($F18&lt;=85,1,0))</formula>
    </cfRule>
  </conditionalFormatting>
  <conditionalFormatting sqref="X18">
    <cfRule type="expression" dxfId="8545" priority="4055">
      <formula>AND(IF(OR($Q18=1,$Q18=2),1,0),IF($X18&lt;=20,1,0))</formula>
    </cfRule>
    <cfRule type="expression" dxfId="8544" priority="4056">
      <formula>AND(IF($Q18=2,1,0),IF($X18&lt;30,1,0))</formula>
    </cfRule>
    <cfRule type="expression" dxfId="8543" priority="4057">
      <formula>AND(IF($Q18=3,1,0),IF($X18&lt;30,1,0))</formula>
    </cfRule>
    <cfRule type="expression" dxfId="8542" priority="4058">
      <formula>AND(IF($Q18=3,1,IF($Q18=4,1,0)),IF($F18&lt;=85,1,0))</formula>
    </cfRule>
  </conditionalFormatting>
  <conditionalFormatting sqref="AI18">
    <cfRule type="expression" dxfId="8541" priority="4051">
      <formula>AND(IF(OR($Q18=1,$Q18=2),1,0),IF($X18&lt;=20,1,0))</formula>
    </cfRule>
    <cfRule type="expression" dxfId="8540" priority="4052">
      <formula>AND(IF($Q18=2,1,0),IF($X18&lt;30,1,0))</formula>
    </cfRule>
    <cfRule type="expression" dxfId="8539" priority="4053">
      <formula>AND(IF($Q18=3,1,0),IF($X18&lt;30,1,0))</formula>
    </cfRule>
    <cfRule type="expression" dxfId="8538" priority="4054">
      <formula>AND(IF($Q18=3,1,IF($Q18=4,1,0)),IF($F18&lt;=85,1,0))</formula>
    </cfRule>
  </conditionalFormatting>
  <conditionalFormatting sqref="AV19">
    <cfRule type="expression" dxfId="8537" priority="4049">
      <formula>AV19="X"</formula>
    </cfRule>
    <cfRule type="expression" dxfId="8536" priority="4050">
      <formula>AV19="후보"</formula>
    </cfRule>
  </conditionalFormatting>
  <conditionalFormatting sqref="AC19">
    <cfRule type="cellIs" dxfId="8535" priority="4047" operator="greaterThan">
      <formula>0.9</formula>
    </cfRule>
    <cfRule type="cellIs" dxfId="8534" priority="4048" operator="greaterThan">
      <formula>0.85</formula>
    </cfRule>
  </conditionalFormatting>
  <conditionalFormatting sqref="N19">
    <cfRule type="cellIs" dxfId="8533" priority="4045" operator="greaterThan">
      <formula>0.9</formula>
    </cfRule>
    <cfRule type="cellIs" dxfId="8532" priority="4046" operator="greaterThan">
      <formula>0.85</formula>
    </cfRule>
  </conditionalFormatting>
  <conditionalFormatting sqref="E19">
    <cfRule type="expression" dxfId="8531" priority="4041">
      <formula>AND(IF(OR($Q19=1,$Q19=2),1,0),IF($X19&lt;=20,1,0))</formula>
    </cfRule>
    <cfRule type="expression" dxfId="8530" priority="4042">
      <formula>AND(IF($Q19=2,1,0),IF($X19&lt;30,1,0))</formula>
    </cfRule>
    <cfRule type="expression" dxfId="8529" priority="4043">
      <formula>AND(IF($Q19=3,1,0),IF($X19&lt;30,1,0))</formula>
    </cfRule>
    <cfRule type="expression" dxfId="8528" priority="4044">
      <formula>AND(IF($Q19=3,1,IF($Q19=4,1,0)),IF($F19&lt;=85,1,0))</formula>
    </cfRule>
  </conditionalFormatting>
  <conditionalFormatting sqref="X19">
    <cfRule type="expression" dxfId="8527" priority="4037">
      <formula>AND(IF(OR($Q19=1,$Q19=2),1,0),IF($X19&lt;=20,1,0))</formula>
    </cfRule>
    <cfRule type="expression" dxfId="8526" priority="4038">
      <formula>AND(IF($Q19=2,1,0),IF($X19&lt;30,1,0))</formula>
    </cfRule>
    <cfRule type="expression" dxfId="8525" priority="4039">
      <formula>AND(IF($Q19=3,1,0),IF($X19&lt;30,1,0))</formula>
    </cfRule>
    <cfRule type="expression" dxfId="8524" priority="4040">
      <formula>AND(IF($Q19=3,1,IF($Q19=4,1,0)),IF($F19&lt;=85,1,0))</formula>
    </cfRule>
  </conditionalFormatting>
  <conditionalFormatting sqref="AI19">
    <cfRule type="expression" dxfId="8523" priority="4033">
      <formula>AND(IF(OR($Q19=1,$Q19=2),1,0),IF($X19&lt;=20,1,0))</formula>
    </cfRule>
    <cfRule type="expression" dxfId="8522" priority="4034">
      <formula>AND(IF($Q19=2,1,0),IF($X19&lt;30,1,0))</formula>
    </cfRule>
    <cfRule type="expression" dxfId="8521" priority="4035">
      <formula>AND(IF($Q19=3,1,0),IF($X19&lt;30,1,0))</formula>
    </cfRule>
    <cfRule type="expression" dxfId="8520" priority="4036">
      <formula>AND(IF($Q19=3,1,IF($Q19=4,1,0)),IF($F19&lt;=85,1,0))</formula>
    </cfRule>
  </conditionalFormatting>
  <conditionalFormatting sqref="AV20">
    <cfRule type="expression" dxfId="8519" priority="4031">
      <formula>AV20="X"</formula>
    </cfRule>
    <cfRule type="expression" dxfId="8518" priority="4032">
      <formula>AV20="후보"</formula>
    </cfRule>
  </conditionalFormatting>
  <conditionalFormatting sqref="AC20">
    <cfRule type="cellIs" dxfId="8517" priority="4029" operator="greaterThan">
      <formula>0.9</formula>
    </cfRule>
    <cfRule type="cellIs" dxfId="8516" priority="4030" operator="greaterThan">
      <formula>0.85</formula>
    </cfRule>
  </conditionalFormatting>
  <conditionalFormatting sqref="N20">
    <cfRule type="cellIs" dxfId="8515" priority="4027" operator="greaterThan">
      <formula>0.9</formula>
    </cfRule>
    <cfRule type="cellIs" dxfId="8514" priority="4028" operator="greaterThan">
      <formula>0.85</formula>
    </cfRule>
  </conditionalFormatting>
  <conditionalFormatting sqref="E20">
    <cfRule type="expression" dxfId="8513" priority="4023">
      <formula>AND(IF(OR($Q20=1,$Q20=2),1,0),IF($X20&lt;=20,1,0))</formula>
    </cfRule>
    <cfRule type="expression" dxfId="8512" priority="4024">
      <formula>AND(IF($Q20=2,1,0),IF($X20&lt;30,1,0))</formula>
    </cfRule>
    <cfRule type="expression" dxfId="8511" priority="4025">
      <formula>AND(IF($Q20=3,1,0),IF($X20&lt;30,1,0))</formula>
    </cfRule>
    <cfRule type="expression" dxfId="8510" priority="4026">
      <formula>AND(IF($Q20=3,1,IF($Q20=4,1,0)),IF($F20&lt;=85,1,0))</formula>
    </cfRule>
  </conditionalFormatting>
  <conditionalFormatting sqref="X20">
    <cfRule type="expression" dxfId="8509" priority="4019">
      <formula>AND(IF(OR($Q20=1,$Q20=2),1,0),IF($X20&lt;=20,1,0))</formula>
    </cfRule>
    <cfRule type="expression" dxfId="8508" priority="4020">
      <formula>AND(IF($Q20=2,1,0),IF($X20&lt;30,1,0))</formula>
    </cfRule>
    <cfRule type="expression" dxfId="8507" priority="4021">
      <formula>AND(IF($Q20=3,1,0),IF($X20&lt;30,1,0))</formula>
    </cfRule>
    <cfRule type="expression" dxfId="8506" priority="4022">
      <formula>AND(IF($Q20=3,1,IF($Q20=4,1,0)),IF($F20&lt;=85,1,0))</formula>
    </cfRule>
  </conditionalFormatting>
  <conditionalFormatting sqref="AI20">
    <cfRule type="expression" dxfId="8505" priority="4015">
      <formula>AND(IF(OR($Q20=1,$Q20=2),1,0),IF($X20&lt;=20,1,0))</formula>
    </cfRule>
    <cfRule type="expression" dxfId="8504" priority="4016">
      <formula>AND(IF($Q20=2,1,0),IF($X20&lt;30,1,0))</formula>
    </cfRule>
    <cfRule type="expression" dxfId="8503" priority="4017">
      <formula>AND(IF($Q20=3,1,0),IF($X20&lt;30,1,0))</formula>
    </cfRule>
    <cfRule type="expression" dxfId="8502" priority="4018">
      <formula>AND(IF($Q20=3,1,IF($Q20=4,1,0)),IF($F20&lt;=85,1,0))</formula>
    </cfRule>
  </conditionalFormatting>
  <conditionalFormatting sqref="AV21">
    <cfRule type="expression" dxfId="8501" priority="4013">
      <formula>AV21="X"</formula>
    </cfRule>
    <cfRule type="expression" dxfId="8500" priority="4014">
      <formula>AV21="후보"</formula>
    </cfRule>
  </conditionalFormatting>
  <conditionalFormatting sqref="AC21">
    <cfRule type="cellIs" dxfId="8499" priority="4011" operator="greaterThan">
      <formula>0.9</formula>
    </cfRule>
    <cfRule type="cellIs" dxfId="8498" priority="4012" operator="greaterThan">
      <formula>0.85</formula>
    </cfRule>
  </conditionalFormatting>
  <conditionalFormatting sqref="N21">
    <cfRule type="cellIs" dxfId="8497" priority="4009" operator="greaterThan">
      <formula>0.9</formula>
    </cfRule>
    <cfRule type="cellIs" dxfId="8496" priority="4010" operator="greaterThan">
      <formula>0.85</formula>
    </cfRule>
  </conditionalFormatting>
  <conditionalFormatting sqref="E21">
    <cfRule type="expression" dxfId="8495" priority="4005">
      <formula>AND(IF(OR($Q21=1,$Q21=2),1,0),IF($X21&lt;=20,1,0))</formula>
    </cfRule>
    <cfRule type="expression" dxfId="8494" priority="4006">
      <formula>AND(IF($Q21=2,1,0),IF($X21&lt;30,1,0))</formula>
    </cfRule>
    <cfRule type="expression" dxfId="8493" priority="4007">
      <formula>AND(IF($Q21=3,1,0),IF($X21&lt;30,1,0))</formula>
    </cfRule>
    <cfRule type="expression" dxfId="8492" priority="4008">
      <formula>AND(IF($Q21=3,1,IF($Q21=4,1,0)),IF($F21&lt;=85,1,0))</formula>
    </cfRule>
  </conditionalFormatting>
  <conditionalFormatting sqref="X21">
    <cfRule type="expression" dxfId="8491" priority="4001">
      <formula>AND(IF(OR($Q21=1,$Q21=2),1,0),IF($X21&lt;=20,1,0))</formula>
    </cfRule>
    <cfRule type="expression" dxfId="8490" priority="4002">
      <formula>AND(IF($Q21=2,1,0),IF($X21&lt;30,1,0))</formula>
    </cfRule>
    <cfRule type="expression" dxfId="8489" priority="4003">
      <formula>AND(IF($Q21=3,1,0),IF($X21&lt;30,1,0))</formula>
    </cfRule>
    <cfRule type="expression" dxfId="8488" priority="4004">
      <formula>AND(IF($Q21=3,1,IF($Q21=4,1,0)),IF($F21&lt;=85,1,0))</formula>
    </cfRule>
  </conditionalFormatting>
  <conditionalFormatting sqref="AI21">
    <cfRule type="expression" dxfId="8487" priority="3997">
      <formula>AND(IF(OR($Q21=1,$Q21=2),1,0),IF($X21&lt;=20,1,0))</formula>
    </cfRule>
    <cfRule type="expression" dxfId="8486" priority="3998">
      <formula>AND(IF($Q21=2,1,0),IF($X21&lt;30,1,0))</formula>
    </cfRule>
    <cfRule type="expression" dxfId="8485" priority="3999">
      <formula>AND(IF($Q21=3,1,0),IF($X21&lt;30,1,0))</formula>
    </cfRule>
    <cfRule type="expression" dxfId="8484" priority="4000">
      <formula>AND(IF($Q21=3,1,IF($Q21=4,1,0)),IF($F21&lt;=85,1,0))</formula>
    </cfRule>
  </conditionalFormatting>
  <conditionalFormatting sqref="AV22">
    <cfRule type="expression" dxfId="8483" priority="3995">
      <formula>AV22="X"</formula>
    </cfRule>
    <cfRule type="expression" dxfId="8482" priority="3996">
      <formula>AV22="후보"</formula>
    </cfRule>
  </conditionalFormatting>
  <conditionalFormatting sqref="AC22">
    <cfRule type="cellIs" dxfId="8481" priority="3993" operator="greaterThan">
      <formula>0.9</formula>
    </cfRule>
    <cfRule type="cellIs" dxfId="8480" priority="3994" operator="greaterThan">
      <formula>0.85</formula>
    </cfRule>
  </conditionalFormatting>
  <conditionalFormatting sqref="N22">
    <cfRule type="cellIs" dxfId="8479" priority="3991" operator="greaterThan">
      <formula>0.9</formula>
    </cfRule>
    <cfRule type="cellIs" dxfId="8478" priority="3992" operator="greaterThan">
      <formula>0.85</formula>
    </cfRule>
  </conditionalFormatting>
  <conditionalFormatting sqref="E22">
    <cfRule type="expression" dxfId="8477" priority="3987">
      <formula>AND(IF(OR($Q22=1,$Q22=2),1,0),IF($X22&lt;=20,1,0))</formula>
    </cfRule>
    <cfRule type="expression" dxfId="8476" priority="3988">
      <formula>AND(IF($Q22=2,1,0),IF($X22&lt;30,1,0))</formula>
    </cfRule>
    <cfRule type="expression" dxfId="8475" priority="3989">
      <formula>AND(IF($Q22=3,1,0),IF($X22&lt;30,1,0))</formula>
    </cfRule>
    <cfRule type="expression" dxfId="8474" priority="3990">
      <formula>AND(IF($Q22=3,1,IF($Q22=4,1,0)),IF($F22&lt;=85,1,0))</formula>
    </cfRule>
  </conditionalFormatting>
  <conditionalFormatting sqref="X22">
    <cfRule type="expression" dxfId="8473" priority="3983">
      <formula>AND(IF(OR($Q22=1,$Q22=2),1,0),IF($X22&lt;=20,1,0))</formula>
    </cfRule>
    <cfRule type="expression" dxfId="8472" priority="3984">
      <formula>AND(IF($Q22=2,1,0),IF($X22&lt;30,1,0))</formula>
    </cfRule>
    <cfRule type="expression" dxfId="8471" priority="3985">
      <formula>AND(IF($Q22=3,1,0),IF($X22&lt;30,1,0))</formula>
    </cfRule>
    <cfRule type="expression" dxfId="8470" priority="3986">
      <formula>AND(IF($Q22=3,1,IF($Q22=4,1,0)),IF($F22&lt;=85,1,0))</formula>
    </cfRule>
  </conditionalFormatting>
  <conditionalFormatting sqref="AI22">
    <cfRule type="expression" dxfId="8469" priority="3979">
      <formula>AND(IF(OR($Q22=1,$Q22=2),1,0),IF($X22&lt;=20,1,0))</formula>
    </cfRule>
    <cfRule type="expression" dxfId="8468" priority="3980">
      <formula>AND(IF($Q22=2,1,0),IF($X22&lt;30,1,0))</formula>
    </cfRule>
    <cfRule type="expression" dxfId="8467" priority="3981">
      <formula>AND(IF($Q22=3,1,0),IF($X22&lt;30,1,0))</formula>
    </cfRule>
    <cfRule type="expression" dxfId="8466" priority="3982">
      <formula>AND(IF($Q22=3,1,IF($Q22=4,1,0)),IF($F22&lt;=85,1,0))</formula>
    </cfRule>
  </conditionalFormatting>
  <conditionalFormatting sqref="AV23">
    <cfRule type="expression" dxfId="8465" priority="3977">
      <formula>AV23="X"</formula>
    </cfRule>
    <cfRule type="expression" dxfId="8464" priority="3978">
      <formula>AV23="후보"</formula>
    </cfRule>
  </conditionalFormatting>
  <conditionalFormatting sqref="AC23">
    <cfRule type="cellIs" dxfId="8463" priority="3975" operator="greaterThan">
      <formula>0.9</formula>
    </cfRule>
    <cfRule type="cellIs" dxfId="8462" priority="3976" operator="greaterThan">
      <formula>0.85</formula>
    </cfRule>
  </conditionalFormatting>
  <conditionalFormatting sqref="N23">
    <cfRule type="cellIs" dxfId="8461" priority="3973" operator="greaterThan">
      <formula>0.9</formula>
    </cfRule>
    <cfRule type="cellIs" dxfId="8460" priority="3974" operator="greaterThan">
      <formula>0.85</formula>
    </cfRule>
  </conditionalFormatting>
  <conditionalFormatting sqref="E23">
    <cfRule type="expression" dxfId="8459" priority="3969">
      <formula>AND(IF(OR($Q23=1,$Q23=2),1,0),IF($X23&lt;=20,1,0))</formula>
    </cfRule>
    <cfRule type="expression" dxfId="8458" priority="3970">
      <formula>AND(IF($Q23=2,1,0),IF($X23&lt;30,1,0))</formula>
    </cfRule>
    <cfRule type="expression" dxfId="8457" priority="3971">
      <formula>AND(IF($Q23=3,1,0),IF($X23&lt;30,1,0))</formula>
    </cfRule>
    <cfRule type="expression" dxfId="8456" priority="3972">
      <formula>AND(IF($Q23=3,1,IF($Q23=4,1,0)),IF($F23&lt;=85,1,0))</formula>
    </cfRule>
  </conditionalFormatting>
  <conditionalFormatting sqref="X23">
    <cfRule type="expression" dxfId="8455" priority="3965">
      <formula>AND(IF(OR($Q23=1,$Q23=2),1,0),IF($X23&lt;=20,1,0))</formula>
    </cfRule>
    <cfRule type="expression" dxfId="8454" priority="3966">
      <formula>AND(IF($Q23=2,1,0),IF($X23&lt;30,1,0))</formula>
    </cfRule>
    <cfRule type="expression" dxfId="8453" priority="3967">
      <formula>AND(IF($Q23=3,1,0),IF($X23&lt;30,1,0))</formula>
    </cfRule>
    <cfRule type="expression" dxfId="8452" priority="3968">
      <formula>AND(IF($Q23=3,1,IF($Q23=4,1,0)),IF($F23&lt;=85,1,0))</formula>
    </cfRule>
  </conditionalFormatting>
  <conditionalFormatting sqref="AI23">
    <cfRule type="expression" dxfId="8451" priority="3961">
      <formula>AND(IF(OR($Q23=1,$Q23=2),1,0),IF($X23&lt;=20,1,0))</formula>
    </cfRule>
    <cfRule type="expression" dxfId="8450" priority="3962">
      <formula>AND(IF($Q23=2,1,0),IF($X23&lt;30,1,0))</formula>
    </cfRule>
    <cfRule type="expression" dxfId="8449" priority="3963">
      <formula>AND(IF($Q23=3,1,0),IF($X23&lt;30,1,0))</formula>
    </cfRule>
    <cfRule type="expression" dxfId="8448" priority="3964">
      <formula>AND(IF($Q23=3,1,IF($Q23=4,1,0)),IF($F23&lt;=85,1,0))</formula>
    </cfRule>
  </conditionalFormatting>
  <conditionalFormatting sqref="AV24">
    <cfRule type="expression" dxfId="8447" priority="3959">
      <formula>AV24="X"</formula>
    </cfRule>
    <cfRule type="expression" dxfId="8446" priority="3960">
      <formula>AV24="후보"</formula>
    </cfRule>
  </conditionalFormatting>
  <conditionalFormatting sqref="AC24">
    <cfRule type="cellIs" dxfId="8445" priority="3957" operator="greaterThan">
      <formula>0.9</formula>
    </cfRule>
    <cfRule type="cellIs" dxfId="8444" priority="3958" operator="greaterThan">
      <formula>0.85</formula>
    </cfRule>
  </conditionalFormatting>
  <conditionalFormatting sqref="N24">
    <cfRule type="cellIs" dxfId="8443" priority="3955" operator="greaterThan">
      <formula>0.9</formula>
    </cfRule>
    <cfRule type="cellIs" dxfId="8442" priority="3956" operator="greaterThan">
      <formula>0.85</formula>
    </cfRule>
  </conditionalFormatting>
  <conditionalFormatting sqref="E24">
    <cfRule type="expression" dxfId="8441" priority="3951">
      <formula>AND(IF(OR($Q24=1,$Q24=2),1,0),IF($X24&lt;=20,1,0))</formula>
    </cfRule>
    <cfRule type="expression" dxfId="8440" priority="3952">
      <formula>AND(IF($Q24=2,1,0),IF($X24&lt;30,1,0))</formula>
    </cfRule>
    <cfRule type="expression" dxfId="8439" priority="3953">
      <formula>AND(IF($Q24=3,1,0),IF($X24&lt;30,1,0))</formula>
    </cfRule>
    <cfRule type="expression" dxfId="8438" priority="3954">
      <formula>AND(IF($Q24=3,1,IF($Q24=4,1,0)),IF($F24&lt;=85,1,0))</formula>
    </cfRule>
  </conditionalFormatting>
  <conditionalFormatting sqref="X24">
    <cfRule type="expression" dxfId="8437" priority="3947">
      <formula>AND(IF(OR($Q24=1,$Q24=2),1,0),IF($X24&lt;=20,1,0))</formula>
    </cfRule>
    <cfRule type="expression" dxfId="8436" priority="3948">
      <formula>AND(IF($Q24=2,1,0),IF($X24&lt;30,1,0))</formula>
    </cfRule>
    <cfRule type="expression" dxfId="8435" priority="3949">
      <formula>AND(IF($Q24=3,1,0),IF($X24&lt;30,1,0))</formula>
    </cfRule>
    <cfRule type="expression" dxfId="8434" priority="3950">
      <formula>AND(IF($Q24=3,1,IF($Q24=4,1,0)),IF($F24&lt;=85,1,0))</formula>
    </cfRule>
  </conditionalFormatting>
  <conditionalFormatting sqref="AI24">
    <cfRule type="expression" dxfId="8433" priority="3943">
      <formula>AND(IF(OR($Q24=1,$Q24=2),1,0),IF($X24&lt;=20,1,0))</formula>
    </cfRule>
    <cfRule type="expression" dxfId="8432" priority="3944">
      <formula>AND(IF($Q24=2,1,0),IF($X24&lt;30,1,0))</formula>
    </cfRule>
    <cfRule type="expression" dxfId="8431" priority="3945">
      <formula>AND(IF($Q24=3,1,0),IF($X24&lt;30,1,0))</formula>
    </cfRule>
    <cfRule type="expression" dxfId="8430" priority="3946">
      <formula>AND(IF($Q24=3,1,IF($Q24=4,1,0)),IF($F24&lt;=85,1,0))</formula>
    </cfRule>
  </conditionalFormatting>
  <conditionalFormatting sqref="AV25">
    <cfRule type="expression" dxfId="8429" priority="3941">
      <formula>AV25="X"</formula>
    </cfRule>
    <cfRule type="expression" dxfId="8428" priority="3942">
      <formula>AV25="후보"</formula>
    </cfRule>
  </conditionalFormatting>
  <conditionalFormatting sqref="AC25">
    <cfRule type="cellIs" dxfId="8427" priority="3939" operator="greaterThan">
      <formula>0.9</formula>
    </cfRule>
    <cfRule type="cellIs" dxfId="8426" priority="3940" operator="greaterThan">
      <formula>0.85</formula>
    </cfRule>
  </conditionalFormatting>
  <conditionalFormatting sqref="N25">
    <cfRule type="cellIs" dxfId="8425" priority="3937" operator="greaterThan">
      <formula>0.9</formula>
    </cfRule>
    <cfRule type="cellIs" dxfId="8424" priority="3938" operator="greaterThan">
      <formula>0.85</formula>
    </cfRule>
  </conditionalFormatting>
  <conditionalFormatting sqref="E25">
    <cfRule type="expression" dxfId="8423" priority="3933">
      <formula>AND(IF(OR($Q25=1,$Q25=2),1,0),IF($X25&lt;=20,1,0))</formula>
    </cfRule>
    <cfRule type="expression" dxfId="8422" priority="3934">
      <formula>AND(IF($Q25=2,1,0),IF($X25&lt;30,1,0))</formula>
    </cfRule>
    <cfRule type="expression" dxfId="8421" priority="3935">
      <formula>AND(IF($Q25=3,1,0),IF($X25&lt;30,1,0))</formula>
    </cfRule>
    <cfRule type="expression" dxfId="8420" priority="3936">
      <formula>AND(IF($Q25=3,1,IF($Q25=4,1,0)),IF($F25&lt;=85,1,0))</formula>
    </cfRule>
  </conditionalFormatting>
  <conditionalFormatting sqref="X25">
    <cfRule type="expression" dxfId="8419" priority="3929">
      <formula>AND(IF(OR($Q25=1,$Q25=2),1,0),IF($X25&lt;=20,1,0))</formula>
    </cfRule>
    <cfRule type="expression" dxfId="8418" priority="3930">
      <formula>AND(IF($Q25=2,1,0),IF($X25&lt;30,1,0))</formula>
    </cfRule>
    <cfRule type="expression" dxfId="8417" priority="3931">
      <formula>AND(IF($Q25=3,1,0),IF($X25&lt;30,1,0))</formula>
    </cfRule>
    <cfRule type="expression" dxfId="8416" priority="3932">
      <formula>AND(IF($Q25=3,1,IF($Q25=4,1,0)),IF($F25&lt;=85,1,0))</formula>
    </cfRule>
  </conditionalFormatting>
  <conditionalFormatting sqref="AI25">
    <cfRule type="expression" dxfId="8415" priority="3925">
      <formula>AND(IF(OR($Q25=1,$Q25=2),1,0),IF($X25&lt;=20,1,0))</formula>
    </cfRule>
    <cfRule type="expression" dxfId="8414" priority="3926">
      <formula>AND(IF($Q25=2,1,0),IF($X25&lt;30,1,0))</formula>
    </cfRule>
    <cfRule type="expression" dxfId="8413" priority="3927">
      <formula>AND(IF($Q25=3,1,0),IF($X25&lt;30,1,0))</formula>
    </cfRule>
    <cfRule type="expression" dxfId="8412" priority="3928">
      <formula>AND(IF($Q25=3,1,IF($Q25=4,1,0)),IF($F25&lt;=85,1,0))</formula>
    </cfRule>
  </conditionalFormatting>
  <conditionalFormatting sqref="AV26">
    <cfRule type="expression" dxfId="8411" priority="3923">
      <formula>AV26="X"</formula>
    </cfRule>
    <cfRule type="expression" dxfId="8410" priority="3924">
      <formula>AV26="후보"</formula>
    </cfRule>
  </conditionalFormatting>
  <conditionalFormatting sqref="AC26">
    <cfRule type="cellIs" dxfId="8409" priority="3921" operator="greaterThan">
      <formula>0.9</formula>
    </cfRule>
    <cfRule type="cellIs" dxfId="8408" priority="3922" operator="greaterThan">
      <formula>0.85</formula>
    </cfRule>
  </conditionalFormatting>
  <conditionalFormatting sqref="N26">
    <cfRule type="cellIs" dxfId="8407" priority="3919" operator="greaterThan">
      <formula>0.9</formula>
    </cfRule>
    <cfRule type="cellIs" dxfId="8406" priority="3920" operator="greaterThan">
      <formula>0.85</formula>
    </cfRule>
  </conditionalFormatting>
  <conditionalFormatting sqref="E26">
    <cfRule type="expression" dxfId="8405" priority="3915">
      <formula>AND(IF(OR($Q26=1,$Q26=2),1,0),IF($X26&lt;=20,1,0))</formula>
    </cfRule>
    <cfRule type="expression" dxfId="8404" priority="3916">
      <formula>AND(IF($Q26=2,1,0),IF($X26&lt;30,1,0))</formula>
    </cfRule>
    <cfRule type="expression" dxfId="8403" priority="3917">
      <formula>AND(IF($Q26=3,1,0),IF($X26&lt;30,1,0))</formula>
    </cfRule>
    <cfRule type="expression" dxfId="8402" priority="3918">
      <formula>AND(IF($Q26=3,1,IF($Q26=4,1,0)),IF($F26&lt;=85,1,0))</formula>
    </cfRule>
  </conditionalFormatting>
  <conditionalFormatting sqref="X26">
    <cfRule type="expression" dxfId="8401" priority="3911">
      <formula>AND(IF(OR($Q26=1,$Q26=2),1,0),IF($X26&lt;=20,1,0))</formula>
    </cfRule>
    <cfRule type="expression" dxfId="8400" priority="3912">
      <formula>AND(IF($Q26=2,1,0),IF($X26&lt;30,1,0))</formula>
    </cfRule>
    <cfRule type="expression" dxfId="8399" priority="3913">
      <formula>AND(IF($Q26=3,1,0),IF($X26&lt;30,1,0))</formula>
    </cfRule>
    <cfRule type="expression" dxfId="8398" priority="3914">
      <formula>AND(IF($Q26=3,1,IF($Q26=4,1,0)),IF($F26&lt;=85,1,0))</formula>
    </cfRule>
  </conditionalFormatting>
  <conditionalFormatting sqref="AI26">
    <cfRule type="expression" dxfId="8397" priority="3907">
      <formula>AND(IF(OR($Q26=1,$Q26=2),1,0),IF($X26&lt;=20,1,0))</formula>
    </cfRule>
    <cfRule type="expression" dxfId="8396" priority="3908">
      <formula>AND(IF($Q26=2,1,0),IF($X26&lt;30,1,0))</formula>
    </cfRule>
    <cfRule type="expression" dxfId="8395" priority="3909">
      <formula>AND(IF($Q26=3,1,0),IF($X26&lt;30,1,0))</formula>
    </cfRule>
    <cfRule type="expression" dxfId="8394" priority="3910">
      <formula>AND(IF($Q26=3,1,IF($Q26=4,1,0)),IF($F26&lt;=85,1,0))</formula>
    </cfRule>
  </conditionalFormatting>
  <conditionalFormatting sqref="AV27">
    <cfRule type="expression" dxfId="8393" priority="3905">
      <formula>AV27="X"</formula>
    </cfRule>
    <cfRule type="expression" dxfId="8392" priority="3906">
      <formula>AV27="후보"</formula>
    </cfRule>
  </conditionalFormatting>
  <conditionalFormatting sqref="AC27">
    <cfRule type="cellIs" dxfId="8391" priority="3903" operator="greaterThan">
      <formula>0.9</formula>
    </cfRule>
    <cfRule type="cellIs" dxfId="8390" priority="3904" operator="greaterThan">
      <formula>0.85</formula>
    </cfRule>
  </conditionalFormatting>
  <conditionalFormatting sqref="N27">
    <cfRule type="cellIs" dxfId="8389" priority="3901" operator="greaterThan">
      <formula>0.9</formula>
    </cfRule>
    <cfRule type="cellIs" dxfId="8388" priority="3902" operator="greaterThan">
      <formula>0.85</formula>
    </cfRule>
  </conditionalFormatting>
  <conditionalFormatting sqref="E27">
    <cfRule type="expression" dxfId="8387" priority="3897">
      <formula>AND(IF(OR($Q27=1,$Q27=2),1,0),IF($X27&lt;=20,1,0))</formula>
    </cfRule>
    <cfRule type="expression" dxfId="8386" priority="3898">
      <formula>AND(IF($Q27=2,1,0),IF($X27&lt;30,1,0))</formula>
    </cfRule>
    <cfRule type="expression" dxfId="8385" priority="3899">
      <formula>AND(IF($Q27=3,1,0),IF($X27&lt;30,1,0))</formula>
    </cfRule>
    <cfRule type="expression" dxfId="8384" priority="3900">
      <formula>AND(IF($Q27=3,1,IF($Q27=4,1,0)),IF($F27&lt;=85,1,0))</formula>
    </cfRule>
  </conditionalFormatting>
  <conditionalFormatting sqref="X27">
    <cfRule type="expression" dxfId="8383" priority="3893">
      <formula>AND(IF(OR($Q27=1,$Q27=2),1,0),IF($X27&lt;=20,1,0))</formula>
    </cfRule>
    <cfRule type="expression" dxfId="8382" priority="3894">
      <formula>AND(IF($Q27=2,1,0),IF($X27&lt;30,1,0))</formula>
    </cfRule>
    <cfRule type="expression" dxfId="8381" priority="3895">
      <formula>AND(IF($Q27=3,1,0),IF($X27&lt;30,1,0))</formula>
    </cfRule>
    <cfRule type="expression" dxfId="8380" priority="3896">
      <formula>AND(IF($Q27=3,1,IF($Q27=4,1,0)),IF($F27&lt;=85,1,0))</formula>
    </cfRule>
  </conditionalFormatting>
  <conditionalFormatting sqref="AI27">
    <cfRule type="expression" dxfId="8379" priority="3889">
      <formula>AND(IF(OR($Q27=1,$Q27=2),1,0),IF($X27&lt;=20,1,0))</formula>
    </cfRule>
    <cfRule type="expression" dxfId="8378" priority="3890">
      <formula>AND(IF($Q27=2,1,0),IF($X27&lt;30,1,0))</formula>
    </cfRule>
    <cfRule type="expression" dxfId="8377" priority="3891">
      <formula>AND(IF($Q27=3,1,0),IF($X27&lt;30,1,0))</formula>
    </cfRule>
    <cfRule type="expression" dxfId="8376" priority="3892">
      <formula>AND(IF($Q27=3,1,IF($Q27=4,1,0)),IF($F27&lt;=85,1,0))</formula>
    </cfRule>
  </conditionalFormatting>
  <conditionalFormatting sqref="AV28">
    <cfRule type="expression" dxfId="8375" priority="3887">
      <formula>AV28="X"</formula>
    </cfRule>
    <cfRule type="expression" dxfId="8374" priority="3888">
      <formula>AV28="후보"</formula>
    </cfRule>
  </conditionalFormatting>
  <conditionalFormatting sqref="AC28">
    <cfRule type="cellIs" dxfId="8373" priority="3885" operator="greaterThan">
      <formula>0.9</formula>
    </cfRule>
    <cfRule type="cellIs" dxfId="8372" priority="3886" operator="greaterThan">
      <formula>0.85</formula>
    </cfRule>
  </conditionalFormatting>
  <conditionalFormatting sqref="N28">
    <cfRule type="cellIs" dxfId="8371" priority="3883" operator="greaterThan">
      <formula>0.9</formula>
    </cfRule>
    <cfRule type="cellIs" dxfId="8370" priority="3884" operator="greaterThan">
      <formula>0.85</formula>
    </cfRule>
  </conditionalFormatting>
  <conditionalFormatting sqref="E28">
    <cfRule type="expression" dxfId="8369" priority="3879">
      <formula>AND(IF(OR($Q28=1,$Q28=2),1,0),IF($X28&lt;=20,1,0))</formula>
    </cfRule>
    <cfRule type="expression" dxfId="8368" priority="3880">
      <formula>AND(IF($Q28=2,1,0),IF($X28&lt;30,1,0))</formula>
    </cfRule>
    <cfRule type="expression" dxfId="8367" priority="3881">
      <formula>AND(IF($Q28=3,1,0),IF($X28&lt;30,1,0))</formula>
    </cfRule>
    <cfRule type="expression" dxfId="8366" priority="3882">
      <formula>AND(IF($Q28=3,1,IF($Q28=4,1,0)),IF($F28&lt;=85,1,0))</formula>
    </cfRule>
  </conditionalFormatting>
  <conditionalFormatting sqref="X28">
    <cfRule type="expression" dxfId="8365" priority="3875">
      <formula>AND(IF(OR($Q28=1,$Q28=2),1,0),IF($X28&lt;=20,1,0))</formula>
    </cfRule>
    <cfRule type="expression" dxfId="8364" priority="3876">
      <formula>AND(IF($Q28=2,1,0),IF($X28&lt;30,1,0))</formula>
    </cfRule>
    <cfRule type="expression" dxfId="8363" priority="3877">
      <formula>AND(IF($Q28=3,1,0),IF($X28&lt;30,1,0))</formula>
    </cfRule>
    <cfRule type="expression" dxfId="8362" priority="3878">
      <formula>AND(IF($Q28=3,1,IF($Q28=4,1,0)),IF($F28&lt;=85,1,0))</formula>
    </cfRule>
  </conditionalFormatting>
  <conditionalFormatting sqref="AI28">
    <cfRule type="expression" dxfId="8361" priority="3871">
      <formula>AND(IF(OR($Q28=1,$Q28=2),1,0),IF($X28&lt;=20,1,0))</formula>
    </cfRule>
    <cfRule type="expression" dxfId="8360" priority="3872">
      <formula>AND(IF($Q28=2,1,0),IF($X28&lt;30,1,0))</formula>
    </cfRule>
    <cfRule type="expression" dxfId="8359" priority="3873">
      <formula>AND(IF($Q28=3,1,0),IF($X28&lt;30,1,0))</formula>
    </cfRule>
    <cfRule type="expression" dxfId="8358" priority="3874">
      <formula>AND(IF($Q28=3,1,IF($Q28=4,1,0)),IF($F28&lt;=85,1,0))</formula>
    </cfRule>
  </conditionalFormatting>
  <conditionalFormatting sqref="AV29">
    <cfRule type="expression" dxfId="8357" priority="3869">
      <formula>AV29="X"</formula>
    </cfRule>
    <cfRule type="expression" dxfId="8356" priority="3870">
      <formula>AV29="후보"</formula>
    </cfRule>
  </conditionalFormatting>
  <conditionalFormatting sqref="AC29">
    <cfRule type="cellIs" dxfId="8355" priority="3867" operator="greaterThan">
      <formula>0.9</formula>
    </cfRule>
    <cfRule type="cellIs" dxfId="8354" priority="3868" operator="greaterThan">
      <formula>0.85</formula>
    </cfRule>
  </conditionalFormatting>
  <conditionalFormatting sqref="N29">
    <cfRule type="cellIs" dxfId="8353" priority="3865" operator="greaterThan">
      <formula>0.9</formula>
    </cfRule>
    <cfRule type="cellIs" dxfId="8352" priority="3866" operator="greaterThan">
      <formula>0.85</formula>
    </cfRule>
  </conditionalFormatting>
  <conditionalFormatting sqref="E29">
    <cfRule type="expression" dxfId="8351" priority="3861">
      <formula>AND(IF(OR($Q29=1,$Q29=2),1,0),IF($X29&lt;=20,1,0))</formula>
    </cfRule>
    <cfRule type="expression" dxfId="8350" priority="3862">
      <formula>AND(IF($Q29=2,1,0),IF($X29&lt;30,1,0))</formula>
    </cfRule>
    <cfRule type="expression" dxfId="8349" priority="3863">
      <formula>AND(IF($Q29=3,1,0),IF($X29&lt;30,1,0))</formula>
    </cfRule>
    <cfRule type="expression" dxfId="8348" priority="3864">
      <formula>AND(IF($Q29=3,1,IF($Q29=4,1,0)),IF($F29&lt;=85,1,0))</formula>
    </cfRule>
  </conditionalFormatting>
  <conditionalFormatting sqref="X29">
    <cfRule type="expression" dxfId="8347" priority="3857">
      <formula>AND(IF(OR($Q29=1,$Q29=2),1,0),IF($X29&lt;=20,1,0))</formula>
    </cfRule>
    <cfRule type="expression" dxfId="8346" priority="3858">
      <formula>AND(IF($Q29=2,1,0),IF($X29&lt;30,1,0))</formula>
    </cfRule>
    <cfRule type="expression" dxfId="8345" priority="3859">
      <formula>AND(IF($Q29=3,1,0),IF($X29&lt;30,1,0))</formula>
    </cfRule>
    <cfRule type="expression" dxfId="8344" priority="3860">
      <formula>AND(IF($Q29=3,1,IF($Q29=4,1,0)),IF($F29&lt;=85,1,0))</formula>
    </cfRule>
  </conditionalFormatting>
  <conditionalFormatting sqref="AI29">
    <cfRule type="expression" dxfId="8343" priority="3853">
      <formula>AND(IF(OR($Q29=1,$Q29=2),1,0),IF($X29&lt;=20,1,0))</formula>
    </cfRule>
    <cfRule type="expression" dxfId="8342" priority="3854">
      <formula>AND(IF($Q29=2,1,0),IF($X29&lt;30,1,0))</formula>
    </cfRule>
    <cfRule type="expression" dxfId="8341" priority="3855">
      <formula>AND(IF($Q29=3,1,0),IF($X29&lt;30,1,0))</formula>
    </cfRule>
    <cfRule type="expression" dxfId="8340" priority="3856">
      <formula>AND(IF($Q29=3,1,IF($Q29=4,1,0)),IF($F29&lt;=85,1,0))</formula>
    </cfRule>
  </conditionalFormatting>
  <conditionalFormatting sqref="AV30">
    <cfRule type="expression" dxfId="8339" priority="3851">
      <formula>AV30="X"</formula>
    </cfRule>
    <cfRule type="expression" dxfId="8338" priority="3852">
      <formula>AV30="후보"</formula>
    </cfRule>
  </conditionalFormatting>
  <conditionalFormatting sqref="AC30">
    <cfRule type="cellIs" dxfId="8337" priority="3849" operator="greaterThan">
      <formula>0.9</formula>
    </cfRule>
    <cfRule type="cellIs" dxfId="8336" priority="3850" operator="greaterThan">
      <formula>0.85</formula>
    </cfRule>
  </conditionalFormatting>
  <conditionalFormatting sqref="N30">
    <cfRule type="cellIs" dxfId="8335" priority="3847" operator="greaterThan">
      <formula>0.9</formula>
    </cfRule>
    <cfRule type="cellIs" dxfId="8334" priority="3848" operator="greaterThan">
      <formula>0.85</formula>
    </cfRule>
  </conditionalFormatting>
  <conditionalFormatting sqref="E30">
    <cfRule type="expression" dxfId="8333" priority="3843">
      <formula>AND(IF(OR($Q30=1,$Q30=2),1,0),IF($X30&lt;=20,1,0))</formula>
    </cfRule>
    <cfRule type="expression" dxfId="8332" priority="3844">
      <formula>AND(IF($Q30=2,1,0),IF($X30&lt;30,1,0))</formula>
    </cfRule>
    <cfRule type="expression" dxfId="8331" priority="3845">
      <formula>AND(IF($Q30=3,1,0),IF($X30&lt;30,1,0))</formula>
    </cfRule>
    <cfRule type="expression" dxfId="8330" priority="3846">
      <formula>AND(IF($Q30=3,1,IF($Q30=4,1,0)),IF($F30&lt;=85,1,0))</formula>
    </cfRule>
  </conditionalFormatting>
  <conditionalFormatting sqref="X30">
    <cfRule type="expression" dxfId="8329" priority="3839">
      <formula>AND(IF(OR($Q30=1,$Q30=2),1,0),IF($X30&lt;=20,1,0))</formula>
    </cfRule>
    <cfRule type="expression" dxfId="8328" priority="3840">
      <formula>AND(IF($Q30=2,1,0),IF($X30&lt;30,1,0))</formula>
    </cfRule>
    <cfRule type="expression" dxfId="8327" priority="3841">
      <formula>AND(IF($Q30=3,1,0),IF($X30&lt;30,1,0))</formula>
    </cfRule>
    <cfRule type="expression" dxfId="8326" priority="3842">
      <formula>AND(IF($Q30=3,1,IF($Q30=4,1,0)),IF($F30&lt;=85,1,0))</formula>
    </cfRule>
  </conditionalFormatting>
  <conditionalFormatting sqref="AI30">
    <cfRule type="expression" dxfId="8325" priority="3835">
      <formula>AND(IF(OR($Q30=1,$Q30=2),1,0),IF($X30&lt;=20,1,0))</formula>
    </cfRule>
    <cfRule type="expression" dxfId="8324" priority="3836">
      <formula>AND(IF($Q30=2,1,0),IF($X30&lt;30,1,0))</formula>
    </cfRule>
    <cfRule type="expression" dxfId="8323" priority="3837">
      <formula>AND(IF($Q30=3,1,0),IF($X30&lt;30,1,0))</formula>
    </cfRule>
    <cfRule type="expression" dxfId="8322" priority="3838">
      <formula>AND(IF($Q30=3,1,IF($Q30=4,1,0)),IF($F30&lt;=85,1,0))</formula>
    </cfRule>
  </conditionalFormatting>
  <conditionalFormatting sqref="AV31">
    <cfRule type="expression" dxfId="8321" priority="3833">
      <formula>AV31="X"</formula>
    </cfRule>
    <cfRule type="expression" dxfId="8320" priority="3834">
      <formula>AV31="후보"</formula>
    </cfRule>
  </conditionalFormatting>
  <conditionalFormatting sqref="AC31">
    <cfRule type="cellIs" dxfId="8319" priority="3831" operator="greaterThan">
      <formula>0.9</formula>
    </cfRule>
    <cfRule type="cellIs" dxfId="8318" priority="3832" operator="greaterThan">
      <formula>0.85</formula>
    </cfRule>
  </conditionalFormatting>
  <conditionalFormatting sqref="N31">
    <cfRule type="cellIs" dxfId="8317" priority="3829" operator="greaterThan">
      <formula>0.9</formula>
    </cfRule>
    <cfRule type="cellIs" dxfId="8316" priority="3830" operator="greaterThan">
      <formula>0.85</formula>
    </cfRule>
  </conditionalFormatting>
  <conditionalFormatting sqref="E31">
    <cfRule type="expression" dxfId="8315" priority="3825">
      <formula>AND(IF(OR($Q31=1,$Q31=2),1,0),IF($X31&lt;=20,1,0))</formula>
    </cfRule>
    <cfRule type="expression" dxfId="8314" priority="3826">
      <formula>AND(IF($Q31=2,1,0),IF($X31&lt;30,1,0))</formula>
    </cfRule>
    <cfRule type="expression" dxfId="8313" priority="3827">
      <formula>AND(IF($Q31=3,1,0),IF($X31&lt;30,1,0))</formula>
    </cfRule>
    <cfRule type="expression" dxfId="8312" priority="3828">
      <formula>AND(IF($Q31=3,1,IF($Q31=4,1,0)),IF($F31&lt;=85,1,0))</formula>
    </cfRule>
  </conditionalFormatting>
  <conditionalFormatting sqref="X31">
    <cfRule type="expression" dxfId="8311" priority="3821">
      <formula>AND(IF(OR($Q31=1,$Q31=2),1,0),IF($X31&lt;=20,1,0))</formula>
    </cfRule>
    <cfRule type="expression" dxfId="8310" priority="3822">
      <formula>AND(IF($Q31=2,1,0),IF($X31&lt;30,1,0))</formula>
    </cfRule>
    <cfRule type="expression" dxfId="8309" priority="3823">
      <formula>AND(IF($Q31=3,1,0),IF($X31&lt;30,1,0))</formula>
    </cfRule>
    <cfRule type="expression" dxfId="8308" priority="3824">
      <formula>AND(IF($Q31=3,1,IF($Q31=4,1,0)),IF($F31&lt;=85,1,0))</formula>
    </cfRule>
  </conditionalFormatting>
  <conditionalFormatting sqref="AI31">
    <cfRule type="expression" dxfId="8307" priority="3817">
      <formula>AND(IF(OR($Q31=1,$Q31=2),1,0),IF($X31&lt;=20,1,0))</formula>
    </cfRule>
    <cfRule type="expression" dxfId="8306" priority="3818">
      <formula>AND(IF($Q31=2,1,0),IF($X31&lt;30,1,0))</formula>
    </cfRule>
    <cfRule type="expression" dxfId="8305" priority="3819">
      <formula>AND(IF($Q31=3,1,0),IF($X31&lt;30,1,0))</formula>
    </cfRule>
    <cfRule type="expression" dxfId="8304" priority="3820">
      <formula>AND(IF($Q31=3,1,IF($Q31=4,1,0)),IF($F31&lt;=85,1,0))</formula>
    </cfRule>
  </conditionalFormatting>
  <conditionalFormatting sqref="AV32">
    <cfRule type="expression" dxfId="8303" priority="3815">
      <formula>AV32="X"</formula>
    </cfRule>
    <cfRule type="expression" dxfId="8302" priority="3816">
      <formula>AV32="후보"</formula>
    </cfRule>
  </conditionalFormatting>
  <conditionalFormatting sqref="AC32">
    <cfRule type="cellIs" dxfId="8301" priority="3813" operator="greaterThan">
      <formula>0.9</formula>
    </cfRule>
    <cfRule type="cellIs" dxfId="8300" priority="3814" operator="greaterThan">
      <formula>0.85</formula>
    </cfRule>
  </conditionalFormatting>
  <conditionalFormatting sqref="N32">
    <cfRule type="cellIs" dxfId="8299" priority="3811" operator="greaterThan">
      <formula>0.9</formula>
    </cfRule>
    <cfRule type="cellIs" dxfId="8298" priority="3812" operator="greaterThan">
      <formula>0.85</formula>
    </cfRule>
  </conditionalFormatting>
  <conditionalFormatting sqref="E32">
    <cfRule type="expression" dxfId="8297" priority="3807">
      <formula>AND(IF(OR($Q32=1,$Q32=2),1,0),IF($X32&lt;=20,1,0))</formula>
    </cfRule>
    <cfRule type="expression" dxfId="8296" priority="3808">
      <formula>AND(IF($Q32=2,1,0),IF($X32&lt;30,1,0))</formula>
    </cfRule>
    <cfRule type="expression" dxfId="8295" priority="3809">
      <formula>AND(IF($Q32=3,1,0),IF($X32&lt;30,1,0))</formula>
    </cfRule>
    <cfRule type="expression" dxfId="8294" priority="3810">
      <formula>AND(IF($Q32=3,1,IF($Q32=4,1,0)),IF($F32&lt;=85,1,0))</formula>
    </cfRule>
  </conditionalFormatting>
  <conditionalFormatting sqref="X32">
    <cfRule type="expression" dxfId="8293" priority="3803">
      <formula>AND(IF(OR($Q32=1,$Q32=2),1,0),IF($X32&lt;=20,1,0))</formula>
    </cfRule>
    <cfRule type="expression" dxfId="8292" priority="3804">
      <formula>AND(IF($Q32=2,1,0),IF($X32&lt;30,1,0))</formula>
    </cfRule>
    <cfRule type="expression" dxfId="8291" priority="3805">
      <formula>AND(IF($Q32=3,1,0),IF($X32&lt;30,1,0))</formula>
    </cfRule>
    <cfRule type="expression" dxfId="8290" priority="3806">
      <formula>AND(IF($Q32=3,1,IF($Q32=4,1,0)),IF($F32&lt;=85,1,0))</formula>
    </cfRule>
  </conditionalFormatting>
  <conditionalFormatting sqref="AI32">
    <cfRule type="expression" dxfId="8289" priority="3799">
      <formula>AND(IF(OR($Q32=1,$Q32=2),1,0),IF($X32&lt;=20,1,0))</formula>
    </cfRule>
    <cfRule type="expression" dxfId="8288" priority="3800">
      <formula>AND(IF($Q32=2,1,0),IF($X32&lt;30,1,0))</formula>
    </cfRule>
    <cfRule type="expression" dxfId="8287" priority="3801">
      <formula>AND(IF($Q32=3,1,0),IF($X32&lt;30,1,0))</formula>
    </cfRule>
    <cfRule type="expression" dxfId="8286" priority="3802">
      <formula>AND(IF($Q32=3,1,IF($Q32=4,1,0)),IF($F32&lt;=85,1,0))</formula>
    </cfRule>
  </conditionalFormatting>
  <conditionalFormatting sqref="AV33">
    <cfRule type="expression" dxfId="8285" priority="3797">
      <formula>AV33="X"</formula>
    </cfRule>
    <cfRule type="expression" dxfId="8284" priority="3798">
      <formula>AV33="후보"</formula>
    </cfRule>
  </conditionalFormatting>
  <conditionalFormatting sqref="AC33">
    <cfRule type="cellIs" dxfId="8283" priority="3795" operator="greaterThan">
      <formula>0.9</formula>
    </cfRule>
    <cfRule type="cellIs" dxfId="8282" priority="3796" operator="greaterThan">
      <formula>0.85</formula>
    </cfRule>
  </conditionalFormatting>
  <conditionalFormatting sqref="N33">
    <cfRule type="cellIs" dxfId="8281" priority="3793" operator="greaterThan">
      <formula>0.9</formula>
    </cfRule>
    <cfRule type="cellIs" dxfId="8280" priority="3794" operator="greaterThan">
      <formula>0.85</formula>
    </cfRule>
  </conditionalFormatting>
  <conditionalFormatting sqref="E33">
    <cfRule type="expression" dxfId="8279" priority="3789">
      <formula>AND(IF(OR($Q33=1,$Q33=2),1,0),IF($X33&lt;=20,1,0))</formula>
    </cfRule>
    <cfRule type="expression" dxfId="8278" priority="3790">
      <formula>AND(IF($Q33=2,1,0),IF($X33&lt;30,1,0))</formula>
    </cfRule>
    <cfRule type="expression" dxfId="8277" priority="3791">
      <formula>AND(IF($Q33=3,1,0),IF($X33&lt;30,1,0))</formula>
    </cfRule>
    <cfRule type="expression" dxfId="8276" priority="3792">
      <formula>AND(IF($Q33=3,1,IF($Q33=4,1,0)),IF($F33&lt;=85,1,0))</formula>
    </cfRule>
  </conditionalFormatting>
  <conditionalFormatting sqref="X33">
    <cfRule type="expression" dxfId="8275" priority="3785">
      <formula>AND(IF(OR($Q33=1,$Q33=2),1,0),IF($X33&lt;=20,1,0))</formula>
    </cfRule>
    <cfRule type="expression" dxfId="8274" priority="3786">
      <formula>AND(IF($Q33=2,1,0),IF($X33&lt;30,1,0))</formula>
    </cfRule>
    <cfRule type="expression" dxfId="8273" priority="3787">
      <formula>AND(IF($Q33=3,1,0),IF($X33&lt;30,1,0))</formula>
    </cfRule>
    <cfRule type="expression" dxfId="8272" priority="3788">
      <formula>AND(IF($Q33=3,1,IF($Q33=4,1,0)),IF($F33&lt;=85,1,0))</formula>
    </cfRule>
  </conditionalFormatting>
  <conditionalFormatting sqref="AI33">
    <cfRule type="expression" dxfId="8271" priority="3781">
      <formula>AND(IF(OR($Q33=1,$Q33=2),1,0),IF($X33&lt;=20,1,0))</formula>
    </cfRule>
    <cfRule type="expression" dxfId="8270" priority="3782">
      <formula>AND(IF($Q33=2,1,0),IF($X33&lt;30,1,0))</formula>
    </cfRule>
    <cfRule type="expression" dxfId="8269" priority="3783">
      <formula>AND(IF($Q33=3,1,0),IF($X33&lt;30,1,0))</formula>
    </cfRule>
    <cfRule type="expression" dxfId="8268" priority="3784">
      <formula>AND(IF($Q33=3,1,IF($Q33=4,1,0)),IF($F33&lt;=85,1,0))</formula>
    </cfRule>
  </conditionalFormatting>
  <conditionalFormatting sqref="AV34">
    <cfRule type="expression" dxfId="8267" priority="3779">
      <formula>AV34="X"</formula>
    </cfRule>
    <cfRule type="expression" dxfId="8266" priority="3780">
      <formula>AV34="후보"</formula>
    </cfRule>
  </conditionalFormatting>
  <conditionalFormatting sqref="AC34">
    <cfRule type="cellIs" dxfId="8265" priority="3777" operator="greaterThan">
      <formula>0.9</formula>
    </cfRule>
    <cfRule type="cellIs" dxfId="8264" priority="3778" operator="greaterThan">
      <formula>0.85</formula>
    </cfRule>
  </conditionalFormatting>
  <conditionalFormatting sqref="N34">
    <cfRule type="cellIs" dxfId="8263" priority="3775" operator="greaterThan">
      <formula>0.9</formula>
    </cfRule>
    <cfRule type="cellIs" dxfId="8262" priority="3776" operator="greaterThan">
      <formula>0.85</formula>
    </cfRule>
  </conditionalFormatting>
  <conditionalFormatting sqref="E34">
    <cfRule type="expression" dxfId="8261" priority="3771">
      <formula>AND(IF(OR($Q34=1,$Q34=2),1,0),IF($X34&lt;=20,1,0))</formula>
    </cfRule>
    <cfRule type="expression" dxfId="8260" priority="3772">
      <formula>AND(IF($Q34=2,1,0),IF($X34&lt;30,1,0))</formula>
    </cfRule>
    <cfRule type="expression" dxfId="8259" priority="3773">
      <formula>AND(IF($Q34=3,1,0),IF($X34&lt;30,1,0))</formula>
    </cfRule>
    <cfRule type="expression" dxfId="8258" priority="3774">
      <formula>AND(IF($Q34=3,1,IF($Q34=4,1,0)),IF($F34&lt;=85,1,0))</formula>
    </cfRule>
  </conditionalFormatting>
  <conditionalFormatting sqref="X34">
    <cfRule type="expression" dxfId="8257" priority="3767">
      <formula>AND(IF(OR($Q34=1,$Q34=2),1,0),IF($X34&lt;=20,1,0))</formula>
    </cfRule>
    <cfRule type="expression" dxfId="8256" priority="3768">
      <formula>AND(IF($Q34=2,1,0),IF($X34&lt;30,1,0))</formula>
    </cfRule>
    <cfRule type="expression" dxfId="8255" priority="3769">
      <formula>AND(IF($Q34=3,1,0),IF($X34&lt;30,1,0))</formula>
    </cfRule>
    <cfRule type="expression" dxfId="8254" priority="3770">
      <formula>AND(IF($Q34=3,1,IF($Q34=4,1,0)),IF($F34&lt;=85,1,0))</formula>
    </cfRule>
  </conditionalFormatting>
  <conditionalFormatting sqref="AI34">
    <cfRule type="expression" dxfId="8253" priority="3763">
      <formula>AND(IF(OR($Q34=1,$Q34=2),1,0),IF($X34&lt;=20,1,0))</formula>
    </cfRule>
    <cfRule type="expression" dxfId="8252" priority="3764">
      <formula>AND(IF($Q34=2,1,0),IF($X34&lt;30,1,0))</formula>
    </cfRule>
    <cfRule type="expression" dxfId="8251" priority="3765">
      <formula>AND(IF($Q34=3,1,0),IF($X34&lt;30,1,0))</formula>
    </cfRule>
    <cfRule type="expression" dxfId="8250" priority="3766">
      <formula>AND(IF($Q34=3,1,IF($Q34=4,1,0)),IF($F34&lt;=85,1,0))</formula>
    </cfRule>
  </conditionalFormatting>
  <conditionalFormatting sqref="AV35">
    <cfRule type="expression" dxfId="8249" priority="3761">
      <formula>AV35="X"</formula>
    </cfRule>
    <cfRule type="expression" dxfId="8248" priority="3762">
      <formula>AV35="후보"</formula>
    </cfRule>
  </conditionalFormatting>
  <conditionalFormatting sqref="AC35">
    <cfRule type="cellIs" dxfId="8247" priority="3759" operator="greaterThan">
      <formula>0.9</formula>
    </cfRule>
    <cfRule type="cellIs" dxfId="8246" priority="3760" operator="greaterThan">
      <formula>0.85</formula>
    </cfRule>
  </conditionalFormatting>
  <conditionalFormatting sqref="N35">
    <cfRule type="cellIs" dxfId="8245" priority="3757" operator="greaterThan">
      <formula>0.9</formula>
    </cfRule>
    <cfRule type="cellIs" dxfId="8244" priority="3758" operator="greaterThan">
      <formula>0.85</formula>
    </cfRule>
  </conditionalFormatting>
  <conditionalFormatting sqref="E35">
    <cfRule type="expression" dxfId="8243" priority="3753">
      <formula>AND(IF(OR($Q35=1,$Q35=2),1,0),IF($X35&lt;=20,1,0))</formula>
    </cfRule>
    <cfRule type="expression" dxfId="8242" priority="3754">
      <formula>AND(IF($Q35=2,1,0),IF($X35&lt;30,1,0))</formula>
    </cfRule>
    <cfRule type="expression" dxfId="8241" priority="3755">
      <formula>AND(IF($Q35=3,1,0),IF($X35&lt;30,1,0))</formula>
    </cfRule>
    <cfRule type="expression" dxfId="8240" priority="3756">
      <formula>AND(IF($Q35=3,1,IF($Q35=4,1,0)),IF($F35&lt;=85,1,0))</formula>
    </cfRule>
  </conditionalFormatting>
  <conditionalFormatting sqref="X35">
    <cfRule type="expression" dxfId="8239" priority="3749">
      <formula>AND(IF(OR($Q35=1,$Q35=2),1,0),IF($X35&lt;=20,1,0))</formula>
    </cfRule>
    <cfRule type="expression" dxfId="8238" priority="3750">
      <formula>AND(IF($Q35=2,1,0),IF($X35&lt;30,1,0))</formula>
    </cfRule>
    <cfRule type="expression" dxfId="8237" priority="3751">
      <formula>AND(IF($Q35=3,1,0),IF($X35&lt;30,1,0))</formula>
    </cfRule>
    <cfRule type="expression" dxfId="8236" priority="3752">
      <formula>AND(IF($Q35=3,1,IF($Q35=4,1,0)),IF($F35&lt;=85,1,0))</formula>
    </cfRule>
  </conditionalFormatting>
  <conditionalFormatting sqref="AI35">
    <cfRule type="expression" dxfId="8235" priority="3745">
      <formula>AND(IF(OR($Q35=1,$Q35=2),1,0),IF($X35&lt;=20,1,0))</formula>
    </cfRule>
    <cfRule type="expression" dxfId="8234" priority="3746">
      <formula>AND(IF($Q35=2,1,0),IF($X35&lt;30,1,0))</formula>
    </cfRule>
    <cfRule type="expression" dxfId="8233" priority="3747">
      <formula>AND(IF($Q35=3,1,0),IF($X35&lt;30,1,0))</formula>
    </cfRule>
    <cfRule type="expression" dxfId="8232" priority="3748">
      <formula>AND(IF($Q35=3,1,IF($Q35=4,1,0)),IF($F35&lt;=85,1,0))</formula>
    </cfRule>
  </conditionalFormatting>
  <conditionalFormatting sqref="AV36">
    <cfRule type="expression" dxfId="8231" priority="3743">
      <formula>AV36="X"</formula>
    </cfRule>
    <cfRule type="expression" dxfId="8230" priority="3744">
      <formula>AV36="후보"</formula>
    </cfRule>
  </conditionalFormatting>
  <conditionalFormatting sqref="AC36">
    <cfRule type="cellIs" dxfId="8229" priority="3741" operator="greaterThan">
      <formula>0.9</formula>
    </cfRule>
    <cfRule type="cellIs" dxfId="8228" priority="3742" operator="greaterThan">
      <formula>0.85</formula>
    </cfRule>
  </conditionalFormatting>
  <conditionalFormatting sqref="N36">
    <cfRule type="cellIs" dxfId="8227" priority="3739" operator="greaterThan">
      <formula>0.9</formula>
    </cfRule>
    <cfRule type="cellIs" dxfId="8226" priority="3740" operator="greaterThan">
      <formula>0.85</formula>
    </cfRule>
  </conditionalFormatting>
  <conditionalFormatting sqref="E36">
    <cfRule type="expression" dxfId="8225" priority="3735">
      <formula>AND(IF(OR($Q36=1,$Q36=2),1,0),IF($X36&lt;=20,1,0))</formula>
    </cfRule>
    <cfRule type="expression" dxfId="8224" priority="3736">
      <formula>AND(IF($Q36=2,1,0),IF($X36&lt;30,1,0))</formula>
    </cfRule>
    <cfRule type="expression" dxfId="8223" priority="3737">
      <formula>AND(IF($Q36=3,1,0),IF($X36&lt;30,1,0))</formula>
    </cfRule>
    <cfRule type="expression" dxfId="8222" priority="3738">
      <formula>AND(IF($Q36=3,1,IF($Q36=4,1,0)),IF($F36&lt;=85,1,0))</formula>
    </cfRule>
  </conditionalFormatting>
  <conditionalFormatting sqref="X36">
    <cfRule type="expression" dxfId="8221" priority="3731">
      <formula>AND(IF(OR($Q36=1,$Q36=2),1,0),IF($X36&lt;=20,1,0))</formula>
    </cfRule>
    <cfRule type="expression" dxfId="8220" priority="3732">
      <formula>AND(IF($Q36=2,1,0),IF($X36&lt;30,1,0))</formula>
    </cfRule>
    <cfRule type="expression" dxfId="8219" priority="3733">
      <formula>AND(IF($Q36=3,1,0),IF($X36&lt;30,1,0))</formula>
    </cfRule>
    <cfRule type="expression" dxfId="8218" priority="3734">
      <formula>AND(IF($Q36=3,1,IF($Q36=4,1,0)),IF($F36&lt;=85,1,0))</formula>
    </cfRule>
  </conditionalFormatting>
  <conditionalFormatting sqref="AI36">
    <cfRule type="expression" dxfId="8217" priority="3727">
      <formula>AND(IF(OR($Q36=1,$Q36=2),1,0),IF($X36&lt;=20,1,0))</formula>
    </cfRule>
    <cfRule type="expression" dxfId="8216" priority="3728">
      <formula>AND(IF($Q36=2,1,0),IF($X36&lt;30,1,0))</formula>
    </cfRule>
    <cfRule type="expression" dxfId="8215" priority="3729">
      <formula>AND(IF($Q36=3,1,0),IF($X36&lt;30,1,0))</formula>
    </cfRule>
    <cfRule type="expression" dxfId="8214" priority="3730">
      <formula>AND(IF($Q36=3,1,IF($Q36=4,1,0)),IF($F36&lt;=85,1,0))</formula>
    </cfRule>
  </conditionalFormatting>
  <conditionalFormatting sqref="AV37">
    <cfRule type="expression" dxfId="8213" priority="3725">
      <formula>AV37="X"</formula>
    </cfRule>
    <cfRule type="expression" dxfId="8212" priority="3726">
      <formula>AV37="후보"</formula>
    </cfRule>
  </conditionalFormatting>
  <conditionalFormatting sqref="AC37">
    <cfRule type="cellIs" dxfId="8211" priority="3723" operator="greaterThan">
      <formula>0.9</formula>
    </cfRule>
    <cfRule type="cellIs" dxfId="8210" priority="3724" operator="greaterThan">
      <formula>0.85</formula>
    </cfRule>
  </conditionalFormatting>
  <conditionalFormatting sqref="N37">
    <cfRule type="cellIs" dxfId="8209" priority="3721" operator="greaterThan">
      <formula>0.9</formula>
    </cfRule>
    <cfRule type="cellIs" dxfId="8208" priority="3722" operator="greaterThan">
      <formula>0.85</formula>
    </cfRule>
  </conditionalFormatting>
  <conditionalFormatting sqref="E37">
    <cfRule type="expression" dxfId="8207" priority="3717">
      <formula>AND(IF(OR($Q37=1,$Q37=2),1,0),IF($X37&lt;=20,1,0))</formula>
    </cfRule>
    <cfRule type="expression" dxfId="8206" priority="3718">
      <formula>AND(IF($Q37=2,1,0),IF($X37&lt;30,1,0))</formula>
    </cfRule>
    <cfRule type="expression" dxfId="8205" priority="3719">
      <formula>AND(IF($Q37=3,1,0),IF($X37&lt;30,1,0))</formula>
    </cfRule>
    <cfRule type="expression" dxfId="8204" priority="3720">
      <formula>AND(IF($Q37=3,1,IF($Q37=4,1,0)),IF($F37&lt;=85,1,0))</formula>
    </cfRule>
  </conditionalFormatting>
  <conditionalFormatting sqref="X37">
    <cfRule type="expression" dxfId="8203" priority="3713">
      <formula>AND(IF(OR($Q37=1,$Q37=2),1,0),IF($X37&lt;=20,1,0))</formula>
    </cfRule>
    <cfRule type="expression" dxfId="8202" priority="3714">
      <formula>AND(IF($Q37=2,1,0),IF($X37&lt;30,1,0))</formula>
    </cfRule>
    <cfRule type="expression" dxfId="8201" priority="3715">
      <formula>AND(IF($Q37=3,1,0),IF($X37&lt;30,1,0))</formula>
    </cfRule>
    <cfRule type="expression" dxfId="8200" priority="3716">
      <formula>AND(IF($Q37=3,1,IF($Q37=4,1,0)),IF($F37&lt;=85,1,0))</formula>
    </cfRule>
  </conditionalFormatting>
  <conditionalFormatting sqref="AI37">
    <cfRule type="expression" dxfId="8199" priority="3709">
      <formula>AND(IF(OR($Q37=1,$Q37=2),1,0),IF($X37&lt;=20,1,0))</formula>
    </cfRule>
    <cfRule type="expression" dxfId="8198" priority="3710">
      <formula>AND(IF($Q37=2,1,0),IF($X37&lt;30,1,0))</formula>
    </cfRule>
    <cfRule type="expression" dxfId="8197" priority="3711">
      <formula>AND(IF($Q37=3,1,0),IF($X37&lt;30,1,0))</formula>
    </cfRule>
    <cfRule type="expression" dxfId="8196" priority="3712">
      <formula>AND(IF($Q37=3,1,IF($Q37=4,1,0)),IF($F37&lt;=85,1,0))</formula>
    </cfRule>
  </conditionalFormatting>
  <conditionalFormatting sqref="AV38">
    <cfRule type="expression" dxfId="8195" priority="3707">
      <formula>AV38="X"</formula>
    </cfRule>
    <cfRule type="expression" dxfId="8194" priority="3708">
      <formula>AV38="후보"</formula>
    </cfRule>
  </conditionalFormatting>
  <conditionalFormatting sqref="AC38">
    <cfRule type="cellIs" dxfId="8193" priority="3705" operator="greaterThan">
      <formula>0.9</formula>
    </cfRule>
    <cfRule type="cellIs" dxfId="8192" priority="3706" operator="greaterThan">
      <formula>0.85</formula>
    </cfRule>
  </conditionalFormatting>
  <conditionalFormatting sqref="N38">
    <cfRule type="cellIs" dxfId="8191" priority="3703" operator="greaterThan">
      <formula>0.9</formula>
    </cfRule>
    <cfRule type="cellIs" dxfId="8190" priority="3704" operator="greaterThan">
      <formula>0.85</formula>
    </cfRule>
  </conditionalFormatting>
  <conditionalFormatting sqref="E38">
    <cfRule type="expression" dxfId="8189" priority="3699">
      <formula>AND(IF(OR($Q38=1,$Q38=2),1,0),IF($X38&lt;=20,1,0))</formula>
    </cfRule>
    <cfRule type="expression" dxfId="8188" priority="3700">
      <formula>AND(IF($Q38=2,1,0),IF($X38&lt;30,1,0))</formula>
    </cfRule>
    <cfRule type="expression" dxfId="8187" priority="3701">
      <formula>AND(IF($Q38=3,1,0),IF($X38&lt;30,1,0))</formula>
    </cfRule>
    <cfRule type="expression" dxfId="8186" priority="3702">
      <formula>AND(IF($Q38=3,1,IF($Q38=4,1,0)),IF($F38&lt;=85,1,0))</formula>
    </cfRule>
  </conditionalFormatting>
  <conditionalFormatting sqref="X38">
    <cfRule type="expression" dxfId="8185" priority="3695">
      <formula>AND(IF(OR($Q38=1,$Q38=2),1,0),IF($X38&lt;=20,1,0))</formula>
    </cfRule>
    <cfRule type="expression" dxfId="8184" priority="3696">
      <formula>AND(IF($Q38=2,1,0),IF($X38&lt;30,1,0))</formula>
    </cfRule>
    <cfRule type="expression" dxfId="8183" priority="3697">
      <formula>AND(IF($Q38=3,1,0),IF($X38&lt;30,1,0))</formula>
    </cfRule>
    <cfRule type="expression" dxfId="8182" priority="3698">
      <formula>AND(IF($Q38=3,1,IF($Q38=4,1,0)),IF($F38&lt;=85,1,0))</formula>
    </cfRule>
  </conditionalFormatting>
  <conditionalFormatting sqref="AI38">
    <cfRule type="expression" dxfId="8181" priority="3691">
      <formula>AND(IF(OR($Q38=1,$Q38=2),1,0),IF($X38&lt;=20,1,0))</formula>
    </cfRule>
    <cfRule type="expression" dxfId="8180" priority="3692">
      <formula>AND(IF($Q38=2,1,0),IF($X38&lt;30,1,0))</formula>
    </cfRule>
    <cfRule type="expression" dxfId="8179" priority="3693">
      <formula>AND(IF($Q38=3,1,0),IF($X38&lt;30,1,0))</formula>
    </cfRule>
    <cfRule type="expression" dxfId="8178" priority="3694">
      <formula>AND(IF($Q38=3,1,IF($Q38=4,1,0)),IF($F38&lt;=85,1,0))</formula>
    </cfRule>
  </conditionalFormatting>
  <conditionalFormatting sqref="AV39">
    <cfRule type="expression" dxfId="8177" priority="3689">
      <formula>AV39="X"</formula>
    </cfRule>
    <cfRule type="expression" dxfId="8176" priority="3690">
      <formula>AV39="후보"</formula>
    </cfRule>
  </conditionalFormatting>
  <conditionalFormatting sqref="AC39">
    <cfRule type="cellIs" dxfId="8175" priority="3687" operator="greaterThan">
      <formula>0.9</formula>
    </cfRule>
    <cfRule type="cellIs" dxfId="8174" priority="3688" operator="greaterThan">
      <formula>0.85</formula>
    </cfRule>
  </conditionalFormatting>
  <conditionalFormatting sqref="N39">
    <cfRule type="cellIs" dxfId="8173" priority="3685" operator="greaterThan">
      <formula>0.9</formula>
    </cfRule>
    <cfRule type="cellIs" dxfId="8172" priority="3686" operator="greaterThan">
      <formula>0.85</formula>
    </cfRule>
  </conditionalFormatting>
  <conditionalFormatting sqref="E39">
    <cfRule type="expression" dxfId="8171" priority="3681">
      <formula>AND(IF(OR($Q39=1,$Q39=2),1,0),IF($X39&lt;=20,1,0))</formula>
    </cfRule>
    <cfRule type="expression" dxfId="8170" priority="3682">
      <formula>AND(IF($Q39=2,1,0),IF($X39&lt;30,1,0))</formula>
    </cfRule>
    <cfRule type="expression" dxfId="8169" priority="3683">
      <formula>AND(IF($Q39=3,1,0),IF($X39&lt;30,1,0))</formula>
    </cfRule>
    <cfRule type="expression" dxfId="8168" priority="3684">
      <formula>AND(IF($Q39=3,1,IF($Q39=4,1,0)),IF($F39&lt;=85,1,0))</formula>
    </cfRule>
  </conditionalFormatting>
  <conditionalFormatting sqref="X39">
    <cfRule type="expression" dxfId="8167" priority="3677">
      <formula>AND(IF(OR($Q39=1,$Q39=2),1,0),IF($X39&lt;=20,1,0))</formula>
    </cfRule>
    <cfRule type="expression" dxfId="8166" priority="3678">
      <formula>AND(IF($Q39=2,1,0),IF($X39&lt;30,1,0))</formula>
    </cfRule>
    <cfRule type="expression" dxfId="8165" priority="3679">
      <formula>AND(IF($Q39=3,1,0),IF($X39&lt;30,1,0))</formula>
    </cfRule>
    <cfRule type="expression" dxfId="8164" priority="3680">
      <formula>AND(IF($Q39=3,1,IF($Q39=4,1,0)),IF($F39&lt;=85,1,0))</formula>
    </cfRule>
  </conditionalFormatting>
  <conditionalFormatting sqref="AI39">
    <cfRule type="expression" dxfId="8163" priority="3673">
      <formula>AND(IF(OR($Q39=1,$Q39=2),1,0),IF($X39&lt;=20,1,0))</formula>
    </cfRule>
    <cfRule type="expression" dxfId="8162" priority="3674">
      <formula>AND(IF($Q39=2,1,0),IF($X39&lt;30,1,0))</formula>
    </cfRule>
    <cfRule type="expression" dxfId="8161" priority="3675">
      <formula>AND(IF($Q39=3,1,0),IF($X39&lt;30,1,0))</formula>
    </cfRule>
    <cfRule type="expression" dxfId="8160" priority="3676">
      <formula>AND(IF($Q39=3,1,IF($Q39=4,1,0)),IF($F39&lt;=85,1,0))</formula>
    </cfRule>
  </conditionalFormatting>
  <conditionalFormatting sqref="AV40">
    <cfRule type="expression" dxfId="8159" priority="3671">
      <formula>AV40="X"</formula>
    </cfRule>
    <cfRule type="expression" dxfId="8158" priority="3672">
      <formula>AV40="후보"</formula>
    </cfRule>
  </conditionalFormatting>
  <conditionalFormatting sqref="AC40">
    <cfRule type="cellIs" dxfId="8157" priority="3669" operator="greaterThan">
      <formula>0.9</formula>
    </cfRule>
    <cfRule type="cellIs" dxfId="8156" priority="3670" operator="greaterThan">
      <formula>0.85</formula>
    </cfRule>
  </conditionalFormatting>
  <conditionalFormatting sqref="N40">
    <cfRule type="cellIs" dxfId="8155" priority="3667" operator="greaterThan">
      <formula>0.9</formula>
    </cfRule>
    <cfRule type="cellIs" dxfId="8154" priority="3668" operator="greaterThan">
      <formula>0.85</formula>
    </cfRule>
  </conditionalFormatting>
  <conditionalFormatting sqref="E40">
    <cfRule type="expression" dxfId="8153" priority="3663">
      <formula>AND(IF(OR($Q40=1,$Q40=2),1,0),IF($X40&lt;=20,1,0))</formula>
    </cfRule>
    <cfRule type="expression" dxfId="8152" priority="3664">
      <formula>AND(IF($Q40=2,1,0),IF($X40&lt;30,1,0))</formula>
    </cfRule>
    <cfRule type="expression" dxfId="8151" priority="3665">
      <formula>AND(IF($Q40=3,1,0),IF($X40&lt;30,1,0))</formula>
    </cfRule>
    <cfRule type="expression" dxfId="8150" priority="3666">
      <formula>AND(IF($Q40=3,1,IF($Q40=4,1,0)),IF($F40&lt;=85,1,0))</formula>
    </cfRule>
  </conditionalFormatting>
  <conditionalFormatting sqref="X40">
    <cfRule type="expression" dxfId="8149" priority="3659">
      <formula>AND(IF(OR($Q40=1,$Q40=2),1,0),IF($X40&lt;=20,1,0))</formula>
    </cfRule>
    <cfRule type="expression" dxfId="8148" priority="3660">
      <formula>AND(IF($Q40=2,1,0),IF($X40&lt;30,1,0))</formula>
    </cfRule>
    <cfRule type="expression" dxfId="8147" priority="3661">
      <formula>AND(IF($Q40=3,1,0),IF($X40&lt;30,1,0))</formula>
    </cfRule>
    <cfRule type="expression" dxfId="8146" priority="3662">
      <formula>AND(IF($Q40=3,1,IF($Q40=4,1,0)),IF($F40&lt;=85,1,0))</formula>
    </cfRule>
  </conditionalFormatting>
  <conditionalFormatting sqref="AI40">
    <cfRule type="expression" dxfId="8145" priority="3655">
      <formula>AND(IF(OR($Q40=1,$Q40=2),1,0),IF($X40&lt;=20,1,0))</formula>
    </cfRule>
    <cfRule type="expression" dxfId="8144" priority="3656">
      <formula>AND(IF($Q40=2,1,0),IF($X40&lt;30,1,0))</formula>
    </cfRule>
    <cfRule type="expression" dxfId="8143" priority="3657">
      <formula>AND(IF($Q40=3,1,0),IF($X40&lt;30,1,0))</formula>
    </cfRule>
    <cfRule type="expression" dxfId="8142" priority="3658">
      <formula>AND(IF($Q40=3,1,IF($Q40=4,1,0)),IF($F40&lt;=85,1,0))</formula>
    </cfRule>
  </conditionalFormatting>
  <conditionalFormatting sqref="AV41">
    <cfRule type="expression" dxfId="8141" priority="3653">
      <formula>AV41="X"</formula>
    </cfRule>
    <cfRule type="expression" dxfId="8140" priority="3654">
      <formula>AV41="후보"</formula>
    </cfRule>
  </conditionalFormatting>
  <conditionalFormatting sqref="AC41">
    <cfRule type="cellIs" dxfId="8139" priority="3651" operator="greaterThan">
      <formula>0.9</formula>
    </cfRule>
    <cfRule type="cellIs" dxfId="8138" priority="3652" operator="greaterThan">
      <formula>0.85</formula>
    </cfRule>
  </conditionalFormatting>
  <conditionalFormatting sqref="N41">
    <cfRule type="cellIs" dxfId="8137" priority="3649" operator="greaterThan">
      <formula>0.9</formula>
    </cfRule>
    <cfRule type="cellIs" dxfId="8136" priority="3650" operator="greaterThan">
      <formula>0.85</formula>
    </cfRule>
  </conditionalFormatting>
  <conditionalFormatting sqref="E41">
    <cfRule type="expression" dxfId="8135" priority="3645">
      <formula>AND(IF(OR($Q41=1,$Q41=2),1,0),IF($X41&lt;=20,1,0))</formula>
    </cfRule>
    <cfRule type="expression" dxfId="8134" priority="3646">
      <formula>AND(IF($Q41=2,1,0),IF($X41&lt;30,1,0))</formula>
    </cfRule>
    <cfRule type="expression" dxfId="8133" priority="3647">
      <formula>AND(IF($Q41=3,1,0),IF($X41&lt;30,1,0))</formula>
    </cfRule>
    <cfRule type="expression" dxfId="8132" priority="3648">
      <formula>AND(IF($Q41=3,1,IF($Q41=4,1,0)),IF($F41&lt;=85,1,0))</formula>
    </cfRule>
  </conditionalFormatting>
  <conditionalFormatting sqref="X41">
    <cfRule type="expression" dxfId="8131" priority="3641">
      <formula>AND(IF(OR($Q41=1,$Q41=2),1,0),IF($X41&lt;=20,1,0))</formula>
    </cfRule>
    <cfRule type="expression" dxfId="8130" priority="3642">
      <formula>AND(IF($Q41=2,1,0),IF($X41&lt;30,1,0))</formula>
    </cfRule>
    <cfRule type="expression" dxfId="8129" priority="3643">
      <formula>AND(IF($Q41=3,1,0),IF($X41&lt;30,1,0))</formula>
    </cfRule>
    <cfRule type="expression" dxfId="8128" priority="3644">
      <formula>AND(IF($Q41=3,1,IF($Q41=4,1,0)),IF($F41&lt;=85,1,0))</formula>
    </cfRule>
  </conditionalFormatting>
  <conditionalFormatting sqref="AI41">
    <cfRule type="expression" dxfId="8127" priority="3637">
      <formula>AND(IF(OR($Q41=1,$Q41=2),1,0),IF($X41&lt;=20,1,0))</formula>
    </cfRule>
    <cfRule type="expression" dxfId="8126" priority="3638">
      <formula>AND(IF($Q41=2,1,0),IF($X41&lt;30,1,0))</formula>
    </cfRule>
    <cfRule type="expression" dxfId="8125" priority="3639">
      <formula>AND(IF($Q41=3,1,0),IF($X41&lt;30,1,0))</formula>
    </cfRule>
    <cfRule type="expression" dxfId="8124" priority="3640">
      <formula>AND(IF($Q41=3,1,IF($Q41=4,1,0)),IF($F41&lt;=85,1,0))</formula>
    </cfRule>
  </conditionalFormatting>
  <conditionalFormatting sqref="AV42">
    <cfRule type="expression" dxfId="8123" priority="3635">
      <formula>AV42="X"</formula>
    </cfRule>
    <cfRule type="expression" dxfId="8122" priority="3636">
      <formula>AV42="후보"</formula>
    </cfRule>
  </conditionalFormatting>
  <conditionalFormatting sqref="AC42">
    <cfRule type="cellIs" dxfId="8121" priority="3633" operator="greaterThan">
      <formula>0.9</formula>
    </cfRule>
    <cfRule type="cellIs" dxfId="8120" priority="3634" operator="greaterThan">
      <formula>0.85</formula>
    </cfRule>
  </conditionalFormatting>
  <conditionalFormatting sqref="N42">
    <cfRule type="cellIs" dxfId="8119" priority="3631" operator="greaterThan">
      <formula>0.9</formula>
    </cfRule>
    <cfRule type="cellIs" dxfId="8118" priority="3632" operator="greaterThan">
      <formula>0.85</formula>
    </cfRule>
  </conditionalFormatting>
  <conditionalFormatting sqref="E42">
    <cfRule type="expression" dxfId="8117" priority="3627">
      <formula>AND(IF(OR($Q42=1,$Q42=2),1,0),IF($X42&lt;=20,1,0))</formula>
    </cfRule>
    <cfRule type="expression" dxfId="8116" priority="3628">
      <formula>AND(IF($Q42=2,1,0),IF($X42&lt;30,1,0))</formula>
    </cfRule>
    <cfRule type="expression" dxfId="8115" priority="3629">
      <formula>AND(IF($Q42=3,1,0),IF($X42&lt;30,1,0))</formula>
    </cfRule>
    <cfRule type="expression" dxfId="8114" priority="3630">
      <formula>AND(IF($Q42=3,1,IF($Q42=4,1,0)),IF($F42&lt;=85,1,0))</formula>
    </cfRule>
  </conditionalFormatting>
  <conditionalFormatting sqref="X42">
    <cfRule type="expression" dxfId="8113" priority="3623">
      <formula>AND(IF(OR($Q42=1,$Q42=2),1,0),IF($X42&lt;=20,1,0))</formula>
    </cfRule>
    <cfRule type="expression" dxfId="8112" priority="3624">
      <formula>AND(IF($Q42=2,1,0),IF($X42&lt;30,1,0))</formula>
    </cfRule>
    <cfRule type="expression" dxfId="8111" priority="3625">
      <formula>AND(IF($Q42=3,1,0),IF($X42&lt;30,1,0))</formula>
    </cfRule>
    <cfRule type="expression" dxfId="8110" priority="3626">
      <formula>AND(IF($Q42=3,1,IF($Q42=4,1,0)),IF($F42&lt;=85,1,0))</formula>
    </cfRule>
  </conditionalFormatting>
  <conditionalFormatting sqref="AI42">
    <cfRule type="expression" dxfId="8109" priority="3619">
      <formula>AND(IF(OR($Q42=1,$Q42=2),1,0),IF($X42&lt;=20,1,0))</formula>
    </cfRule>
    <cfRule type="expression" dxfId="8108" priority="3620">
      <formula>AND(IF($Q42=2,1,0),IF($X42&lt;30,1,0))</formula>
    </cfRule>
    <cfRule type="expression" dxfId="8107" priority="3621">
      <formula>AND(IF($Q42=3,1,0),IF($X42&lt;30,1,0))</formula>
    </cfRule>
    <cfRule type="expression" dxfId="8106" priority="3622">
      <formula>AND(IF($Q42=3,1,IF($Q42=4,1,0)),IF($F42&lt;=85,1,0))</formula>
    </cfRule>
  </conditionalFormatting>
  <conditionalFormatting sqref="AV43">
    <cfRule type="expression" dxfId="8105" priority="3617">
      <formula>AV43="X"</formula>
    </cfRule>
    <cfRule type="expression" dxfId="8104" priority="3618">
      <formula>AV43="후보"</formula>
    </cfRule>
  </conditionalFormatting>
  <conditionalFormatting sqref="AC43">
    <cfRule type="cellIs" dxfId="8103" priority="3615" operator="greaterThan">
      <formula>0.9</formula>
    </cfRule>
    <cfRule type="cellIs" dxfId="8102" priority="3616" operator="greaterThan">
      <formula>0.85</formula>
    </cfRule>
  </conditionalFormatting>
  <conditionalFormatting sqref="N43">
    <cfRule type="cellIs" dxfId="8101" priority="3613" operator="greaterThan">
      <formula>0.9</formula>
    </cfRule>
    <cfRule type="cellIs" dxfId="8100" priority="3614" operator="greaterThan">
      <formula>0.85</formula>
    </cfRule>
  </conditionalFormatting>
  <conditionalFormatting sqref="E43">
    <cfRule type="expression" dxfId="8099" priority="3609">
      <formula>AND(IF(OR($Q43=1,$Q43=2),1,0),IF($X43&lt;=20,1,0))</formula>
    </cfRule>
    <cfRule type="expression" dxfId="8098" priority="3610">
      <formula>AND(IF($Q43=2,1,0),IF($X43&lt;30,1,0))</formula>
    </cfRule>
    <cfRule type="expression" dxfId="8097" priority="3611">
      <formula>AND(IF($Q43=3,1,0),IF($X43&lt;30,1,0))</formula>
    </cfRule>
    <cfRule type="expression" dxfId="8096" priority="3612">
      <formula>AND(IF($Q43=3,1,IF($Q43=4,1,0)),IF($F43&lt;=85,1,0))</formula>
    </cfRule>
  </conditionalFormatting>
  <conditionalFormatting sqref="X43">
    <cfRule type="expression" dxfId="8095" priority="3605">
      <formula>AND(IF(OR($Q43=1,$Q43=2),1,0),IF($X43&lt;=20,1,0))</formula>
    </cfRule>
    <cfRule type="expression" dxfId="8094" priority="3606">
      <formula>AND(IF($Q43=2,1,0),IF($X43&lt;30,1,0))</formula>
    </cfRule>
    <cfRule type="expression" dxfId="8093" priority="3607">
      <formula>AND(IF($Q43=3,1,0),IF($X43&lt;30,1,0))</formula>
    </cfRule>
    <cfRule type="expression" dxfId="8092" priority="3608">
      <formula>AND(IF($Q43=3,1,IF($Q43=4,1,0)),IF($F43&lt;=85,1,0))</formula>
    </cfRule>
  </conditionalFormatting>
  <conditionalFormatting sqref="AI43">
    <cfRule type="expression" dxfId="8091" priority="3601">
      <formula>AND(IF(OR($Q43=1,$Q43=2),1,0),IF($X43&lt;=20,1,0))</formula>
    </cfRule>
    <cfRule type="expression" dxfId="8090" priority="3602">
      <formula>AND(IF($Q43=2,1,0),IF($X43&lt;30,1,0))</formula>
    </cfRule>
    <cfRule type="expression" dxfId="8089" priority="3603">
      <formula>AND(IF($Q43=3,1,0),IF($X43&lt;30,1,0))</formula>
    </cfRule>
    <cfRule type="expression" dxfId="8088" priority="3604">
      <formula>AND(IF($Q43=3,1,IF($Q43=4,1,0)),IF($F43&lt;=85,1,0))</formula>
    </cfRule>
  </conditionalFormatting>
  <conditionalFormatting sqref="AV44">
    <cfRule type="expression" dxfId="8087" priority="3599">
      <formula>AV44="X"</formula>
    </cfRule>
    <cfRule type="expression" dxfId="8086" priority="3600">
      <formula>AV44="후보"</formula>
    </cfRule>
  </conditionalFormatting>
  <conditionalFormatting sqref="AC44">
    <cfRule type="cellIs" dxfId="8085" priority="3597" operator="greaterThan">
      <formula>0.9</formula>
    </cfRule>
    <cfRule type="cellIs" dxfId="8084" priority="3598" operator="greaterThan">
      <formula>0.85</formula>
    </cfRule>
  </conditionalFormatting>
  <conditionalFormatting sqref="N44">
    <cfRule type="cellIs" dxfId="8083" priority="3595" operator="greaterThan">
      <formula>0.9</formula>
    </cfRule>
    <cfRule type="cellIs" dxfId="8082" priority="3596" operator="greaterThan">
      <formula>0.85</formula>
    </cfRule>
  </conditionalFormatting>
  <conditionalFormatting sqref="E44">
    <cfRule type="expression" dxfId="8081" priority="3591">
      <formula>AND(IF(OR($Q44=1,$Q44=2),1,0),IF($X44&lt;=20,1,0))</formula>
    </cfRule>
    <cfRule type="expression" dxfId="8080" priority="3592">
      <formula>AND(IF($Q44=2,1,0),IF($X44&lt;30,1,0))</formula>
    </cfRule>
    <cfRule type="expression" dxfId="8079" priority="3593">
      <formula>AND(IF($Q44=3,1,0),IF($X44&lt;30,1,0))</formula>
    </cfRule>
    <cfRule type="expression" dxfId="8078" priority="3594">
      <formula>AND(IF($Q44=3,1,IF($Q44=4,1,0)),IF($F44&lt;=85,1,0))</formula>
    </cfRule>
  </conditionalFormatting>
  <conditionalFormatting sqref="X44">
    <cfRule type="expression" dxfId="8077" priority="3587">
      <formula>AND(IF(OR($Q44=1,$Q44=2),1,0),IF($X44&lt;=20,1,0))</formula>
    </cfRule>
    <cfRule type="expression" dxfId="8076" priority="3588">
      <formula>AND(IF($Q44=2,1,0),IF($X44&lt;30,1,0))</formula>
    </cfRule>
    <cfRule type="expression" dxfId="8075" priority="3589">
      <formula>AND(IF($Q44=3,1,0),IF($X44&lt;30,1,0))</formula>
    </cfRule>
    <cfRule type="expression" dxfId="8074" priority="3590">
      <formula>AND(IF($Q44=3,1,IF($Q44=4,1,0)),IF($F44&lt;=85,1,0))</formula>
    </cfRule>
  </conditionalFormatting>
  <conditionalFormatting sqref="AI44">
    <cfRule type="expression" dxfId="8073" priority="3583">
      <formula>AND(IF(OR($Q44=1,$Q44=2),1,0),IF($X44&lt;=20,1,0))</formula>
    </cfRule>
    <cfRule type="expression" dxfId="8072" priority="3584">
      <formula>AND(IF($Q44=2,1,0),IF($X44&lt;30,1,0))</formula>
    </cfRule>
    <cfRule type="expression" dxfId="8071" priority="3585">
      <formula>AND(IF($Q44=3,1,0),IF($X44&lt;30,1,0))</formula>
    </cfRule>
    <cfRule type="expression" dxfId="8070" priority="3586">
      <formula>AND(IF($Q44=3,1,IF($Q44=4,1,0)),IF($F44&lt;=85,1,0))</formula>
    </cfRule>
  </conditionalFormatting>
  <conditionalFormatting sqref="AV45">
    <cfRule type="expression" dxfId="8069" priority="3581">
      <formula>AV45="X"</formula>
    </cfRule>
    <cfRule type="expression" dxfId="8068" priority="3582">
      <formula>AV45="후보"</formula>
    </cfRule>
  </conditionalFormatting>
  <conditionalFormatting sqref="AC45">
    <cfRule type="cellIs" dxfId="8067" priority="3579" operator="greaterThan">
      <formula>0.9</formula>
    </cfRule>
    <cfRule type="cellIs" dxfId="8066" priority="3580" operator="greaterThan">
      <formula>0.85</formula>
    </cfRule>
  </conditionalFormatting>
  <conditionalFormatting sqref="N45">
    <cfRule type="cellIs" dxfId="8065" priority="3577" operator="greaterThan">
      <formula>0.9</formula>
    </cfRule>
    <cfRule type="cellIs" dxfId="8064" priority="3578" operator="greaterThan">
      <formula>0.85</formula>
    </cfRule>
  </conditionalFormatting>
  <conditionalFormatting sqref="E45">
    <cfRule type="expression" dxfId="8063" priority="3573">
      <formula>AND(IF(OR($Q45=1,$Q45=2),1,0),IF($X45&lt;=20,1,0))</formula>
    </cfRule>
    <cfRule type="expression" dxfId="8062" priority="3574">
      <formula>AND(IF($Q45=2,1,0),IF($X45&lt;30,1,0))</formula>
    </cfRule>
    <cfRule type="expression" dxfId="8061" priority="3575">
      <formula>AND(IF($Q45=3,1,0),IF($X45&lt;30,1,0))</formula>
    </cfRule>
    <cfRule type="expression" dxfId="8060" priority="3576">
      <formula>AND(IF($Q45=3,1,IF($Q45=4,1,0)),IF($F45&lt;=85,1,0))</formula>
    </cfRule>
  </conditionalFormatting>
  <conditionalFormatting sqref="X45">
    <cfRule type="expression" dxfId="8059" priority="3569">
      <formula>AND(IF(OR($Q45=1,$Q45=2),1,0),IF($X45&lt;=20,1,0))</formula>
    </cfRule>
    <cfRule type="expression" dxfId="8058" priority="3570">
      <formula>AND(IF($Q45=2,1,0),IF($X45&lt;30,1,0))</formula>
    </cfRule>
    <cfRule type="expression" dxfId="8057" priority="3571">
      <formula>AND(IF($Q45=3,1,0),IF($X45&lt;30,1,0))</formula>
    </cfRule>
    <cfRule type="expression" dxfId="8056" priority="3572">
      <formula>AND(IF($Q45=3,1,IF($Q45=4,1,0)),IF($F45&lt;=85,1,0))</formula>
    </cfRule>
  </conditionalFormatting>
  <conditionalFormatting sqref="AI45">
    <cfRule type="expression" dxfId="8055" priority="3565">
      <formula>AND(IF(OR($Q45=1,$Q45=2),1,0),IF($X45&lt;=20,1,0))</formula>
    </cfRule>
    <cfRule type="expression" dxfId="8054" priority="3566">
      <formula>AND(IF($Q45=2,1,0),IF($X45&lt;30,1,0))</formula>
    </cfRule>
    <cfRule type="expression" dxfId="8053" priority="3567">
      <formula>AND(IF($Q45=3,1,0),IF($X45&lt;30,1,0))</formula>
    </cfRule>
    <cfRule type="expression" dxfId="8052" priority="3568">
      <formula>AND(IF($Q45=3,1,IF($Q45=4,1,0)),IF($F45&lt;=85,1,0))</formula>
    </cfRule>
  </conditionalFormatting>
  <conditionalFormatting sqref="AV46">
    <cfRule type="expression" dxfId="8051" priority="3563">
      <formula>AV46="X"</formula>
    </cfRule>
    <cfRule type="expression" dxfId="8050" priority="3564">
      <formula>AV46="후보"</formula>
    </cfRule>
  </conditionalFormatting>
  <conditionalFormatting sqref="AC46">
    <cfRule type="cellIs" dxfId="8049" priority="3561" operator="greaterThan">
      <formula>0.9</formula>
    </cfRule>
    <cfRule type="cellIs" dxfId="8048" priority="3562" operator="greaterThan">
      <formula>0.85</formula>
    </cfRule>
  </conditionalFormatting>
  <conditionalFormatting sqref="N46">
    <cfRule type="cellIs" dxfId="8047" priority="3559" operator="greaterThan">
      <formula>0.9</formula>
    </cfRule>
    <cfRule type="cellIs" dxfId="8046" priority="3560" operator="greaterThan">
      <formula>0.85</formula>
    </cfRule>
  </conditionalFormatting>
  <conditionalFormatting sqref="E46">
    <cfRule type="expression" dxfId="8045" priority="3555">
      <formula>AND(IF(OR($Q46=1,$Q46=2),1,0),IF($X46&lt;=20,1,0))</formula>
    </cfRule>
    <cfRule type="expression" dxfId="8044" priority="3556">
      <formula>AND(IF($Q46=2,1,0),IF($X46&lt;30,1,0))</formula>
    </cfRule>
    <cfRule type="expression" dxfId="8043" priority="3557">
      <formula>AND(IF($Q46=3,1,0),IF($X46&lt;30,1,0))</formula>
    </cfRule>
    <cfRule type="expression" dxfId="8042" priority="3558">
      <formula>AND(IF($Q46=3,1,IF($Q46=4,1,0)),IF($F46&lt;=85,1,0))</formula>
    </cfRule>
  </conditionalFormatting>
  <conditionalFormatting sqref="X46">
    <cfRule type="expression" dxfId="8041" priority="3551">
      <formula>AND(IF(OR($Q46=1,$Q46=2),1,0),IF($X46&lt;=20,1,0))</formula>
    </cfRule>
    <cfRule type="expression" dxfId="8040" priority="3552">
      <formula>AND(IF($Q46=2,1,0),IF($X46&lt;30,1,0))</formula>
    </cfRule>
    <cfRule type="expression" dxfId="8039" priority="3553">
      <formula>AND(IF($Q46=3,1,0),IF($X46&lt;30,1,0))</formula>
    </cfRule>
    <cfRule type="expression" dxfId="8038" priority="3554">
      <formula>AND(IF($Q46=3,1,IF($Q46=4,1,0)),IF($F46&lt;=85,1,0))</formula>
    </cfRule>
  </conditionalFormatting>
  <conditionalFormatting sqref="AI46">
    <cfRule type="expression" dxfId="8037" priority="3547">
      <formula>AND(IF(OR($Q46=1,$Q46=2),1,0),IF($X46&lt;=20,1,0))</formula>
    </cfRule>
    <cfRule type="expression" dxfId="8036" priority="3548">
      <formula>AND(IF($Q46=2,1,0),IF($X46&lt;30,1,0))</formula>
    </cfRule>
    <cfRule type="expression" dxfId="8035" priority="3549">
      <formula>AND(IF($Q46=3,1,0),IF($X46&lt;30,1,0))</formula>
    </cfRule>
    <cfRule type="expression" dxfId="8034" priority="3550">
      <formula>AND(IF($Q46=3,1,IF($Q46=4,1,0)),IF($F46&lt;=85,1,0))</formula>
    </cfRule>
  </conditionalFormatting>
  <conditionalFormatting sqref="AV47">
    <cfRule type="expression" dxfId="8033" priority="3545">
      <formula>AV47="X"</formula>
    </cfRule>
    <cfRule type="expression" dxfId="8032" priority="3546">
      <formula>AV47="후보"</formula>
    </cfRule>
  </conditionalFormatting>
  <conditionalFormatting sqref="AC47">
    <cfRule type="cellIs" dxfId="8031" priority="3543" operator="greaterThan">
      <formula>0.9</formula>
    </cfRule>
    <cfRule type="cellIs" dxfId="8030" priority="3544" operator="greaterThan">
      <formula>0.85</formula>
    </cfRule>
  </conditionalFormatting>
  <conditionalFormatting sqref="N47">
    <cfRule type="cellIs" dxfId="8029" priority="3541" operator="greaterThan">
      <formula>0.9</formula>
    </cfRule>
    <cfRule type="cellIs" dxfId="8028" priority="3542" operator="greaterThan">
      <formula>0.85</formula>
    </cfRule>
  </conditionalFormatting>
  <conditionalFormatting sqref="E47">
    <cfRule type="expression" dxfId="8027" priority="3537">
      <formula>AND(IF(OR($Q47=1,$Q47=2),1,0),IF($X47&lt;=20,1,0))</formula>
    </cfRule>
    <cfRule type="expression" dxfId="8026" priority="3538">
      <formula>AND(IF($Q47=2,1,0),IF($X47&lt;30,1,0))</formula>
    </cfRule>
    <cfRule type="expression" dxfId="8025" priority="3539">
      <formula>AND(IF($Q47=3,1,0),IF($X47&lt;30,1,0))</formula>
    </cfRule>
    <cfRule type="expression" dxfId="8024" priority="3540">
      <formula>AND(IF($Q47=3,1,IF($Q47=4,1,0)),IF($F47&lt;=85,1,0))</formula>
    </cfRule>
  </conditionalFormatting>
  <conditionalFormatting sqref="X47">
    <cfRule type="expression" dxfId="8023" priority="3533">
      <formula>AND(IF(OR($Q47=1,$Q47=2),1,0),IF($X47&lt;=20,1,0))</formula>
    </cfRule>
    <cfRule type="expression" dxfId="8022" priority="3534">
      <formula>AND(IF($Q47=2,1,0),IF($X47&lt;30,1,0))</formula>
    </cfRule>
    <cfRule type="expression" dxfId="8021" priority="3535">
      <formula>AND(IF($Q47=3,1,0),IF($X47&lt;30,1,0))</formula>
    </cfRule>
    <cfRule type="expression" dxfId="8020" priority="3536">
      <formula>AND(IF($Q47=3,1,IF($Q47=4,1,0)),IF($F47&lt;=85,1,0))</formula>
    </cfRule>
  </conditionalFormatting>
  <conditionalFormatting sqref="AI47">
    <cfRule type="expression" dxfId="8019" priority="3529">
      <formula>AND(IF(OR($Q47=1,$Q47=2),1,0),IF($X47&lt;=20,1,0))</formula>
    </cfRule>
    <cfRule type="expression" dxfId="8018" priority="3530">
      <formula>AND(IF($Q47=2,1,0),IF($X47&lt;30,1,0))</formula>
    </cfRule>
    <cfRule type="expression" dxfId="8017" priority="3531">
      <formula>AND(IF($Q47=3,1,0),IF($X47&lt;30,1,0))</formula>
    </cfRule>
    <cfRule type="expression" dxfId="8016" priority="3532">
      <formula>AND(IF($Q47=3,1,IF($Q47=4,1,0)),IF($F47&lt;=85,1,0))</formula>
    </cfRule>
  </conditionalFormatting>
  <conditionalFormatting sqref="AV48">
    <cfRule type="expression" dxfId="8015" priority="3527">
      <formula>AV48="X"</formula>
    </cfRule>
    <cfRule type="expression" dxfId="8014" priority="3528">
      <formula>AV48="후보"</formula>
    </cfRule>
  </conditionalFormatting>
  <conditionalFormatting sqref="AC48">
    <cfRule type="cellIs" dxfId="8013" priority="3525" operator="greaterThan">
      <formula>0.9</formula>
    </cfRule>
    <cfRule type="cellIs" dxfId="8012" priority="3526" operator="greaterThan">
      <formula>0.85</formula>
    </cfRule>
  </conditionalFormatting>
  <conditionalFormatting sqref="N48">
    <cfRule type="cellIs" dxfId="8011" priority="3523" operator="greaterThan">
      <formula>0.9</formula>
    </cfRule>
    <cfRule type="cellIs" dxfId="8010" priority="3524" operator="greaterThan">
      <formula>0.85</formula>
    </cfRule>
  </conditionalFormatting>
  <conditionalFormatting sqref="E48">
    <cfRule type="expression" dxfId="8009" priority="3519">
      <formula>AND(IF(OR($Q48=1,$Q48=2),1,0),IF($X48&lt;=20,1,0))</formula>
    </cfRule>
    <cfRule type="expression" dxfId="8008" priority="3520">
      <formula>AND(IF($Q48=2,1,0),IF($X48&lt;30,1,0))</formula>
    </cfRule>
    <cfRule type="expression" dxfId="8007" priority="3521">
      <formula>AND(IF($Q48=3,1,0),IF($X48&lt;30,1,0))</formula>
    </cfRule>
    <cfRule type="expression" dxfId="8006" priority="3522">
      <formula>AND(IF($Q48=3,1,IF($Q48=4,1,0)),IF($F48&lt;=85,1,0))</formula>
    </cfRule>
  </conditionalFormatting>
  <conditionalFormatting sqref="X48">
    <cfRule type="expression" dxfId="8005" priority="3515">
      <formula>AND(IF(OR($Q48=1,$Q48=2),1,0),IF($X48&lt;=20,1,0))</formula>
    </cfRule>
    <cfRule type="expression" dxfId="8004" priority="3516">
      <formula>AND(IF($Q48=2,1,0),IF($X48&lt;30,1,0))</formula>
    </cfRule>
    <cfRule type="expression" dxfId="8003" priority="3517">
      <formula>AND(IF($Q48=3,1,0),IF($X48&lt;30,1,0))</formula>
    </cfRule>
    <cfRule type="expression" dxfId="8002" priority="3518">
      <formula>AND(IF($Q48=3,1,IF($Q48=4,1,0)),IF($F48&lt;=85,1,0))</formula>
    </cfRule>
  </conditionalFormatting>
  <conditionalFormatting sqref="AI48">
    <cfRule type="expression" dxfId="8001" priority="3511">
      <formula>AND(IF(OR($Q48=1,$Q48=2),1,0),IF($X48&lt;=20,1,0))</formula>
    </cfRule>
    <cfRule type="expression" dxfId="8000" priority="3512">
      <formula>AND(IF($Q48=2,1,0),IF($X48&lt;30,1,0))</formula>
    </cfRule>
    <cfRule type="expression" dxfId="7999" priority="3513">
      <formula>AND(IF($Q48=3,1,0),IF($X48&lt;30,1,0))</formula>
    </cfRule>
    <cfRule type="expression" dxfId="7998" priority="3514">
      <formula>AND(IF($Q48=3,1,IF($Q48=4,1,0)),IF($F48&lt;=85,1,0))</formula>
    </cfRule>
  </conditionalFormatting>
  <conditionalFormatting sqref="AV49">
    <cfRule type="expression" dxfId="7997" priority="3509">
      <formula>AV49="X"</formula>
    </cfRule>
    <cfRule type="expression" dxfId="7996" priority="3510">
      <formula>AV49="후보"</formula>
    </cfRule>
  </conditionalFormatting>
  <conditionalFormatting sqref="AC49">
    <cfRule type="cellIs" dxfId="7995" priority="3507" operator="greaterThan">
      <formula>0.9</formula>
    </cfRule>
    <cfRule type="cellIs" dxfId="7994" priority="3508" operator="greaterThan">
      <formula>0.85</formula>
    </cfRule>
  </conditionalFormatting>
  <conditionalFormatting sqref="N49">
    <cfRule type="cellIs" dxfId="7993" priority="3505" operator="greaterThan">
      <formula>0.9</formula>
    </cfRule>
    <cfRule type="cellIs" dxfId="7992" priority="3506" operator="greaterThan">
      <formula>0.85</formula>
    </cfRule>
  </conditionalFormatting>
  <conditionalFormatting sqref="E49">
    <cfRule type="expression" dxfId="7991" priority="3501">
      <formula>AND(IF(OR($Q49=1,$Q49=2),1,0),IF($X49&lt;=20,1,0))</formula>
    </cfRule>
    <cfRule type="expression" dxfId="7990" priority="3502">
      <formula>AND(IF($Q49=2,1,0),IF($X49&lt;30,1,0))</formula>
    </cfRule>
    <cfRule type="expression" dxfId="7989" priority="3503">
      <formula>AND(IF($Q49=3,1,0),IF($X49&lt;30,1,0))</formula>
    </cfRule>
    <cfRule type="expression" dxfId="7988" priority="3504">
      <formula>AND(IF($Q49=3,1,IF($Q49=4,1,0)),IF($F49&lt;=85,1,0))</formula>
    </cfRule>
  </conditionalFormatting>
  <conditionalFormatting sqref="X49">
    <cfRule type="expression" dxfId="7987" priority="3497">
      <formula>AND(IF(OR($Q49=1,$Q49=2),1,0),IF($X49&lt;=20,1,0))</formula>
    </cfRule>
    <cfRule type="expression" dxfId="7986" priority="3498">
      <formula>AND(IF($Q49=2,1,0),IF($X49&lt;30,1,0))</formula>
    </cfRule>
    <cfRule type="expression" dxfId="7985" priority="3499">
      <formula>AND(IF($Q49=3,1,0),IF($X49&lt;30,1,0))</formula>
    </cfRule>
    <cfRule type="expression" dxfId="7984" priority="3500">
      <formula>AND(IF($Q49=3,1,IF($Q49=4,1,0)),IF($F49&lt;=85,1,0))</formula>
    </cfRule>
  </conditionalFormatting>
  <conditionalFormatting sqref="AI49">
    <cfRule type="expression" dxfId="7983" priority="3493">
      <formula>AND(IF(OR($Q49=1,$Q49=2),1,0),IF($X49&lt;=20,1,0))</formula>
    </cfRule>
    <cfRule type="expression" dxfId="7982" priority="3494">
      <formula>AND(IF($Q49=2,1,0),IF($X49&lt;30,1,0))</formula>
    </cfRule>
    <cfRule type="expression" dxfId="7981" priority="3495">
      <formula>AND(IF($Q49=3,1,0),IF($X49&lt;30,1,0))</formula>
    </cfRule>
    <cfRule type="expression" dxfId="7980" priority="3496">
      <formula>AND(IF($Q49=3,1,IF($Q49=4,1,0)),IF($F49&lt;=85,1,0))</formula>
    </cfRule>
  </conditionalFormatting>
  <conditionalFormatting sqref="AV50">
    <cfRule type="expression" dxfId="7979" priority="3491">
      <formula>AV50="X"</formula>
    </cfRule>
    <cfRule type="expression" dxfId="7978" priority="3492">
      <formula>AV50="후보"</formula>
    </cfRule>
  </conditionalFormatting>
  <conditionalFormatting sqref="AC50">
    <cfRule type="cellIs" dxfId="7977" priority="3489" operator="greaterThan">
      <formula>0.9</formula>
    </cfRule>
    <cfRule type="cellIs" dxfId="7976" priority="3490" operator="greaterThan">
      <formula>0.85</formula>
    </cfRule>
  </conditionalFormatting>
  <conditionalFormatting sqref="N50">
    <cfRule type="cellIs" dxfId="7975" priority="3487" operator="greaterThan">
      <formula>0.9</formula>
    </cfRule>
    <cfRule type="cellIs" dxfId="7974" priority="3488" operator="greaterThan">
      <formula>0.85</formula>
    </cfRule>
  </conditionalFormatting>
  <conditionalFormatting sqref="E50">
    <cfRule type="expression" dxfId="7973" priority="3483">
      <formula>AND(IF(OR($Q50=1,$Q50=2),1,0),IF($X50&lt;=20,1,0))</formula>
    </cfRule>
    <cfRule type="expression" dxfId="7972" priority="3484">
      <formula>AND(IF($Q50=2,1,0),IF($X50&lt;30,1,0))</formula>
    </cfRule>
    <cfRule type="expression" dxfId="7971" priority="3485">
      <formula>AND(IF($Q50=3,1,0),IF($X50&lt;30,1,0))</formula>
    </cfRule>
    <cfRule type="expression" dxfId="7970" priority="3486">
      <formula>AND(IF($Q50=3,1,IF($Q50=4,1,0)),IF($F50&lt;=85,1,0))</formula>
    </cfRule>
  </conditionalFormatting>
  <conditionalFormatting sqref="X50">
    <cfRule type="expression" dxfId="7969" priority="3479">
      <formula>AND(IF(OR($Q50=1,$Q50=2),1,0),IF($X50&lt;=20,1,0))</formula>
    </cfRule>
    <cfRule type="expression" dxfId="7968" priority="3480">
      <formula>AND(IF($Q50=2,1,0),IF($X50&lt;30,1,0))</formula>
    </cfRule>
    <cfRule type="expression" dxfId="7967" priority="3481">
      <formula>AND(IF($Q50=3,1,0),IF($X50&lt;30,1,0))</formula>
    </cfRule>
    <cfRule type="expression" dxfId="7966" priority="3482">
      <formula>AND(IF($Q50=3,1,IF($Q50=4,1,0)),IF($F50&lt;=85,1,0))</formula>
    </cfRule>
  </conditionalFormatting>
  <conditionalFormatting sqref="AI50">
    <cfRule type="expression" dxfId="7965" priority="3475">
      <formula>AND(IF(OR($Q50=1,$Q50=2),1,0),IF($X50&lt;=20,1,0))</formula>
    </cfRule>
    <cfRule type="expression" dxfId="7964" priority="3476">
      <formula>AND(IF($Q50=2,1,0),IF($X50&lt;30,1,0))</formula>
    </cfRule>
    <cfRule type="expression" dxfId="7963" priority="3477">
      <formula>AND(IF($Q50=3,1,0),IF($X50&lt;30,1,0))</formula>
    </cfRule>
    <cfRule type="expression" dxfId="7962" priority="3478">
      <formula>AND(IF($Q50=3,1,IF($Q50=4,1,0)),IF($F50&lt;=85,1,0))</formula>
    </cfRule>
  </conditionalFormatting>
  <conditionalFormatting sqref="AV51">
    <cfRule type="expression" dxfId="7961" priority="3473">
      <formula>AV51="X"</formula>
    </cfRule>
    <cfRule type="expression" dxfId="7960" priority="3474">
      <formula>AV51="후보"</formula>
    </cfRule>
  </conditionalFormatting>
  <conditionalFormatting sqref="AC51">
    <cfRule type="cellIs" dxfId="7959" priority="3471" operator="greaterThan">
      <formula>0.9</formula>
    </cfRule>
    <cfRule type="cellIs" dxfId="7958" priority="3472" operator="greaterThan">
      <formula>0.85</formula>
    </cfRule>
  </conditionalFormatting>
  <conditionalFormatting sqref="N51">
    <cfRule type="cellIs" dxfId="7957" priority="3469" operator="greaterThan">
      <formula>0.9</formula>
    </cfRule>
    <cfRule type="cellIs" dxfId="7956" priority="3470" operator="greaterThan">
      <formula>0.85</formula>
    </cfRule>
  </conditionalFormatting>
  <conditionalFormatting sqref="E51">
    <cfRule type="expression" dxfId="7955" priority="3465">
      <formula>AND(IF(OR($Q51=1,$Q51=2),1,0),IF($X51&lt;=20,1,0))</formula>
    </cfRule>
    <cfRule type="expression" dxfId="7954" priority="3466">
      <formula>AND(IF($Q51=2,1,0),IF($X51&lt;30,1,0))</formula>
    </cfRule>
    <cfRule type="expression" dxfId="7953" priority="3467">
      <formula>AND(IF($Q51=3,1,0),IF($X51&lt;30,1,0))</formula>
    </cfRule>
    <cfRule type="expression" dxfId="7952" priority="3468">
      <formula>AND(IF($Q51=3,1,IF($Q51=4,1,0)),IF($F51&lt;=85,1,0))</formula>
    </cfRule>
  </conditionalFormatting>
  <conditionalFormatting sqref="X51">
    <cfRule type="expression" dxfId="7951" priority="3461">
      <formula>AND(IF(OR($Q51=1,$Q51=2),1,0),IF($X51&lt;=20,1,0))</formula>
    </cfRule>
    <cfRule type="expression" dxfId="7950" priority="3462">
      <formula>AND(IF($Q51=2,1,0),IF($X51&lt;30,1,0))</formula>
    </cfRule>
    <cfRule type="expression" dxfId="7949" priority="3463">
      <formula>AND(IF($Q51=3,1,0),IF($X51&lt;30,1,0))</formula>
    </cfRule>
    <cfRule type="expression" dxfId="7948" priority="3464">
      <formula>AND(IF($Q51=3,1,IF($Q51=4,1,0)),IF($F51&lt;=85,1,0))</formula>
    </cfRule>
  </conditionalFormatting>
  <conditionalFormatting sqref="AI51">
    <cfRule type="expression" dxfId="7947" priority="3457">
      <formula>AND(IF(OR($Q51=1,$Q51=2),1,0),IF($X51&lt;=20,1,0))</formula>
    </cfRule>
    <cfRule type="expression" dxfId="7946" priority="3458">
      <formula>AND(IF($Q51=2,1,0),IF($X51&lt;30,1,0))</formula>
    </cfRule>
    <cfRule type="expression" dxfId="7945" priority="3459">
      <formula>AND(IF($Q51=3,1,0),IF($X51&lt;30,1,0))</formula>
    </cfRule>
    <cfRule type="expression" dxfId="7944" priority="3460">
      <formula>AND(IF($Q51=3,1,IF($Q51=4,1,0)),IF($F51&lt;=85,1,0))</formula>
    </cfRule>
  </conditionalFormatting>
  <conditionalFormatting sqref="AV52">
    <cfRule type="expression" dxfId="7943" priority="3455">
      <formula>AV52="X"</formula>
    </cfRule>
    <cfRule type="expression" dxfId="7942" priority="3456">
      <formula>AV52="후보"</formula>
    </cfRule>
  </conditionalFormatting>
  <conditionalFormatting sqref="AC52">
    <cfRule type="cellIs" dxfId="7941" priority="3453" operator="greaterThan">
      <formula>0.9</formula>
    </cfRule>
    <cfRule type="cellIs" dxfId="7940" priority="3454" operator="greaterThan">
      <formula>0.85</formula>
    </cfRule>
  </conditionalFormatting>
  <conditionalFormatting sqref="N52">
    <cfRule type="cellIs" dxfId="7939" priority="3451" operator="greaterThan">
      <formula>0.9</formula>
    </cfRule>
    <cfRule type="cellIs" dxfId="7938" priority="3452" operator="greaterThan">
      <formula>0.85</formula>
    </cfRule>
  </conditionalFormatting>
  <conditionalFormatting sqref="E52">
    <cfRule type="expression" dxfId="7937" priority="3447">
      <formula>AND(IF(OR($Q52=1,$Q52=2),1,0),IF($X52&lt;=20,1,0))</formula>
    </cfRule>
    <cfRule type="expression" dxfId="7936" priority="3448">
      <formula>AND(IF($Q52=2,1,0),IF($X52&lt;30,1,0))</formula>
    </cfRule>
    <cfRule type="expression" dxfId="7935" priority="3449">
      <formula>AND(IF($Q52=3,1,0),IF($X52&lt;30,1,0))</formula>
    </cfRule>
    <cfRule type="expression" dxfId="7934" priority="3450">
      <formula>AND(IF($Q52=3,1,IF($Q52=4,1,0)),IF($F52&lt;=85,1,0))</formula>
    </cfRule>
  </conditionalFormatting>
  <conditionalFormatting sqref="X52">
    <cfRule type="expression" dxfId="7933" priority="3443">
      <formula>AND(IF(OR($Q52=1,$Q52=2),1,0),IF($X52&lt;=20,1,0))</formula>
    </cfRule>
    <cfRule type="expression" dxfId="7932" priority="3444">
      <formula>AND(IF($Q52=2,1,0),IF($X52&lt;30,1,0))</formula>
    </cfRule>
    <cfRule type="expression" dxfId="7931" priority="3445">
      <formula>AND(IF($Q52=3,1,0),IF($X52&lt;30,1,0))</formula>
    </cfRule>
    <cfRule type="expression" dxfId="7930" priority="3446">
      <formula>AND(IF($Q52=3,1,IF($Q52=4,1,0)),IF($F52&lt;=85,1,0))</formula>
    </cfRule>
  </conditionalFormatting>
  <conditionalFormatting sqref="AI52">
    <cfRule type="expression" dxfId="7929" priority="3439">
      <formula>AND(IF(OR($Q52=1,$Q52=2),1,0),IF($X52&lt;=20,1,0))</formula>
    </cfRule>
    <cfRule type="expression" dxfId="7928" priority="3440">
      <formula>AND(IF($Q52=2,1,0),IF($X52&lt;30,1,0))</formula>
    </cfRule>
    <cfRule type="expression" dxfId="7927" priority="3441">
      <formula>AND(IF($Q52=3,1,0),IF($X52&lt;30,1,0))</formula>
    </cfRule>
    <cfRule type="expression" dxfId="7926" priority="3442">
      <formula>AND(IF($Q52=3,1,IF($Q52=4,1,0)),IF($F52&lt;=85,1,0))</formula>
    </cfRule>
  </conditionalFormatting>
  <conditionalFormatting sqref="AV53">
    <cfRule type="expression" dxfId="7925" priority="3437">
      <formula>AV53="X"</formula>
    </cfRule>
    <cfRule type="expression" dxfId="7924" priority="3438">
      <formula>AV53="후보"</formula>
    </cfRule>
  </conditionalFormatting>
  <conditionalFormatting sqref="AC53">
    <cfRule type="cellIs" dxfId="7923" priority="3435" operator="greaterThan">
      <formula>0.9</formula>
    </cfRule>
    <cfRule type="cellIs" dxfId="7922" priority="3436" operator="greaterThan">
      <formula>0.85</formula>
    </cfRule>
  </conditionalFormatting>
  <conditionalFormatting sqref="N53">
    <cfRule type="cellIs" dxfId="7921" priority="3433" operator="greaterThan">
      <formula>0.9</formula>
    </cfRule>
    <cfRule type="cellIs" dxfId="7920" priority="3434" operator="greaterThan">
      <formula>0.85</formula>
    </cfRule>
  </conditionalFormatting>
  <conditionalFormatting sqref="E53">
    <cfRule type="expression" dxfId="7919" priority="3429">
      <formula>AND(IF(OR($Q53=1,$Q53=2),1,0),IF($X53&lt;=20,1,0))</formula>
    </cfRule>
    <cfRule type="expression" dxfId="7918" priority="3430">
      <formula>AND(IF($Q53=2,1,0),IF($X53&lt;30,1,0))</formula>
    </cfRule>
    <cfRule type="expression" dxfId="7917" priority="3431">
      <formula>AND(IF($Q53=3,1,0),IF($X53&lt;30,1,0))</formula>
    </cfRule>
    <cfRule type="expression" dxfId="7916" priority="3432">
      <formula>AND(IF($Q53=3,1,IF($Q53=4,1,0)),IF($F53&lt;=85,1,0))</formula>
    </cfRule>
  </conditionalFormatting>
  <conditionalFormatting sqref="X53">
    <cfRule type="expression" dxfId="7915" priority="3425">
      <formula>AND(IF(OR($Q53=1,$Q53=2),1,0),IF($X53&lt;=20,1,0))</formula>
    </cfRule>
    <cfRule type="expression" dxfId="7914" priority="3426">
      <formula>AND(IF($Q53=2,1,0),IF($X53&lt;30,1,0))</formula>
    </cfRule>
    <cfRule type="expression" dxfId="7913" priority="3427">
      <formula>AND(IF($Q53=3,1,0),IF($X53&lt;30,1,0))</formula>
    </cfRule>
    <cfRule type="expression" dxfId="7912" priority="3428">
      <formula>AND(IF($Q53=3,1,IF($Q53=4,1,0)),IF($F53&lt;=85,1,0))</formula>
    </cfRule>
  </conditionalFormatting>
  <conditionalFormatting sqref="AI53">
    <cfRule type="expression" dxfId="7911" priority="3421">
      <formula>AND(IF(OR($Q53=1,$Q53=2),1,0),IF($X53&lt;=20,1,0))</formula>
    </cfRule>
    <cfRule type="expression" dxfId="7910" priority="3422">
      <formula>AND(IF($Q53=2,1,0),IF($X53&lt;30,1,0))</formula>
    </cfRule>
    <cfRule type="expression" dxfId="7909" priority="3423">
      <formula>AND(IF($Q53=3,1,0),IF($X53&lt;30,1,0))</formula>
    </cfRule>
    <cfRule type="expression" dxfId="7908" priority="3424">
      <formula>AND(IF($Q53=3,1,IF($Q53=4,1,0)),IF($F53&lt;=85,1,0))</formula>
    </cfRule>
  </conditionalFormatting>
  <conditionalFormatting sqref="AV54">
    <cfRule type="expression" dxfId="7907" priority="3419">
      <formula>AV54="X"</formula>
    </cfRule>
    <cfRule type="expression" dxfId="7906" priority="3420">
      <formula>AV54="후보"</formula>
    </cfRule>
  </conditionalFormatting>
  <conditionalFormatting sqref="AC54">
    <cfRule type="cellIs" dxfId="7905" priority="3417" operator="greaterThan">
      <formula>0.9</formula>
    </cfRule>
    <cfRule type="cellIs" dxfId="7904" priority="3418" operator="greaterThan">
      <formula>0.85</formula>
    </cfRule>
  </conditionalFormatting>
  <conditionalFormatting sqref="N54">
    <cfRule type="cellIs" dxfId="7903" priority="3415" operator="greaterThan">
      <formula>0.9</formula>
    </cfRule>
    <cfRule type="cellIs" dxfId="7902" priority="3416" operator="greaterThan">
      <formula>0.85</formula>
    </cfRule>
  </conditionalFormatting>
  <conditionalFormatting sqref="E54">
    <cfRule type="expression" dxfId="7901" priority="3411">
      <formula>AND(IF(OR($Q54=1,$Q54=2),1,0),IF($X54&lt;=20,1,0))</formula>
    </cfRule>
    <cfRule type="expression" dxfId="7900" priority="3412">
      <formula>AND(IF($Q54=2,1,0),IF($X54&lt;30,1,0))</formula>
    </cfRule>
    <cfRule type="expression" dxfId="7899" priority="3413">
      <formula>AND(IF($Q54=3,1,0),IF($X54&lt;30,1,0))</formula>
    </cfRule>
    <cfRule type="expression" dxfId="7898" priority="3414">
      <formula>AND(IF($Q54=3,1,IF($Q54=4,1,0)),IF($F54&lt;=85,1,0))</formula>
    </cfRule>
  </conditionalFormatting>
  <conditionalFormatting sqref="X54">
    <cfRule type="expression" dxfId="7897" priority="3407">
      <formula>AND(IF(OR($Q54=1,$Q54=2),1,0),IF($X54&lt;=20,1,0))</formula>
    </cfRule>
    <cfRule type="expression" dxfId="7896" priority="3408">
      <formula>AND(IF($Q54=2,1,0),IF($X54&lt;30,1,0))</formula>
    </cfRule>
    <cfRule type="expression" dxfId="7895" priority="3409">
      <formula>AND(IF($Q54=3,1,0),IF($X54&lt;30,1,0))</formula>
    </cfRule>
    <cfRule type="expression" dxfId="7894" priority="3410">
      <formula>AND(IF($Q54=3,1,IF($Q54=4,1,0)),IF($F54&lt;=85,1,0))</formula>
    </cfRule>
  </conditionalFormatting>
  <conditionalFormatting sqref="AI54">
    <cfRule type="expression" dxfId="7893" priority="3403">
      <formula>AND(IF(OR($Q54=1,$Q54=2),1,0),IF($X54&lt;=20,1,0))</formula>
    </cfRule>
    <cfRule type="expression" dxfId="7892" priority="3404">
      <formula>AND(IF($Q54=2,1,0),IF($X54&lt;30,1,0))</formula>
    </cfRule>
    <cfRule type="expression" dxfId="7891" priority="3405">
      <formula>AND(IF($Q54=3,1,0),IF($X54&lt;30,1,0))</formula>
    </cfRule>
    <cfRule type="expression" dxfId="7890" priority="3406">
      <formula>AND(IF($Q54=3,1,IF($Q54=4,1,0)),IF($F54&lt;=85,1,0))</formula>
    </cfRule>
  </conditionalFormatting>
  <conditionalFormatting sqref="AV55">
    <cfRule type="expression" dxfId="7889" priority="3401">
      <formula>AV55="X"</formula>
    </cfRule>
    <cfRule type="expression" dxfId="7888" priority="3402">
      <formula>AV55="후보"</formula>
    </cfRule>
  </conditionalFormatting>
  <conditionalFormatting sqref="AC55">
    <cfRule type="cellIs" dxfId="7887" priority="3399" operator="greaterThan">
      <formula>0.9</formula>
    </cfRule>
    <cfRule type="cellIs" dxfId="7886" priority="3400" operator="greaterThan">
      <formula>0.85</formula>
    </cfRule>
  </conditionalFormatting>
  <conditionalFormatting sqref="N55">
    <cfRule type="cellIs" dxfId="7885" priority="3397" operator="greaterThan">
      <formula>0.9</formula>
    </cfRule>
    <cfRule type="cellIs" dxfId="7884" priority="3398" operator="greaterThan">
      <formula>0.85</formula>
    </cfRule>
  </conditionalFormatting>
  <conditionalFormatting sqref="E55">
    <cfRule type="expression" dxfId="7883" priority="3393">
      <formula>AND(IF(OR($Q55=1,$Q55=2),1,0),IF($X55&lt;=20,1,0))</formula>
    </cfRule>
    <cfRule type="expression" dxfId="7882" priority="3394">
      <formula>AND(IF($Q55=2,1,0),IF($X55&lt;30,1,0))</formula>
    </cfRule>
    <cfRule type="expression" dxfId="7881" priority="3395">
      <formula>AND(IF($Q55=3,1,0),IF($X55&lt;30,1,0))</formula>
    </cfRule>
    <cfRule type="expression" dxfId="7880" priority="3396">
      <formula>AND(IF($Q55=3,1,IF($Q55=4,1,0)),IF($F55&lt;=85,1,0))</formula>
    </cfRule>
  </conditionalFormatting>
  <conditionalFormatting sqref="X55">
    <cfRule type="expression" dxfId="7879" priority="3389">
      <formula>AND(IF(OR($Q55=1,$Q55=2),1,0),IF($X55&lt;=20,1,0))</formula>
    </cfRule>
    <cfRule type="expression" dxfId="7878" priority="3390">
      <formula>AND(IF($Q55=2,1,0),IF($X55&lt;30,1,0))</formula>
    </cfRule>
    <cfRule type="expression" dxfId="7877" priority="3391">
      <formula>AND(IF($Q55=3,1,0),IF($X55&lt;30,1,0))</formula>
    </cfRule>
    <cfRule type="expression" dxfId="7876" priority="3392">
      <formula>AND(IF($Q55=3,1,IF($Q55=4,1,0)),IF($F55&lt;=85,1,0))</formula>
    </cfRule>
  </conditionalFormatting>
  <conditionalFormatting sqref="AI55">
    <cfRule type="expression" dxfId="7875" priority="3385">
      <formula>AND(IF(OR($Q55=1,$Q55=2),1,0),IF($X55&lt;=20,1,0))</formula>
    </cfRule>
    <cfRule type="expression" dxfId="7874" priority="3386">
      <formula>AND(IF($Q55=2,1,0),IF($X55&lt;30,1,0))</formula>
    </cfRule>
    <cfRule type="expression" dxfId="7873" priority="3387">
      <formula>AND(IF($Q55=3,1,0),IF($X55&lt;30,1,0))</formula>
    </cfRule>
    <cfRule type="expression" dxfId="7872" priority="3388">
      <formula>AND(IF($Q55=3,1,IF($Q55=4,1,0)),IF($F55&lt;=85,1,0))</formula>
    </cfRule>
  </conditionalFormatting>
  <conditionalFormatting sqref="AV56">
    <cfRule type="expression" dxfId="7871" priority="3383">
      <formula>AV56="X"</formula>
    </cfRule>
    <cfRule type="expression" dxfId="7870" priority="3384">
      <formula>AV56="후보"</formula>
    </cfRule>
  </conditionalFormatting>
  <conditionalFormatting sqref="AC56">
    <cfRule type="cellIs" dxfId="7869" priority="3381" operator="greaterThan">
      <formula>0.9</formula>
    </cfRule>
    <cfRule type="cellIs" dxfId="7868" priority="3382" operator="greaterThan">
      <formula>0.85</formula>
    </cfRule>
  </conditionalFormatting>
  <conditionalFormatting sqref="N56">
    <cfRule type="cellIs" dxfId="7867" priority="3379" operator="greaterThan">
      <formula>0.9</formula>
    </cfRule>
    <cfRule type="cellIs" dxfId="7866" priority="3380" operator="greaterThan">
      <formula>0.85</formula>
    </cfRule>
  </conditionalFormatting>
  <conditionalFormatting sqref="E56">
    <cfRule type="expression" dxfId="7865" priority="3375">
      <formula>AND(IF(OR($Q56=1,$Q56=2),1,0),IF($X56&lt;=20,1,0))</formula>
    </cfRule>
    <cfRule type="expression" dxfId="7864" priority="3376">
      <formula>AND(IF($Q56=2,1,0),IF($X56&lt;30,1,0))</formula>
    </cfRule>
    <cfRule type="expression" dxfId="7863" priority="3377">
      <formula>AND(IF($Q56=3,1,0),IF($X56&lt;30,1,0))</formula>
    </cfRule>
    <cfRule type="expression" dxfId="7862" priority="3378">
      <formula>AND(IF($Q56=3,1,IF($Q56=4,1,0)),IF($F56&lt;=85,1,0))</formula>
    </cfRule>
  </conditionalFormatting>
  <conditionalFormatting sqref="X56">
    <cfRule type="expression" dxfId="7861" priority="3371">
      <formula>AND(IF(OR($Q56=1,$Q56=2),1,0),IF($X56&lt;=20,1,0))</formula>
    </cfRule>
    <cfRule type="expression" dxfId="7860" priority="3372">
      <formula>AND(IF($Q56=2,1,0),IF($X56&lt;30,1,0))</formula>
    </cfRule>
    <cfRule type="expression" dxfId="7859" priority="3373">
      <formula>AND(IF($Q56=3,1,0),IF($X56&lt;30,1,0))</formula>
    </cfRule>
    <cfRule type="expression" dxfId="7858" priority="3374">
      <formula>AND(IF($Q56=3,1,IF($Q56=4,1,0)),IF($F56&lt;=85,1,0))</formula>
    </cfRule>
  </conditionalFormatting>
  <conditionalFormatting sqref="AI56">
    <cfRule type="expression" dxfId="7857" priority="3367">
      <formula>AND(IF(OR($Q56=1,$Q56=2),1,0),IF($X56&lt;=20,1,0))</formula>
    </cfRule>
    <cfRule type="expression" dxfId="7856" priority="3368">
      <formula>AND(IF($Q56=2,1,0),IF($X56&lt;30,1,0))</formula>
    </cfRule>
    <cfRule type="expression" dxfId="7855" priority="3369">
      <formula>AND(IF($Q56=3,1,0),IF($X56&lt;30,1,0))</formula>
    </cfRule>
    <cfRule type="expression" dxfId="7854" priority="3370">
      <formula>AND(IF($Q56=3,1,IF($Q56=4,1,0)),IF($F56&lt;=85,1,0))</formula>
    </cfRule>
  </conditionalFormatting>
  <conditionalFormatting sqref="AV57">
    <cfRule type="expression" dxfId="7853" priority="3365">
      <formula>AV57="X"</formula>
    </cfRule>
    <cfRule type="expression" dxfId="7852" priority="3366">
      <formula>AV57="후보"</formula>
    </cfRule>
  </conditionalFormatting>
  <conditionalFormatting sqref="AC57">
    <cfRule type="cellIs" dxfId="7851" priority="3363" operator="greaterThan">
      <formula>0.9</formula>
    </cfRule>
    <cfRule type="cellIs" dxfId="7850" priority="3364" operator="greaterThan">
      <formula>0.85</formula>
    </cfRule>
  </conditionalFormatting>
  <conditionalFormatting sqref="N57">
    <cfRule type="cellIs" dxfId="7849" priority="3361" operator="greaterThan">
      <formula>0.9</formula>
    </cfRule>
    <cfRule type="cellIs" dxfId="7848" priority="3362" operator="greaterThan">
      <formula>0.85</formula>
    </cfRule>
  </conditionalFormatting>
  <conditionalFormatting sqref="E57">
    <cfRule type="expression" dxfId="7847" priority="3357">
      <formula>AND(IF(OR($Q57=1,$Q57=2),1,0),IF($X57&lt;=20,1,0))</formula>
    </cfRule>
    <cfRule type="expression" dxfId="7846" priority="3358">
      <formula>AND(IF($Q57=2,1,0),IF($X57&lt;30,1,0))</formula>
    </cfRule>
    <cfRule type="expression" dxfId="7845" priority="3359">
      <formula>AND(IF($Q57=3,1,0),IF($X57&lt;30,1,0))</formula>
    </cfRule>
    <cfRule type="expression" dxfId="7844" priority="3360">
      <formula>AND(IF($Q57=3,1,IF($Q57=4,1,0)),IF($F57&lt;=85,1,0))</formula>
    </cfRule>
  </conditionalFormatting>
  <conditionalFormatting sqref="X57">
    <cfRule type="expression" dxfId="7843" priority="3353">
      <formula>AND(IF(OR($Q57=1,$Q57=2),1,0),IF($X57&lt;=20,1,0))</formula>
    </cfRule>
    <cfRule type="expression" dxfId="7842" priority="3354">
      <formula>AND(IF($Q57=2,1,0),IF($X57&lt;30,1,0))</formula>
    </cfRule>
    <cfRule type="expression" dxfId="7841" priority="3355">
      <formula>AND(IF($Q57=3,1,0),IF($X57&lt;30,1,0))</formula>
    </cfRule>
    <cfRule type="expression" dxfId="7840" priority="3356">
      <formula>AND(IF($Q57=3,1,IF($Q57=4,1,0)),IF($F57&lt;=85,1,0))</formula>
    </cfRule>
  </conditionalFormatting>
  <conditionalFormatting sqref="AI57">
    <cfRule type="expression" dxfId="7839" priority="3349">
      <formula>AND(IF(OR($Q57=1,$Q57=2),1,0),IF($X57&lt;=20,1,0))</formula>
    </cfRule>
    <cfRule type="expression" dxfId="7838" priority="3350">
      <formula>AND(IF($Q57=2,1,0),IF($X57&lt;30,1,0))</formula>
    </cfRule>
    <cfRule type="expression" dxfId="7837" priority="3351">
      <formula>AND(IF($Q57=3,1,0),IF($X57&lt;30,1,0))</formula>
    </cfRule>
    <cfRule type="expression" dxfId="7836" priority="3352">
      <formula>AND(IF($Q57=3,1,IF($Q57=4,1,0)),IF($F57&lt;=85,1,0))</formula>
    </cfRule>
  </conditionalFormatting>
  <conditionalFormatting sqref="AV58">
    <cfRule type="expression" dxfId="7835" priority="3347">
      <formula>AV58="X"</formula>
    </cfRule>
    <cfRule type="expression" dxfId="7834" priority="3348">
      <formula>AV58="후보"</formula>
    </cfRule>
  </conditionalFormatting>
  <conditionalFormatting sqref="AC58">
    <cfRule type="cellIs" dxfId="7833" priority="3345" operator="greaterThan">
      <formula>0.9</formula>
    </cfRule>
    <cfRule type="cellIs" dxfId="7832" priority="3346" operator="greaterThan">
      <formula>0.85</formula>
    </cfRule>
  </conditionalFormatting>
  <conditionalFormatting sqref="N58">
    <cfRule type="cellIs" dxfId="7831" priority="3343" operator="greaterThan">
      <formula>0.9</formula>
    </cfRule>
    <cfRule type="cellIs" dxfId="7830" priority="3344" operator="greaterThan">
      <formula>0.85</formula>
    </cfRule>
  </conditionalFormatting>
  <conditionalFormatting sqref="E58">
    <cfRule type="expression" dxfId="7829" priority="3339">
      <formula>AND(IF(OR($Q58=1,$Q58=2),1,0),IF($X58&lt;=20,1,0))</formula>
    </cfRule>
    <cfRule type="expression" dxfId="7828" priority="3340">
      <formula>AND(IF($Q58=2,1,0),IF($X58&lt;30,1,0))</formula>
    </cfRule>
    <cfRule type="expression" dxfId="7827" priority="3341">
      <formula>AND(IF($Q58=3,1,0),IF($X58&lt;30,1,0))</formula>
    </cfRule>
    <cfRule type="expression" dxfId="7826" priority="3342">
      <formula>AND(IF($Q58=3,1,IF($Q58=4,1,0)),IF($F58&lt;=85,1,0))</formula>
    </cfRule>
  </conditionalFormatting>
  <conditionalFormatting sqref="X58">
    <cfRule type="expression" dxfId="7825" priority="3335">
      <formula>AND(IF(OR($Q58=1,$Q58=2),1,0),IF($X58&lt;=20,1,0))</formula>
    </cfRule>
    <cfRule type="expression" dxfId="7824" priority="3336">
      <formula>AND(IF($Q58=2,1,0),IF($X58&lt;30,1,0))</formula>
    </cfRule>
    <cfRule type="expression" dxfId="7823" priority="3337">
      <formula>AND(IF($Q58=3,1,0),IF($X58&lt;30,1,0))</formula>
    </cfRule>
    <cfRule type="expression" dxfId="7822" priority="3338">
      <formula>AND(IF($Q58=3,1,IF($Q58=4,1,0)),IF($F58&lt;=85,1,0))</formula>
    </cfRule>
  </conditionalFormatting>
  <conditionalFormatting sqref="AI58">
    <cfRule type="expression" dxfId="7821" priority="3331">
      <formula>AND(IF(OR($Q58=1,$Q58=2),1,0),IF($X58&lt;=20,1,0))</formula>
    </cfRule>
    <cfRule type="expression" dxfId="7820" priority="3332">
      <formula>AND(IF($Q58=2,1,0),IF($X58&lt;30,1,0))</formula>
    </cfRule>
    <cfRule type="expression" dxfId="7819" priority="3333">
      <formula>AND(IF($Q58=3,1,0),IF($X58&lt;30,1,0))</formula>
    </cfRule>
    <cfRule type="expression" dxfId="7818" priority="3334">
      <formula>AND(IF($Q58=3,1,IF($Q58=4,1,0)),IF($F58&lt;=85,1,0))</formula>
    </cfRule>
  </conditionalFormatting>
  <conditionalFormatting sqref="AV59">
    <cfRule type="expression" dxfId="7817" priority="3329">
      <formula>AV59="X"</formula>
    </cfRule>
    <cfRule type="expression" dxfId="7816" priority="3330">
      <formula>AV59="후보"</formula>
    </cfRule>
  </conditionalFormatting>
  <conditionalFormatting sqref="AC59">
    <cfRule type="cellIs" dxfId="7815" priority="3327" operator="greaterThan">
      <formula>0.9</formula>
    </cfRule>
    <cfRule type="cellIs" dxfId="7814" priority="3328" operator="greaterThan">
      <formula>0.85</formula>
    </cfRule>
  </conditionalFormatting>
  <conditionalFormatting sqref="N59">
    <cfRule type="cellIs" dxfId="7813" priority="3325" operator="greaterThan">
      <formula>0.9</formula>
    </cfRule>
    <cfRule type="cellIs" dxfId="7812" priority="3326" operator="greaterThan">
      <formula>0.85</formula>
    </cfRule>
  </conditionalFormatting>
  <conditionalFormatting sqref="E59">
    <cfRule type="expression" dxfId="7811" priority="3321">
      <formula>AND(IF(OR($Q59=1,$Q59=2),1,0),IF($X59&lt;=20,1,0))</formula>
    </cfRule>
    <cfRule type="expression" dxfId="7810" priority="3322">
      <formula>AND(IF($Q59=2,1,0),IF($X59&lt;30,1,0))</formula>
    </cfRule>
    <cfRule type="expression" dxfId="7809" priority="3323">
      <formula>AND(IF($Q59=3,1,0),IF($X59&lt;30,1,0))</formula>
    </cfRule>
    <cfRule type="expression" dxfId="7808" priority="3324">
      <formula>AND(IF($Q59=3,1,IF($Q59=4,1,0)),IF($F59&lt;=85,1,0))</formula>
    </cfRule>
  </conditionalFormatting>
  <conditionalFormatting sqref="X59">
    <cfRule type="expression" dxfId="7807" priority="3317">
      <formula>AND(IF(OR($Q59=1,$Q59=2),1,0),IF($X59&lt;=20,1,0))</formula>
    </cfRule>
    <cfRule type="expression" dxfId="7806" priority="3318">
      <formula>AND(IF($Q59=2,1,0),IF($X59&lt;30,1,0))</formula>
    </cfRule>
    <cfRule type="expression" dxfId="7805" priority="3319">
      <formula>AND(IF($Q59=3,1,0),IF($X59&lt;30,1,0))</formula>
    </cfRule>
    <cfRule type="expression" dxfId="7804" priority="3320">
      <formula>AND(IF($Q59=3,1,IF($Q59=4,1,0)),IF($F59&lt;=85,1,0))</formula>
    </cfRule>
  </conditionalFormatting>
  <conditionalFormatting sqref="AI59">
    <cfRule type="expression" dxfId="7803" priority="3313">
      <formula>AND(IF(OR($Q59=1,$Q59=2),1,0),IF($X59&lt;=20,1,0))</formula>
    </cfRule>
    <cfRule type="expression" dxfId="7802" priority="3314">
      <formula>AND(IF($Q59=2,1,0),IF($X59&lt;30,1,0))</formula>
    </cfRule>
    <cfRule type="expression" dxfId="7801" priority="3315">
      <formula>AND(IF($Q59=3,1,0),IF($X59&lt;30,1,0))</formula>
    </cfRule>
    <cfRule type="expression" dxfId="7800" priority="3316">
      <formula>AND(IF($Q59=3,1,IF($Q59=4,1,0)),IF($F59&lt;=85,1,0))</formula>
    </cfRule>
  </conditionalFormatting>
  <conditionalFormatting sqref="AV60">
    <cfRule type="expression" dxfId="7799" priority="3311">
      <formula>AV60="X"</formula>
    </cfRule>
    <cfRule type="expression" dxfId="7798" priority="3312">
      <formula>AV60="후보"</formula>
    </cfRule>
  </conditionalFormatting>
  <conditionalFormatting sqref="AC60">
    <cfRule type="cellIs" dxfId="7797" priority="3309" operator="greaterThan">
      <formula>0.9</formula>
    </cfRule>
    <cfRule type="cellIs" dxfId="7796" priority="3310" operator="greaterThan">
      <formula>0.85</formula>
    </cfRule>
  </conditionalFormatting>
  <conditionalFormatting sqref="N60">
    <cfRule type="cellIs" dxfId="7795" priority="3307" operator="greaterThan">
      <formula>0.9</formula>
    </cfRule>
    <cfRule type="cellIs" dxfId="7794" priority="3308" operator="greaterThan">
      <formula>0.85</formula>
    </cfRule>
  </conditionalFormatting>
  <conditionalFormatting sqref="E60">
    <cfRule type="expression" dxfId="7793" priority="3303">
      <formula>AND(IF(OR($Q60=1,$Q60=2),1,0),IF($X60&lt;=20,1,0))</formula>
    </cfRule>
    <cfRule type="expression" dxfId="7792" priority="3304">
      <formula>AND(IF($Q60=2,1,0),IF($X60&lt;30,1,0))</formula>
    </cfRule>
    <cfRule type="expression" dxfId="7791" priority="3305">
      <formula>AND(IF($Q60=3,1,0),IF($X60&lt;30,1,0))</formula>
    </cfRule>
    <cfRule type="expression" dxfId="7790" priority="3306">
      <formula>AND(IF($Q60=3,1,IF($Q60=4,1,0)),IF($F60&lt;=85,1,0))</formula>
    </cfRule>
  </conditionalFormatting>
  <conditionalFormatting sqref="X60">
    <cfRule type="expression" dxfId="7789" priority="3299">
      <formula>AND(IF(OR($Q60=1,$Q60=2),1,0),IF($X60&lt;=20,1,0))</formula>
    </cfRule>
    <cfRule type="expression" dxfId="7788" priority="3300">
      <formula>AND(IF($Q60=2,1,0),IF($X60&lt;30,1,0))</formula>
    </cfRule>
    <cfRule type="expression" dxfId="7787" priority="3301">
      <formula>AND(IF($Q60=3,1,0),IF($X60&lt;30,1,0))</formula>
    </cfRule>
    <cfRule type="expression" dxfId="7786" priority="3302">
      <formula>AND(IF($Q60=3,1,IF($Q60=4,1,0)),IF($F60&lt;=85,1,0))</formula>
    </cfRule>
  </conditionalFormatting>
  <conditionalFormatting sqref="AI60">
    <cfRule type="expression" dxfId="7785" priority="3295">
      <formula>AND(IF(OR($Q60=1,$Q60=2),1,0),IF($X60&lt;=20,1,0))</formula>
    </cfRule>
    <cfRule type="expression" dxfId="7784" priority="3296">
      <formula>AND(IF($Q60=2,1,0),IF($X60&lt;30,1,0))</formula>
    </cfRule>
    <cfRule type="expression" dxfId="7783" priority="3297">
      <formula>AND(IF($Q60=3,1,0),IF($X60&lt;30,1,0))</formula>
    </cfRule>
    <cfRule type="expression" dxfId="7782" priority="3298">
      <formula>AND(IF($Q60=3,1,IF($Q60=4,1,0)),IF($F60&lt;=85,1,0))</formula>
    </cfRule>
  </conditionalFormatting>
  <conditionalFormatting sqref="AV61">
    <cfRule type="expression" dxfId="7781" priority="3293">
      <formula>AV61="X"</formula>
    </cfRule>
    <cfRule type="expression" dxfId="7780" priority="3294">
      <formula>AV61="후보"</formula>
    </cfRule>
  </conditionalFormatting>
  <conditionalFormatting sqref="AC61">
    <cfRule type="cellIs" dxfId="7779" priority="3291" operator="greaterThan">
      <formula>0.9</formula>
    </cfRule>
    <cfRule type="cellIs" dxfId="7778" priority="3292" operator="greaterThan">
      <formula>0.85</formula>
    </cfRule>
  </conditionalFormatting>
  <conditionalFormatting sqref="N61">
    <cfRule type="cellIs" dxfId="7777" priority="3289" operator="greaterThan">
      <formula>0.9</formula>
    </cfRule>
    <cfRule type="cellIs" dxfId="7776" priority="3290" operator="greaterThan">
      <formula>0.85</formula>
    </cfRule>
  </conditionalFormatting>
  <conditionalFormatting sqref="E61">
    <cfRule type="expression" dxfId="7775" priority="3285">
      <formula>AND(IF(OR($Q61=1,$Q61=2),1,0),IF($X61&lt;=20,1,0))</formula>
    </cfRule>
    <cfRule type="expression" dxfId="7774" priority="3286">
      <formula>AND(IF($Q61=2,1,0),IF($X61&lt;30,1,0))</formula>
    </cfRule>
    <cfRule type="expression" dxfId="7773" priority="3287">
      <formula>AND(IF($Q61=3,1,0),IF($X61&lt;30,1,0))</formula>
    </cfRule>
    <cfRule type="expression" dxfId="7772" priority="3288">
      <formula>AND(IF($Q61=3,1,IF($Q61=4,1,0)),IF($F61&lt;=85,1,0))</formula>
    </cfRule>
  </conditionalFormatting>
  <conditionalFormatting sqref="X61">
    <cfRule type="expression" dxfId="7771" priority="3281">
      <formula>AND(IF(OR($Q61=1,$Q61=2),1,0),IF($X61&lt;=20,1,0))</formula>
    </cfRule>
    <cfRule type="expression" dxfId="7770" priority="3282">
      <formula>AND(IF($Q61=2,1,0),IF($X61&lt;30,1,0))</formula>
    </cfRule>
    <cfRule type="expression" dxfId="7769" priority="3283">
      <formula>AND(IF($Q61=3,1,0),IF($X61&lt;30,1,0))</formula>
    </cfRule>
    <cfRule type="expression" dxfId="7768" priority="3284">
      <formula>AND(IF($Q61=3,1,IF($Q61=4,1,0)),IF($F61&lt;=85,1,0))</formula>
    </cfRule>
  </conditionalFormatting>
  <conditionalFormatting sqref="AI61">
    <cfRule type="expression" dxfId="7767" priority="3277">
      <formula>AND(IF(OR($Q61=1,$Q61=2),1,0),IF($X61&lt;=20,1,0))</formula>
    </cfRule>
    <cfRule type="expression" dxfId="7766" priority="3278">
      <formula>AND(IF($Q61=2,1,0),IF($X61&lt;30,1,0))</formula>
    </cfRule>
    <cfRule type="expression" dxfId="7765" priority="3279">
      <formula>AND(IF($Q61=3,1,0),IF($X61&lt;30,1,0))</formula>
    </cfRule>
    <cfRule type="expression" dxfId="7764" priority="3280">
      <formula>AND(IF($Q61=3,1,IF($Q61=4,1,0)),IF($F61&lt;=85,1,0))</formula>
    </cfRule>
  </conditionalFormatting>
  <conditionalFormatting sqref="AV62">
    <cfRule type="expression" dxfId="7763" priority="3275">
      <formula>AV62="X"</formula>
    </cfRule>
    <cfRule type="expression" dxfId="7762" priority="3276">
      <formula>AV62="후보"</formula>
    </cfRule>
  </conditionalFormatting>
  <conditionalFormatting sqref="AC62">
    <cfRule type="cellIs" dxfId="7761" priority="3273" operator="greaterThan">
      <formula>0.9</formula>
    </cfRule>
    <cfRule type="cellIs" dxfId="7760" priority="3274" operator="greaterThan">
      <formula>0.85</formula>
    </cfRule>
  </conditionalFormatting>
  <conditionalFormatting sqref="N62">
    <cfRule type="cellIs" dxfId="7759" priority="3271" operator="greaterThan">
      <formula>0.9</formula>
    </cfRule>
    <cfRule type="cellIs" dxfId="7758" priority="3272" operator="greaterThan">
      <formula>0.85</formula>
    </cfRule>
  </conditionalFormatting>
  <conditionalFormatting sqref="E62">
    <cfRule type="expression" dxfId="7757" priority="3267">
      <formula>AND(IF(OR($Q62=1,$Q62=2),1,0),IF($X62&lt;=20,1,0))</formula>
    </cfRule>
    <cfRule type="expression" dxfId="7756" priority="3268">
      <formula>AND(IF($Q62=2,1,0),IF($X62&lt;30,1,0))</formula>
    </cfRule>
    <cfRule type="expression" dxfId="7755" priority="3269">
      <formula>AND(IF($Q62=3,1,0),IF($X62&lt;30,1,0))</formula>
    </cfRule>
    <cfRule type="expression" dxfId="7754" priority="3270">
      <formula>AND(IF($Q62=3,1,IF($Q62=4,1,0)),IF($F62&lt;=85,1,0))</formula>
    </cfRule>
  </conditionalFormatting>
  <conditionalFormatting sqref="X62">
    <cfRule type="expression" dxfId="7753" priority="3263">
      <formula>AND(IF(OR($Q62=1,$Q62=2),1,0),IF($X62&lt;=20,1,0))</formula>
    </cfRule>
    <cfRule type="expression" dxfId="7752" priority="3264">
      <formula>AND(IF($Q62=2,1,0),IF($X62&lt;30,1,0))</formula>
    </cfRule>
    <cfRule type="expression" dxfId="7751" priority="3265">
      <formula>AND(IF($Q62=3,1,0),IF($X62&lt;30,1,0))</formula>
    </cfRule>
    <cfRule type="expression" dxfId="7750" priority="3266">
      <formula>AND(IF($Q62=3,1,IF($Q62=4,1,0)),IF($F62&lt;=85,1,0))</formula>
    </cfRule>
  </conditionalFormatting>
  <conditionalFormatting sqref="AI62">
    <cfRule type="expression" dxfId="7749" priority="3259">
      <formula>AND(IF(OR($Q62=1,$Q62=2),1,0),IF($X62&lt;=20,1,0))</formula>
    </cfRule>
    <cfRule type="expression" dxfId="7748" priority="3260">
      <formula>AND(IF($Q62=2,1,0),IF($X62&lt;30,1,0))</formula>
    </cfRule>
    <cfRule type="expression" dxfId="7747" priority="3261">
      <formula>AND(IF($Q62=3,1,0),IF($X62&lt;30,1,0))</formula>
    </cfRule>
    <cfRule type="expression" dxfId="7746" priority="3262">
      <formula>AND(IF($Q62=3,1,IF($Q62=4,1,0)),IF($F62&lt;=85,1,0))</formula>
    </cfRule>
  </conditionalFormatting>
  <conditionalFormatting sqref="AV63">
    <cfRule type="expression" dxfId="7745" priority="3257">
      <formula>AV63="X"</formula>
    </cfRule>
    <cfRule type="expression" dxfId="7744" priority="3258">
      <formula>AV63="후보"</formula>
    </cfRule>
  </conditionalFormatting>
  <conditionalFormatting sqref="AC63">
    <cfRule type="cellIs" dxfId="7743" priority="3255" operator="greaterThan">
      <formula>0.9</formula>
    </cfRule>
    <cfRule type="cellIs" dxfId="7742" priority="3256" operator="greaterThan">
      <formula>0.85</formula>
    </cfRule>
  </conditionalFormatting>
  <conditionalFormatting sqref="N63">
    <cfRule type="cellIs" dxfId="7741" priority="3253" operator="greaterThan">
      <formula>0.9</formula>
    </cfRule>
    <cfRule type="cellIs" dxfId="7740" priority="3254" operator="greaterThan">
      <formula>0.85</formula>
    </cfRule>
  </conditionalFormatting>
  <conditionalFormatting sqref="E63">
    <cfRule type="expression" dxfId="7739" priority="3249">
      <formula>AND(IF(OR($Q63=1,$Q63=2),1,0),IF($X63&lt;=20,1,0))</formula>
    </cfRule>
    <cfRule type="expression" dxfId="7738" priority="3250">
      <formula>AND(IF($Q63=2,1,0),IF($X63&lt;30,1,0))</formula>
    </cfRule>
    <cfRule type="expression" dxfId="7737" priority="3251">
      <formula>AND(IF($Q63=3,1,0),IF($X63&lt;30,1,0))</formula>
    </cfRule>
    <cfRule type="expression" dxfId="7736" priority="3252">
      <formula>AND(IF($Q63=3,1,IF($Q63=4,1,0)),IF($F63&lt;=85,1,0))</formula>
    </cfRule>
  </conditionalFormatting>
  <conditionalFormatting sqref="X63">
    <cfRule type="expression" dxfId="7735" priority="3245">
      <formula>AND(IF(OR($Q63=1,$Q63=2),1,0),IF($X63&lt;=20,1,0))</formula>
    </cfRule>
    <cfRule type="expression" dxfId="7734" priority="3246">
      <formula>AND(IF($Q63=2,1,0),IF($X63&lt;30,1,0))</formula>
    </cfRule>
    <cfRule type="expression" dxfId="7733" priority="3247">
      <formula>AND(IF($Q63=3,1,0),IF($X63&lt;30,1,0))</formula>
    </cfRule>
    <cfRule type="expression" dxfId="7732" priority="3248">
      <formula>AND(IF($Q63=3,1,IF($Q63=4,1,0)),IF($F63&lt;=85,1,0))</formula>
    </cfRule>
  </conditionalFormatting>
  <conditionalFormatting sqref="AI63">
    <cfRule type="expression" dxfId="7731" priority="3241">
      <formula>AND(IF(OR($Q63=1,$Q63=2),1,0),IF($X63&lt;=20,1,0))</formula>
    </cfRule>
    <cfRule type="expression" dxfId="7730" priority="3242">
      <formula>AND(IF($Q63=2,1,0),IF($X63&lt;30,1,0))</formula>
    </cfRule>
    <cfRule type="expression" dxfId="7729" priority="3243">
      <formula>AND(IF($Q63=3,1,0),IF($X63&lt;30,1,0))</formula>
    </cfRule>
    <cfRule type="expression" dxfId="7728" priority="3244">
      <formula>AND(IF($Q63=3,1,IF($Q63=4,1,0)),IF($F63&lt;=85,1,0))</formula>
    </cfRule>
  </conditionalFormatting>
  <conditionalFormatting sqref="AV64">
    <cfRule type="expression" dxfId="7727" priority="3239">
      <formula>AV64="X"</formula>
    </cfRule>
    <cfRule type="expression" dxfId="7726" priority="3240">
      <formula>AV64="후보"</formula>
    </cfRule>
  </conditionalFormatting>
  <conditionalFormatting sqref="AC64">
    <cfRule type="cellIs" dxfId="7725" priority="3237" operator="greaterThan">
      <formula>0.9</formula>
    </cfRule>
    <cfRule type="cellIs" dxfId="7724" priority="3238" operator="greaterThan">
      <formula>0.85</formula>
    </cfRule>
  </conditionalFormatting>
  <conditionalFormatting sqref="N64">
    <cfRule type="cellIs" dxfId="7723" priority="3235" operator="greaterThan">
      <formula>0.9</formula>
    </cfRule>
    <cfRule type="cellIs" dxfId="7722" priority="3236" operator="greaterThan">
      <formula>0.85</formula>
    </cfRule>
  </conditionalFormatting>
  <conditionalFormatting sqref="E64">
    <cfRule type="expression" dxfId="7721" priority="3231">
      <formula>AND(IF(OR($Q64=1,$Q64=2),1,0),IF($X64&lt;=20,1,0))</formula>
    </cfRule>
    <cfRule type="expression" dxfId="7720" priority="3232">
      <formula>AND(IF($Q64=2,1,0),IF($X64&lt;30,1,0))</formula>
    </cfRule>
    <cfRule type="expression" dxfId="7719" priority="3233">
      <formula>AND(IF($Q64=3,1,0),IF($X64&lt;30,1,0))</formula>
    </cfRule>
    <cfRule type="expression" dxfId="7718" priority="3234">
      <formula>AND(IF($Q64=3,1,IF($Q64=4,1,0)),IF($F64&lt;=85,1,0))</formula>
    </cfRule>
  </conditionalFormatting>
  <conditionalFormatting sqref="X64">
    <cfRule type="expression" dxfId="7717" priority="3227">
      <formula>AND(IF(OR($Q64=1,$Q64=2),1,0),IF($X64&lt;=20,1,0))</formula>
    </cfRule>
    <cfRule type="expression" dxfId="7716" priority="3228">
      <formula>AND(IF($Q64=2,1,0),IF($X64&lt;30,1,0))</formula>
    </cfRule>
    <cfRule type="expression" dxfId="7715" priority="3229">
      <formula>AND(IF($Q64=3,1,0),IF($X64&lt;30,1,0))</formula>
    </cfRule>
    <cfRule type="expression" dxfId="7714" priority="3230">
      <formula>AND(IF($Q64=3,1,IF($Q64=4,1,0)),IF($F64&lt;=85,1,0))</formula>
    </cfRule>
  </conditionalFormatting>
  <conditionalFormatting sqref="AI64">
    <cfRule type="expression" dxfId="7713" priority="3223">
      <formula>AND(IF(OR($Q64=1,$Q64=2),1,0),IF($X64&lt;=20,1,0))</formula>
    </cfRule>
    <cfRule type="expression" dxfId="7712" priority="3224">
      <formula>AND(IF($Q64=2,1,0),IF($X64&lt;30,1,0))</formula>
    </cfRule>
    <cfRule type="expression" dxfId="7711" priority="3225">
      <formula>AND(IF($Q64=3,1,0),IF($X64&lt;30,1,0))</formula>
    </cfRule>
    <cfRule type="expression" dxfId="7710" priority="3226">
      <formula>AND(IF($Q64=3,1,IF($Q64=4,1,0)),IF($F64&lt;=85,1,0))</formula>
    </cfRule>
  </conditionalFormatting>
  <conditionalFormatting sqref="AV65">
    <cfRule type="expression" dxfId="7709" priority="3221">
      <formula>AV65="X"</formula>
    </cfRule>
    <cfRule type="expression" dxfId="7708" priority="3222">
      <formula>AV65="후보"</formula>
    </cfRule>
  </conditionalFormatting>
  <conditionalFormatting sqref="AC65">
    <cfRule type="cellIs" dxfId="7707" priority="3219" operator="greaterThan">
      <formula>0.9</formula>
    </cfRule>
    <cfRule type="cellIs" dxfId="7706" priority="3220" operator="greaterThan">
      <formula>0.85</formula>
    </cfRule>
  </conditionalFormatting>
  <conditionalFormatting sqref="N65">
    <cfRule type="cellIs" dxfId="7705" priority="3217" operator="greaterThan">
      <formula>0.9</formula>
    </cfRule>
    <cfRule type="cellIs" dxfId="7704" priority="3218" operator="greaterThan">
      <formula>0.85</formula>
    </cfRule>
  </conditionalFormatting>
  <conditionalFormatting sqref="E65">
    <cfRule type="expression" dxfId="7703" priority="3213">
      <formula>AND(IF(OR($Q65=1,$Q65=2),1,0),IF($X65&lt;=20,1,0))</formula>
    </cfRule>
    <cfRule type="expression" dxfId="7702" priority="3214">
      <formula>AND(IF($Q65=2,1,0),IF($X65&lt;30,1,0))</formula>
    </cfRule>
    <cfRule type="expression" dxfId="7701" priority="3215">
      <formula>AND(IF($Q65=3,1,0),IF($X65&lt;30,1,0))</formula>
    </cfRule>
    <cfRule type="expression" dxfId="7700" priority="3216">
      <formula>AND(IF($Q65=3,1,IF($Q65=4,1,0)),IF($F65&lt;=85,1,0))</formula>
    </cfRule>
  </conditionalFormatting>
  <conditionalFormatting sqref="X65">
    <cfRule type="expression" dxfId="7699" priority="3209">
      <formula>AND(IF(OR($Q65=1,$Q65=2),1,0),IF($X65&lt;=20,1,0))</formula>
    </cfRule>
    <cfRule type="expression" dxfId="7698" priority="3210">
      <formula>AND(IF($Q65=2,1,0),IF($X65&lt;30,1,0))</formula>
    </cfRule>
    <cfRule type="expression" dxfId="7697" priority="3211">
      <formula>AND(IF($Q65=3,1,0),IF($X65&lt;30,1,0))</formula>
    </cfRule>
    <cfRule type="expression" dxfId="7696" priority="3212">
      <formula>AND(IF($Q65=3,1,IF($Q65=4,1,0)),IF($F65&lt;=85,1,0))</formula>
    </cfRule>
  </conditionalFormatting>
  <conditionalFormatting sqref="AI65">
    <cfRule type="expression" dxfId="7695" priority="3205">
      <formula>AND(IF(OR($Q65=1,$Q65=2),1,0),IF($X65&lt;=20,1,0))</formula>
    </cfRule>
    <cfRule type="expression" dxfId="7694" priority="3206">
      <formula>AND(IF($Q65=2,1,0),IF($X65&lt;30,1,0))</formula>
    </cfRule>
    <cfRule type="expression" dxfId="7693" priority="3207">
      <formula>AND(IF($Q65=3,1,0),IF($X65&lt;30,1,0))</formula>
    </cfRule>
    <cfRule type="expression" dxfId="7692" priority="3208">
      <formula>AND(IF($Q65=3,1,IF($Q65=4,1,0)),IF($F65&lt;=85,1,0))</formula>
    </cfRule>
  </conditionalFormatting>
  <conditionalFormatting sqref="AV66">
    <cfRule type="expression" dxfId="7691" priority="3203">
      <formula>AV66="X"</formula>
    </cfRule>
    <cfRule type="expression" dxfId="7690" priority="3204">
      <formula>AV66="후보"</formula>
    </cfRule>
  </conditionalFormatting>
  <conditionalFormatting sqref="AC66">
    <cfRule type="cellIs" dxfId="7689" priority="3201" operator="greaterThan">
      <formula>0.9</formula>
    </cfRule>
    <cfRule type="cellIs" dxfId="7688" priority="3202" operator="greaterThan">
      <formula>0.85</formula>
    </cfRule>
  </conditionalFormatting>
  <conditionalFormatting sqref="N66">
    <cfRule type="cellIs" dxfId="7687" priority="3199" operator="greaterThan">
      <formula>0.9</formula>
    </cfRule>
    <cfRule type="cellIs" dxfId="7686" priority="3200" operator="greaterThan">
      <formula>0.85</formula>
    </cfRule>
  </conditionalFormatting>
  <conditionalFormatting sqref="E66">
    <cfRule type="expression" dxfId="7685" priority="3195">
      <formula>AND(IF(OR($Q66=1,$Q66=2),1,0),IF($X66&lt;=20,1,0))</formula>
    </cfRule>
    <cfRule type="expression" dxfId="7684" priority="3196">
      <formula>AND(IF($Q66=2,1,0),IF($X66&lt;30,1,0))</formula>
    </cfRule>
    <cfRule type="expression" dxfId="7683" priority="3197">
      <formula>AND(IF($Q66=3,1,0),IF($X66&lt;30,1,0))</formula>
    </cfRule>
    <cfRule type="expression" dxfId="7682" priority="3198">
      <formula>AND(IF($Q66=3,1,IF($Q66=4,1,0)),IF($F66&lt;=85,1,0))</formula>
    </cfRule>
  </conditionalFormatting>
  <conditionalFormatting sqref="X66">
    <cfRule type="expression" dxfId="7681" priority="3191">
      <formula>AND(IF(OR($Q66=1,$Q66=2),1,0),IF($X66&lt;=20,1,0))</formula>
    </cfRule>
    <cfRule type="expression" dxfId="7680" priority="3192">
      <formula>AND(IF($Q66=2,1,0),IF($X66&lt;30,1,0))</formula>
    </cfRule>
    <cfRule type="expression" dxfId="7679" priority="3193">
      <formula>AND(IF($Q66=3,1,0),IF($X66&lt;30,1,0))</formula>
    </cfRule>
    <cfRule type="expression" dxfId="7678" priority="3194">
      <formula>AND(IF($Q66=3,1,IF($Q66=4,1,0)),IF($F66&lt;=85,1,0))</formula>
    </cfRule>
  </conditionalFormatting>
  <conditionalFormatting sqref="AI66">
    <cfRule type="expression" dxfId="7677" priority="3187">
      <formula>AND(IF(OR($Q66=1,$Q66=2),1,0),IF($X66&lt;=20,1,0))</formula>
    </cfRule>
    <cfRule type="expression" dxfId="7676" priority="3188">
      <formula>AND(IF($Q66=2,1,0),IF($X66&lt;30,1,0))</formula>
    </cfRule>
    <cfRule type="expression" dxfId="7675" priority="3189">
      <formula>AND(IF($Q66=3,1,0),IF($X66&lt;30,1,0))</formula>
    </cfRule>
    <cfRule type="expression" dxfId="7674" priority="3190">
      <formula>AND(IF($Q66=3,1,IF($Q66=4,1,0)),IF($F66&lt;=85,1,0))</formula>
    </cfRule>
  </conditionalFormatting>
  <conditionalFormatting sqref="AV67">
    <cfRule type="expression" dxfId="7673" priority="3185">
      <formula>AV67="X"</formula>
    </cfRule>
    <cfRule type="expression" dxfId="7672" priority="3186">
      <formula>AV67="후보"</formula>
    </cfRule>
  </conditionalFormatting>
  <conditionalFormatting sqref="AC67">
    <cfRule type="cellIs" dxfId="7671" priority="3183" operator="greaterThan">
      <formula>0.9</formula>
    </cfRule>
    <cfRule type="cellIs" dxfId="7670" priority="3184" operator="greaterThan">
      <formula>0.85</formula>
    </cfRule>
  </conditionalFormatting>
  <conditionalFormatting sqref="N67">
    <cfRule type="cellIs" dxfId="7669" priority="3181" operator="greaterThan">
      <formula>0.9</formula>
    </cfRule>
    <cfRule type="cellIs" dxfId="7668" priority="3182" operator="greaterThan">
      <formula>0.85</formula>
    </cfRule>
  </conditionalFormatting>
  <conditionalFormatting sqref="E67">
    <cfRule type="expression" dxfId="7667" priority="3177">
      <formula>AND(IF(OR($Q67=1,$Q67=2),1,0),IF($X67&lt;=20,1,0))</formula>
    </cfRule>
    <cfRule type="expression" dxfId="7666" priority="3178">
      <formula>AND(IF($Q67=2,1,0),IF($X67&lt;30,1,0))</formula>
    </cfRule>
    <cfRule type="expression" dxfId="7665" priority="3179">
      <formula>AND(IF($Q67=3,1,0),IF($X67&lt;30,1,0))</formula>
    </cfRule>
    <cfRule type="expression" dxfId="7664" priority="3180">
      <formula>AND(IF($Q67=3,1,IF($Q67=4,1,0)),IF($F67&lt;=85,1,0))</formula>
    </cfRule>
  </conditionalFormatting>
  <conditionalFormatting sqref="X67">
    <cfRule type="expression" dxfId="7663" priority="3173">
      <formula>AND(IF(OR($Q67=1,$Q67=2),1,0),IF($X67&lt;=20,1,0))</formula>
    </cfRule>
    <cfRule type="expression" dxfId="7662" priority="3174">
      <formula>AND(IF($Q67=2,1,0),IF($X67&lt;30,1,0))</formula>
    </cfRule>
    <cfRule type="expression" dxfId="7661" priority="3175">
      <formula>AND(IF($Q67=3,1,0),IF($X67&lt;30,1,0))</formula>
    </cfRule>
    <cfRule type="expression" dxfId="7660" priority="3176">
      <formula>AND(IF($Q67=3,1,IF($Q67=4,1,0)),IF($F67&lt;=85,1,0))</formula>
    </cfRule>
  </conditionalFormatting>
  <conditionalFormatting sqref="AI67">
    <cfRule type="expression" dxfId="7659" priority="3169">
      <formula>AND(IF(OR($Q67=1,$Q67=2),1,0),IF($X67&lt;=20,1,0))</formula>
    </cfRule>
    <cfRule type="expression" dxfId="7658" priority="3170">
      <formula>AND(IF($Q67=2,1,0),IF($X67&lt;30,1,0))</formula>
    </cfRule>
    <cfRule type="expression" dxfId="7657" priority="3171">
      <formula>AND(IF($Q67=3,1,0),IF($X67&lt;30,1,0))</formula>
    </cfRule>
    <cfRule type="expression" dxfId="7656" priority="3172">
      <formula>AND(IF($Q67=3,1,IF($Q67=4,1,0)),IF($F67&lt;=85,1,0))</formula>
    </cfRule>
  </conditionalFormatting>
  <conditionalFormatting sqref="AV68">
    <cfRule type="expression" dxfId="7655" priority="3167">
      <formula>AV68="X"</formula>
    </cfRule>
    <cfRule type="expression" dxfId="7654" priority="3168">
      <formula>AV68="후보"</formula>
    </cfRule>
  </conditionalFormatting>
  <conditionalFormatting sqref="AC68">
    <cfRule type="cellIs" dxfId="7653" priority="3165" operator="greaterThan">
      <formula>0.9</formula>
    </cfRule>
    <cfRule type="cellIs" dxfId="7652" priority="3166" operator="greaterThan">
      <formula>0.85</formula>
    </cfRule>
  </conditionalFormatting>
  <conditionalFormatting sqref="N68">
    <cfRule type="cellIs" dxfId="7651" priority="3163" operator="greaterThan">
      <formula>0.9</formula>
    </cfRule>
    <cfRule type="cellIs" dxfId="7650" priority="3164" operator="greaterThan">
      <formula>0.85</formula>
    </cfRule>
  </conditionalFormatting>
  <conditionalFormatting sqref="E68">
    <cfRule type="expression" dxfId="7649" priority="3159">
      <formula>AND(IF(OR($Q68=1,$Q68=2),1,0),IF($X68&lt;=20,1,0))</formula>
    </cfRule>
    <cfRule type="expression" dxfId="7648" priority="3160">
      <formula>AND(IF($Q68=2,1,0),IF($X68&lt;30,1,0))</formula>
    </cfRule>
    <cfRule type="expression" dxfId="7647" priority="3161">
      <formula>AND(IF($Q68=3,1,0),IF($X68&lt;30,1,0))</formula>
    </cfRule>
    <cfRule type="expression" dxfId="7646" priority="3162">
      <formula>AND(IF($Q68=3,1,IF($Q68=4,1,0)),IF($F68&lt;=85,1,0))</formula>
    </cfRule>
  </conditionalFormatting>
  <conditionalFormatting sqref="X68">
    <cfRule type="expression" dxfId="7645" priority="3155">
      <formula>AND(IF(OR($Q68=1,$Q68=2),1,0),IF($X68&lt;=20,1,0))</formula>
    </cfRule>
    <cfRule type="expression" dxfId="7644" priority="3156">
      <formula>AND(IF($Q68=2,1,0),IF($X68&lt;30,1,0))</formula>
    </cfRule>
    <cfRule type="expression" dxfId="7643" priority="3157">
      <formula>AND(IF($Q68=3,1,0),IF($X68&lt;30,1,0))</formula>
    </cfRule>
    <cfRule type="expression" dxfId="7642" priority="3158">
      <formula>AND(IF($Q68=3,1,IF($Q68=4,1,0)),IF($F68&lt;=85,1,0))</formula>
    </cfRule>
  </conditionalFormatting>
  <conditionalFormatting sqref="AI68">
    <cfRule type="expression" dxfId="7641" priority="3151">
      <formula>AND(IF(OR($Q68=1,$Q68=2),1,0),IF($X68&lt;=20,1,0))</formula>
    </cfRule>
    <cfRule type="expression" dxfId="7640" priority="3152">
      <formula>AND(IF($Q68=2,1,0),IF($X68&lt;30,1,0))</formula>
    </cfRule>
    <cfRule type="expression" dxfId="7639" priority="3153">
      <formula>AND(IF($Q68=3,1,0),IF($X68&lt;30,1,0))</formula>
    </cfRule>
    <cfRule type="expression" dxfId="7638" priority="3154">
      <formula>AND(IF($Q68=3,1,IF($Q68=4,1,0)),IF($F68&lt;=85,1,0))</formula>
    </cfRule>
  </conditionalFormatting>
  <conditionalFormatting sqref="AV69">
    <cfRule type="expression" dxfId="7637" priority="3149">
      <formula>AV69="X"</formula>
    </cfRule>
    <cfRule type="expression" dxfId="7636" priority="3150">
      <formula>AV69="후보"</formula>
    </cfRule>
  </conditionalFormatting>
  <conditionalFormatting sqref="AC69">
    <cfRule type="cellIs" dxfId="7635" priority="3147" operator="greaterThan">
      <formula>0.9</formula>
    </cfRule>
    <cfRule type="cellIs" dxfId="7634" priority="3148" operator="greaterThan">
      <formula>0.85</formula>
    </cfRule>
  </conditionalFormatting>
  <conditionalFormatting sqref="N69">
    <cfRule type="cellIs" dxfId="7633" priority="3145" operator="greaterThan">
      <formula>0.9</formula>
    </cfRule>
    <cfRule type="cellIs" dxfId="7632" priority="3146" operator="greaterThan">
      <formula>0.85</formula>
    </cfRule>
  </conditionalFormatting>
  <conditionalFormatting sqref="E69">
    <cfRule type="expression" dxfId="7631" priority="3141">
      <formula>AND(IF(OR($Q69=1,$Q69=2),1,0),IF($X69&lt;=20,1,0))</formula>
    </cfRule>
    <cfRule type="expression" dxfId="7630" priority="3142">
      <formula>AND(IF($Q69=2,1,0),IF($X69&lt;30,1,0))</formula>
    </cfRule>
    <cfRule type="expression" dxfId="7629" priority="3143">
      <formula>AND(IF($Q69=3,1,0),IF($X69&lt;30,1,0))</formula>
    </cfRule>
    <cfRule type="expression" dxfId="7628" priority="3144">
      <formula>AND(IF($Q69=3,1,IF($Q69=4,1,0)),IF($F69&lt;=85,1,0))</formula>
    </cfRule>
  </conditionalFormatting>
  <conditionalFormatting sqref="X69">
    <cfRule type="expression" dxfId="7627" priority="3137">
      <formula>AND(IF(OR($Q69=1,$Q69=2),1,0),IF($X69&lt;=20,1,0))</formula>
    </cfRule>
    <cfRule type="expression" dxfId="7626" priority="3138">
      <formula>AND(IF($Q69=2,1,0),IF($X69&lt;30,1,0))</formula>
    </cfRule>
    <cfRule type="expression" dxfId="7625" priority="3139">
      <formula>AND(IF($Q69=3,1,0),IF($X69&lt;30,1,0))</formula>
    </cfRule>
    <cfRule type="expression" dxfId="7624" priority="3140">
      <formula>AND(IF($Q69=3,1,IF($Q69=4,1,0)),IF($F69&lt;=85,1,0))</formula>
    </cfRule>
  </conditionalFormatting>
  <conditionalFormatting sqref="AI69">
    <cfRule type="expression" dxfId="7623" priority="3133">
      <formula>AND(IF(OR($Q69=1,$Q69=2),1,0),IF($X69&lt;=20,1,0))</formula>
    </cfRule>
    <cfRule type="expression" dxfId="7622" priority="3134">
      <formula>AND(IF($Q69=2,1,0),IF($X69&lt;30,1,0))</formula>
    </cfRule>
    <cfRule type="expression" dxfId="7621" priority="3135">
      <formula>AND(IF($Q69=3,1,0),IF($X69&lt;30,1,0))</formula>
    </cfRule>
    <cfRule type="expression" dxfId="7620" priority="3136">
      <formula>AND(IF($Q69=3,1,IF($Q69=4,1,0)),IF($F69&lt;=85,1,0))</formula>
    </cfRule>
  </conditionalFormatting>
  <conditionalFormatting sqref="AV70">
    <cfRule type="expression" dxfId="7619" priority="3131">
      <formula>AV70="X"</formula>
    </cfRule>
    <cfRule type="expression" dxfId="7618" priority="3132">
      <formula>AV70="후보"</formula>
    </cfRule>
  </conditionalFormatting>
  <conditionalFormatting sqref="AC70">
    <cfRule type="cellIs" dxfId="7617" priority="3129" operator="greaterThan">
      <formula>0.9</formula>
    </cfRule>
    <cfRule type="cellIs" dxfId="7616" priority="3130" operator="greaterThan">
      <formula>0.85</formula>
    </cfRule>
  </conditionalFormatting>
  <conditionalFormatting sqref="N70">
    <cfRule type="cellIs" dxfId="7615" priority="3127" operator="greaterThan">
      <formula>0.9</formula>
    </cfRule>
    <cfRule type="cellIs" dxfId="7614" priority="3128" operator="greaterThan">
      <formula>0.85</formula>
    </cfRule>
  </conditionalFormatting>
  <conditionalFormatting sqref="E70">
    <cfRule type="expression" dxfId="7613" priority="3123">
      <formula>AND(IF(OR($Q70=1,$Q70=2),1,0),IF($X70&lt;=20,1,0))</formula>
    </cfRule>
    <cfRule type="expression" dxfId="7612" priority="3124">
      <formula>AND(IF($Q70=2,1,0),IF($X70&lt;30,1,0))</formula>
    </cfRule>
    <cfRule type="expression" dxfId="7611" priority="3125">
      <formula>AND(IF($Q70=3,1,0),IF($X70&lt;30,1,0))</formula>
    </cfRule>
    <cfRule type="expression" dxfId="7610" priority="3126">
      <formula>AND(IF($Q70=3,1,IF($Q70=4,1,0)),IF($F70&lt;=85,1,0))</formula>
    </cfRule>
  </conditionalFormatting>
  <conditionalFormatting sqref="X70">
    <cfRule type="expression" dxfId="7609" priority="3119">
      <formula>AND(IF(OR($Q70=1,$Q70=2),1,0),IF($X70&lt;=20,1,0))</formula>
    </cfRule>
    <cfRule type="expression" dxfId="7608" priority="3120">
      <formula>AND(IF($Q70=2,1,0),IF($X70&lt;30,1,0))</formula>
    </cfRule>
    <cfRule type="expression" dxfId="7607" priority="3121">
      <formula>AND(IF($Q70=3,1,0),IF($X70&lt;30,1,0))</formula>
    </cfRule>
    <cfRule type="expression" dxfId="7606" priority="3122">
      <formula>AND(IF($Q70=3,1,IF($Q70=4,1,0)),IF($F70&lt;=85,1,0))</formula>
    </cfRule>
  </conditionalFormatting>
  <conditionalFormatting sqref="AI70">
    <cfRule type="expression" dxfId="7605" priority="3115">
      <formula>AND(IF(OR($Q70=1,$Q70=2),1,0),IF($X70&lt;=20,1,0))</formula>
    </cfRule>
    <cfRule type="expression" dxfId="7604" priority="3116">
      <formula>AND(IF($Q70=2,1,0),IF($X70&lt;30,1,0))</formula>
    </cfRule>
    <cfRule type="expression" dxfId="7603" priority="3117">
      <formula>AND(IF($Q70=3,1,0),IF($X70&lt;30,1,0))</formula>
    </cfRule>
    <cfRule type="expression" dxfId="7602" priority="3118">
      <formula>AND(IF($Q70=3,1,IF($Q70=4,1,0)),IF($F70&lt;=85,1,0))</formula>
    </cfRule>
  </conditionalFormatting>
  <conditionalFormatting sqref="AV71">
    <cfRule type="expression" dxfId="7601" priority="3113">
      <formula>AV71="X"</formula>
    </cfRule>
    <cfRule type="expression" dxfId="7600" priority="3114">
      <formula>AV71="후보"</formula>
    </cfRule>
  </conditionalFormatting>
  <conditionalFormatting sqref="AC71">
    <cfRule type="cellIs" dxfId="7599" priority="3111" operator="greaterThan">
      <formula>0.9</formula>
    </cfRule>
    <cfRule type="cellIs" dxfId="7598" priority="3112" operator="greaterThan">
      <formula>0.85</formula>
    </cfRule>
  </conditionalFormatting>
  <conditionalFormatting sqref="N71">
    <cfRule type="cellIs" dxfId="7597" priority="3109" operator="greaterThan">
      <formula>0.9</formula>
    </cfRule>
    <cfRule type="cellIs" dxfId="7596" priority="3110" operator="greaterThan">
      <formula>0.85</formula>
    </cfRule>
  </conditionalFormatting>
  <conditionalFormatting sqref="E71">
    <cfRule type="expression" dxfId="7595" priority="3105">
      <formula>AND(IF(OR($Q71=1,$Q71=2),1,0),IF($X71&lt;=20,1,0))</formula>
    </cfRule>
    <cfRule type="expression" dxfId="7594" priority="3106">
      <formula>AND(IF($Q71=2,1,0),IF($X71&lt;30,1,0))</formula>
    </cfRule>
    <cfRule type="expression" dxfId="7593" priority="3107">
      <formula>AND(IF($Q71=3,1,0),IF($X71&lt;30,1,0))</formula>
    </cfRule>
    <cfRule type="expression" dxfId="7592" priority="3108">
      <formula>AND(IF($Q71=3,1,IF($Q71=4,1,0)),IF($F71&lt;=85,1,0))</formula>
    </cfRule>
  </conditionalFormatting>
  <conditionalFormatting sqref="X71">
    <cfRule type="expression" dxfId="7591" priority="3101">
      <formula>AND(IF(OR($Q71=1,$Q71=2),1,0),IF($X71&lt;=20,1,0))</formula>
    </cfRule>
    <cfRule type="expression" dxfId="7590" priority="3102">
      <formula>AND(IF($Q71=2,1,0),IF($X71&lt;30,1,0))</formula>
    </cfRule>
    <cfRule type="expression" dxfId="7589" priority="3103">
      <formula>AND(IF($Q71=3,1,0),IF($X71&lt;30,1,0))</formula>
    </cfRule>
    <cfRule type="expression" dxfId="7588" priority="3104">
      <formula>AND(IF($Q71=3,1,IF($Q71=4,1,0)),IF($F71&lt;=85,1,0))</formula>
    </cfRule>
  </conditionalFormatting>
  <conditionalFormatting sqref="AI71">
    <cfRule type="expression" dxfId="7587" priority="3097">
      <formula>AND(IF(OR($Q71=1,$Q71=2),1,0),IF($X71&lt;=20,1,0))</formula>
    </cfRule>
    <cfRule type="expression" dxfId="7586" priority="3098">
      <formula>AND(IF($Q71=2,1,0),IF($X71&lt;30,1,0))</formula>
    </cfRule>
    <cfRule type="expression" dxfId="7585" priority="3099">
      <formula>AND(IF($Q71=3,1,0),IF($X71&lt;30,1,0))</formula>
    </cfRule>
    <cfRule type="expression" dxfId="7584" priority="3100">
      <formula>AND(IF($Q71=3,1,IF($Q71=4,1,0)),IF($F71&lt;=85,1,0))</formula>
    </cfRule>
  </conditionalFormatting>
  <conditionalFormatting sqref="AV72">
    <cfRule type="expression" dxfId="7583" priority="3095">
      <formula>AV72="X"</formula>
    </cfRule>
    <cfRule type="expression" dxfId="7582" priority="3096">
      <formula>AV72="후보"</formula>
    </cfRule>
  </conditionalFormatting>
  <conditionalFormatting sqref="AC72">
    <cfRule type="cellIs" dxfId="7581" priority="3093" operator="greaterThan">
      <formula>0.9</formula>
    </cfRule>
    <cfRule type="cellIs" dxfId="7580" priority="3094" operator="greaterThan">
      <formula>0.85</formula>
    </cfRule>
  </conditionalFormatting>
  <conditionalFormatting sqref="N72">
    <cfRule type="cellIs" dxfId="7579" priority="3091" operator="greaterThan">
      <formula>0.9</formula>
    </cfRule>
    <cfRule type="cellIs" dxfId="7578" priority="3092" operator="greaterThan">
      <formula>0.85</formula>
    </cfRule>
  </conditionalFormatting>
  <conditionalFormatting sqref="E72">
    <cfRule type="expression" dxfId="7577" priority="3087">
      <formula>AND(IF(OR($Q72=1,$Q72=2),1,0),IF($X72&lt;=20,1,0))</formula>
    </cfRule>
    <cfRule type="expression" dxfId="7576" priority="3088">
      <formula>AND(IF($Q72=2,1,0),IF($X72&lt;30,1,0))</formula>
    </cfRule>
    <cfRule type="expression" dxfId="7575" priority="3089">
      <formula>AND(IF($Q72=3,1,0),IF($X72&lt;30,1,0))</formula>
    </cfRule>
    <cfRule type="expression" dxfId="7574" priority="3090">
      <formula>AND(IF($Q72=3,1,IF($Q72=4,1,0)),IF($F72&lt;=85,1,0))</formula>
    </cfRule>
  </conditionalFormatting>
  <conditionalFormatting sqref="X72">
    <cfRule type="expression" dxfId="7573" priority="3083">
      <formula>AND(IF(OR($Q72=1,$Q72=2),1,0),IF($X72&lt;=20,1,0))</formula>
    </cfRule>
    <cfRule type="expression" dxfId="7572" priority="3084">
      <formula>AND(IF($Q72=2,1,0),IF($X72&lt;30,1,0))</formula>
    </cfRule>
    <cfRule type="expression" dxfId="7571" priority="3085">
      <formula>AND(IF($Q72=3,1,0),IF($X72&lt;30,1,0))</formula>
    </cfRule>
    <cfRule type="expression" dxfId="7570" priority="3086">
      <formula>AND(IF($Q72=3,1,IF($Q72=4,1,0)),IF($F72&lt;=85,1,0))</formula>
    </cfRule>
  </conditionalFormatting>
  <conditionalFormatting sqref="AI72">
    <cfRule type="expression" dxfId="7569" priority="3079">
      <formula>AND(IF(OR($Q72=1,$Q72=2),1,0),IF($X72&lt;=20,1,0))</formula>
    </cfRule>
    <cfRule type="expression" dxfId="7568" priority="3080">
      <formula>AND(IF($Q72=2,1,0),IF($X72&lt;30,1,0))</formula>
    </cfRule>
    <cfRule type="expression" dxfId="7567" priority="3081">
      <formula>AND(IF($Q72=3,1,0),IF($X72&lt;30,1,0))</formula>
    </cfRule>
    <cfRule type="expression" dxfId="7566" priority="3082">
      <formula>AND(IF($Q72=3,1,IF($Q72=4,1,0)),IF($F72&lt;=85,1,0))</formula>
    </cfRule>
  </conditionalFormatting>
  <conditionalFormatting sqref="AV73">
    <cfRule type="expression" dxfId="7565" priority="3077">
      <formula>AV73="X"</formula>
    </cfRule>
    <cfRule type="expression" dxfId="7564" priority="3078">
      <formula>AV73="후보"</formula>
    </cfRule>
  </conditionalFormatting>
  <conditionalFormatting sqref="AC73">
    <cfRule type="cellIs" dxfId="7563" priority="3075" operator="greaterThan">
      <formula>0.9</formula>
    </cfRule>
    <cfRule type="cellIs" dxfId="7562" priority="3076" operator="greaterThan">
      <formula>0.85</formula>
    </cfRule>
  </conditionalFormatting>
  <conditionalFormatting sqref="N73">
    <cfRule type="cellIs" dxfId="7561" priority="3073" operator="greaterThan">
      <formula>0.9</formula>
    </cfRule>
    <cfRule type="cellIs" dxfId="7560" priority="3074" operator="greaterThan">
      <formula>0.85</formula>
    </cfRule>
  </conditionalFormatting>
  <conditionalFormatting sqref="E73">
    <cfRule type="expression" dxfId="7559" priority="3069">
      <formula>AND(IF(OR($Q73=1,$Q73=2),1,0),IF($X73&lt;=20,1,0))</formula>
    </cfRule>
    <cfRule type="expression" dxfId="7558" priority="3070">
      <formula>AND(IF($Q73=2,1,0),IF($X73&lt;30,1,0))</formula>
    </cfRule>
    <cfRule type="expression" dxfId="7557" priority="3071">
      <formula>AND(IF($Q73=3,1,0),IF($X73&lt;30,1,0))</formula>
    </cfRule>
    <cfRule type="expression" dxfId="7556" priority="3072">
      <formula>AND(IF($Q73=3,1,IF($Q73=4,1,0)),IF($F73&lt;=85,1,0))</formula>
    </cfRule>
  </conditionalFormatting>
  <conditionalFormatting sqref="X73">
    <cfRule type="expression" dxfId="7555" priority="3065">
      <formula>AND(IF(OR($Q73=1,$Q73=2),1,0),IF($X73&lt;=20,1,0))</formula>
    </cfRule>
    <cfRule type="expression" dxfId="7554" priority="3066">
      <formula>AND(IF($Q73=2,1,0),IF($X73&lt;30,1,0))</formula>
    </cfRule>
    <cfRule type="expression" dxfId="7553" priority="3067">
      <formula>AND(IF($Q73=3,1,0),IF($X73&lt;30,1,0))</formula>
    </cfRule>
    <cfRule type="expression" dxfId="7552" priority="3068">
      <formula>AND(IF($Q73=3,1,IF($Q73=4,1,0)),IF($F73&lt;=85,1,0))</formula>
    </cfRule>
  </conditionalFormatting>
  <conditionalFormatting sqref="AI73">
    <cfRule type="expression" dxfId="7551" priority="3061">
      <formula>AND(IF(OR($Q73=1,$Q73=2),1,0),IF($X73&lt;=20,1,0))</formula>
    </cfRule>
    <cfRule type="expression" dxfId="7550" priority="3062">
      <formula>AND(IF($Q73=2,1,0),IF($X73&lt;30,1,0))</formula>
    </cfRule>
    <cfRule type="expression" dxfId="7549" priority="3063">
      <formula>AND(IF($Q73=3,1,0),IF($X73&lt;30,1,0))</formula>
    </cfRule>
    <cfRule type="expression" dxfId="7548" priority="3064">
      <formula>AND(IF($Q73=3,1,IF($Q73=4,1,0)),IF($F73&lt;=85,1,0))</formula>
    </cfRule>
  </conditionalFormatting>
  <conditionalFormatting sqref="AV74">
    <cfRule type="expression" dxfId="7547" priority="3059">
      <formula>AV74="X"</formula>
    </cfRule>
    <cfRule type="expression" dxfId="7546" priority="3060">
      <formula>AV74="후보"</formula>
    </cfRule>
  </conditionalFormatting>
  <conditionalFormatting sqref="AC74">
    <cfRule type="cellIs" dxfId="7545" priority="3057" operator="greaterThan">
      <formula>0.9</formula>
    </cfRule>
    <cfRule type="cellIs" dxfId="7544" priority="3058" operator="greaterThan">
      <formula>0.85</formula>
    </cfRule>
  </conditionalFormatting>
  <conditionalFormatting sqref="N74">
    <cfRule type="cellIs" dxfId="7543" priority="3055" operator="greaterThan">
      <formula>0.9</formula>
    </cfRule>
    <cfRule type="cellIs" dxfId="7542" priority="3056" operator="greaterThan">
      <formula>0.85</formula>
    </cfRule>
  </conditionalFormatting>
  <conditionalFormatting sqref="E74">
    <cfRule type="expression" dxfId="7541" priority="3051">
      <formula>AND(IF(OR($Q74=1,$Q74=2),1,0),IF($X74&lt;=20,1,0))</formula>
    </cfRule>
    <cfRule type="expression" dxfId="7540" priority="3052">
      <formula>AND(IF($Q74=2,1,0),IF($X74&lt;30,1,0))</formula>
    </cfRule>
    <cfRule type="expression" dxfId="7539" priority="3053">
      <formula>AND(IF($Q74=3,1,0),IF($X74&lt;30,1,0))</formula>
    </cfRule>
    <cfRule type="expression" dxfId="7538" priority="3054">
      <formula>AND(IF($Q74=3,1,IF($Q74=4,1,0)),IF($F74&lt;=85,1,0))</formula>
    </cfRule>
  </conditionalFormatting>
  <conditionalFormatting sqref="X74">
    <cfRule type="expression" dxfId="7537" priority="3047">
      <formula>AND(IF(OR($Q74=1,$Q74=2),1,0),IF($X74&lt;=20,1,0))</formula>
    </cfRule>
    <cfRule type="expression" dxfId="7536" priority="3048">
      <formula>AND(IF($Q74=2,1,0),IF($X74&lt;30,1,0))</formula>
    </cfRule>
    <cfRule type="expression" dxfId="7535" priority="3049">
      <formula>AND(IF($Q74=3,1,0),IF($X74&lt;30,1,0))</formula>
    </cfRule>
    <cfRule type="expression" dxfId="7534" priority="3050">
      <formula>AND(IF($Q74=3,1,IF($Q74=4,1,0)),IF($F74&lt;=85,1,0))</formula>
    </cfRule>
  </conditionalFormatting>
  <conditionalFormatting sqref="AI74">
    <cfRule type="expression" dxfId="7533" priority="3043">
      <formula>AND(IF(OR($Q74=1,$Q74=2),1,0),IF($X74&lt;=20,1,0))</formula>
    </cfRule>
    <cfRule type="expression" dxfId="7532" priority="3044">
      <formula>AND(IF($Q74=2,1,0),IF($X74&lt;30,1,0))</formula>
    </cfRule>
    <cfRule type="expression" dxfId="7531" priority="3045">
      <formula>AND(IF($Q74=3,1,0),IF($X74&lt;30,1,0))</formula>
    </cfRule>
    <cfRule type="expression" dxfId="7530" priority="3046">
      <formula>AND(IF($Q74=3,1,IF($Q74=4,1,0)),IF($F74&lt;=85,1,0))</formula>
    </cfRule>
  </conditionalFormatting>
  <conditionalFormatting sqref="AV75">
    <cfRule type="expression" dxfId="7529" priority="3041">
      <formula>AV75="X"</formula>
    </cfRule>
    <cfRule type="expression" dxfId="7528" priority="3042">
      <formula>AV75="후보"</formula>
    </cfRule>
  </conditionalFormatting>
  <conditionalFormatting sqref="AC75">
    <cfRule type="cellIs" dxfId="7527" priority="3039" operator="greaterThan">
      <formula>0.9</formula>
    </cfRule>
    <cfRule type="cellIs" dxfId="7526" priority="3040" operator="greaterThan">
      <formula>0.85</formula>
    </cfRule>
  </conditionalFormatting>
  <conditionalFormatting sqref="N75">
    <cfRule type="cellIs" dxfId="7525" priority="3037" operator="greaterThan">
      <formula>0.9</formula>
    </cfRule>
    <cfRule type="cellIs" dxfId="7524" priority="3038" operator="greaterThan">
      <formula>0.85</formula>
    </cfRule>
  </conditionalFormatting>
  <conditionalFormatting sqref="E75">
    <cfRule type="expression" dxfId="7523" priority="3033">
      <formula>AND(IF(OR($Q75=1,$Q75=2),1,0),IF($X75&lt;=20,1,0))</formula>
    </cfRule>
    <cfRule type="expression" dxfId="7522" priority="3034">
      <formula>AND(IF($Q75=2,1,0),IF($X75&lt;30,1,0))</formula>
    </cfRule>
    <cfRule type="expression" dxfId="7521" priority="3035">
      <formula>AND(IF($Q75=3,1,0),IF($X75&lt;30,1,0))</formula>
    </cfRule>
    <cfRule type="expression" dxfId="7520" priority="3036">
      <formula>AND(IF($Q75=3,1,IF($Q75=4,1,0)),IF($F75&lt;=85,1,0))</formula>
    </cfRule>
  </conditionalFormatting>
  <conditionalFormatting sqref="X75">
    <cfRule type="expression" dxfId="7519" priority="3029">
      <formula>AND(IF(OR($Q75=1,$Q75=2),1,0),IF($X75&lt;=20,1,0))</formula>
    </cfRule>
    <cfRule type="expression" dxfId="7518" priority="3030">
      <formula>AND(IF($Q75=2,1,0),IF($X75&lt;30,1,0))</formula>
    </cfRule>
    <cfRule type="expression" dxfId="7517" priority="3031">
      <formula>AND(IF($Q75=3,1,0),IF($X75&lt;30,1,0))</formula>
    </cfRule>
    <cfRule type="expression" dxfId="7516" priority="3032">
      <formula>AND(IF($Q75=3,1,IF($Q75=4,1,0)),IF($F75&lt;=85,1,0))</formula>
    </cfRule>
  </conditionalFormatting>
  <conditionalFormatting sqref="AI75">
    <cfRule type="expression" dxfId="7515" priority="3025">
      <formula>AND(IF(OR($Q75=1,$Q75=2),1,0),IF($X75&lt;=20,1,0))</formula>
    </cfRule>
    <cfRule type="expression" dxfId="7514" priority="3026">
      <formula>AND(IF($Q75=2,1,0),IF($X75&lt;30,1,0))</formula>
    </cfRule>
    <cfRule type="expression" dxfId="7513" priority="3027">
      <formula>AND(IF($Q75=3,1,0),IF($X75&lt;30,1,0))</formula>
    </cfRule>
    <cfRule type="expression" dxfId="7512" priority="3028">
      <formula>AND(IF($Q75=3,1,IF($Q75=4,1,0)),IF($F75&lt;=85,1,0))</formula>
    </cfRule>
  </conditionalFormatting>
  <conditionalFormatting sqref="AV76">
    <cfRule type="expression" dxfId="7511" priority="3023">
      <formula>AV76="X"</formula>
    </cfRule>
    <cfRule type="expression" dxfId="7510" priority="3024">
      <formula>AV76="후보"</formula>
    </cfRule>
  </conditionalFormatting>
  <conditionalFormatting sqref="AC76">
    <cfRule type="cellIs" dxfId="7509" priority="3021" operator="greaterThan">
      <formula>0.9</formula>
    </cfRule>
    <cfRule type="cellIs" dxfId="7508" priority="3022" operator="greaterThan">
      <formula>0.85</formula>
    </cfRule>
  </conditionalFormatting>
  <conditionalFormatting sqref="N76">
    <cfRule type="cellIs" dxfId="7507" priority="3019" operator="greaterThan">
      <formula>0.9</formula>
    </cfRule>
    <cfRule type="cellIs" dxfId="7506" priority="3020" operator="greaterThan">
      <formula>0.85</formula>
    </cfRule>
  </conditionalFormatting>
  <conditionalFormatting sqref="E76">
    <cfRule type="expression" dxfId="7505" priority="3015">
      <formula>AND(IF(OR($Q76=1,$Q76=2),1,0),IF($X76&lt;=20,1,0))</formula>
    </cfRule>
    <cfRule type="expression" dxfId="7504" priority="3016">
      <formula>AND(IF($Q76=2,1,0),IF($X76&lt;30,1,0))</formula>
    </cfRule>
    <cfRule type="expression" dxfId="7503" priority="3017">
      <formula>AND(IF($Q76=3,1,0),IF($X76&lt;30,1,0))</formula>
    </cfRule>
    <cfRule type="expression" dxfId="7502" priority="3018">
      <formula>AND(IF($Q76=3,1,IF($Q76=4,1,0)),IF($F76&lt;=85,1,0))</formula>
    </cfRule>
  </conditionalFormatting>
  <conditionalFormatting sqref="X76">
    <cfRule type="expression" dxfId="7501" priority="3011">
      <formula>AND(IF(OR($Q76=1,$Q76=2),1,0),IF($X76&lt;=20,1,0))</formula>
    </cfRule>
    <cfRule type="expression" dxfId="7500" priority="3012">
      <formula>AND(IF($Q76=2,1,0),IF($X76&lt;30,1,0))</formula>
    </cfRule>
    <cfRule type="expression" dxfId="7499" priority="3013">
      <formula>AND(IF($Q76=3,1,0),IF($X76&lt;30,1,0))</formula>
    </cfRule>
    <cfRule type="expression" dxfId="7498" priority="3014">
      <formula>AND(IF($Q76=3,1,IF($Q76=4,1,0)),IF($F76&lt;=85,1,0))</formula>
    </cfRule>
  </conditionalFormatting>
  <conditionalFormatting sqref="AI76">
    <cfRule type="expression" dxfId="7497" priority="3007">
      <formula>AND(IF(OR($Q76=1,$Q76=2),1,0),IF($X76&lt;=20,1,0))</formula>
    </cfRule>
    <cfRule type="expression" dxfId="7496" priority="3008">
      <formula>AND(IF($Q76=2,1,0),IF($X76&lt;30,1,0))</formula>
    </cfRule>
    <cfRule type="expression" dxfId="7495" priority="3009">
      <formula>AND(IF($Q76=3,1,0),IF($X76&lt;30,1,0))</formula>
    </cfRule>
    <cfRule type="expression" dxfId="7494" priority="3010">
      <formula>AND(IF($Q76=3,1,IF($Q76=4,1,0)),IF($F76&lt;=85,1,0))</formula>
    </cfRule>
  </conditionalFormatting>
  <conditionalFormatting sqref="AV77">
    <cfRule type="expression" dxfId="7493" priority="3005">
      <formula>AV77="X"</formula>
    </cfRule>
    <cfRule type="expression" dxfId="7492" priority="3006">
      <formula>AV77="후보"</formula>
    </cfRule>
  </conditionalFormatting>
  <conditionalFormatting sqref="AC77">
    <cfRule type="cellIs" dxfId="7491" priority="3003" operator="greaterThan">
      <formula>0.9</formula>
    </cfRule>
    <cfRule type="cellIs" dxfId="7490" priority="3004" operator="greaterThan">
      <formula>0.85</formula>
    </cfRule>
  </conditionalFormatting>
  <conditionalFormatting sqref="N77">
    <cfRule type="cellIs" dxfId="7489" priority="3001" operator="greaterThan">
      <formula>0.9</formula>
    </cfRule>
    <cfRule type="cellIs" dxfId="7488" priority="3002" operator="greaterThan">
      <formula>0.85</formula>
    </cfRule>
  </conditionalFormatting>
  <conditionalFormatting sqref="E77">
    <cfRule type="expression" dxfId="7487" priority="2997">
      <formula>AND(IF(OR($Q77=1,$Q77=2),1,0),IF($X77&lt;=20,1,0))</formula>
    </cfRule>
    <cfRule type="expression" dxfId="7486" priority="2998">
      <formula>AND(IF($Q77=2,1,0),IF($X77&lt;30,1,0))</formula>
    </cfRule>
    <cfRule type="expression" dxfId="7485" priority="2999">
      <formula>AND(IF($Q77=3,1,0),IF($X77&lt;30,1,0))</formula>
    </cfRule>
    <cfRule type="expression" dxfId="7484" priority="3000">
      <formula>AND(IF($Q77=3,1,IF($Q77=4,1,0)),IF($F77&lt;=85,1,0))</formula>
    </cfRule>
  </conditionalFormatting>
  <conditionalFormatting sqref="X77">
    <cfRule type="expression" dxfId="7483" priority="2993">
      <formula>AND(IF(OR($Q77=1,$Q77=2),1,0),IF($X77&lt;=20,1,0))</formula>
    </cfRule>
    <cfRule type="expression" dxfId="7482" priority="2994">
      <formula>AND(IF($Q77=2,1,0),IF($X77&lt;30,1,0))</formula>
    </cfRule>
    <cfRule type="expression" dxfId="7481" priority="2995">
      <formula>AND(IF($Q77=3,1,0),IF($X77&lt;30,1,0))</formula>
    </cfRule>
    <cfRule type="expression" dxfId="7480" priority="2996">
      <formula>AND(IF($Q77=3,1,IF($Q77=4,1,0)),IF($F77&lt;=85,1,0))</formula>
    </cfRule>
  </conditionalFormatting>
  <conditionalFormatting sqref="AI77">
    <cfRule type="expression" dxfId="7479" priority="2989">
      <formula>AND(IF(OR($Q77=1,$Q77=2),1,0),IF($X77&lt;=20,1,0))</formula>
    </cfRule>
    <cfRule type="expression" dxfId="7478" priority="2990">
      <formula>AND(IF($Q77=2,1,0),IF($X77&lt;30,1,0))</formula>
    </cfRule>
    <cfRule type="expression" dxfId="7477" priority="2991">
      <formula>AND(IF($Q77=3,1,0),IF($X77&lt;30,1,0))</formula>
    </cfRule>
    <cfRule type="expression" dxfId="7476" priority="2992">
      <formula>AND(IF($Q77=3,1,IF($Q77=4,1,0)),IF($F77&lt;=85,1,0))</formula>
    </cfRule>
  </conditionalFormatting>
  <conditionalFormatting sqref="AV78">
    <cfRule type="expression" dxfId="7475" priority="2987">
      <formula>AV78="X"</formula>
    </cfRule>
    <cfRule type="expression" dxfId="7474" priority="2988">
      <formula>AV78="후보"</formula>
    </cfRule>
  </conditionalFormatting>
  <conditionalFormatting sqref="AC78">
    <cfRule type="cellIs" dxfId="7473" priority="2985" operator="greaterThan">
      <formula>0.9</formula>
    </cfRule>
    <cfRule type="cellIs" dxfId="7472" priority="2986" operator="greaterThan">
      <formula>0.85</formula>
    </cfRule>
  </conditionalFormatting>
  <conditionalFormatting sqref="N78">
    <cfRule type="cellIs" dxfId="7471" priority="2983" operator="greaterThan">
      <formula>0.9</formula>
    </cfRule>
    <cfRule type="cellIs" dxfId="7470" priority="2984" operator="greaterThan">
      <formula>0.85</formula>
    </cfRule>
  </conditionalFormatting>
  <conditionalFormatting sqref="E78">
    <cfRule type="expression" dxfId="7469" priority="2979">
      <formula>AND(IF(OR($Q78=1,$Q78=2),1,0),IF($X78&lt;=20,1,0))</formula>
    </cfRule>
    <cfRule type="expression" dxfId="7468" priority="2980">
      <formula>AND(IF($Q78=2,1,0),IF($X78&lt;30,1,0))</formula>
    </cfRule>
    <cfRule type="expression" dxfId="7467" priority="2981">
      <formula>AND(IF($Q78=3,1,0),IF($X78&lt;30,1,0))</formula>
    </cfRule>
    <cfRule type="expression" dxfId="7466" priority="2982">
      <formula>AND(IF($Q78=3,1,IF($Q78=4,1,0)),IF($F78&lt;=85,1,0))</formula>
    </cfRule>
  </conditionalFormatting>
  <conditionalFormatting sqref="X78">
    <cfRule type="expression" dxfId="7465" priority="2975">
      <formula>AND(IF(OR($Q78=1,$Q78=2),1,0),IF($X78&lt;=20,1,0))</formula>
    </cfRule>
    <cfRule type="expression" dxfId="7464" priority="2976">
      <formula>AND(IF($Q78=2,1,0),IF($X78&lt;30,1,0))</formula>
    </cfRule>
    <cfRule type="expression" dxfId="7463" priority="2977">
      <formula>AND(IF($Q78=3,1,0),IF($X78&lt;30,1,0))</formula>
    </cfRule>
    <cfRule type="expression" dxfId="7462" priority="2978">
      <formula>AND(IF($Q78=3,1,IF($Q78=4,1,0)),IF($F78&lt;=85,1,0))</formula>
    </cfRule>
  </conditionalFormatting>
  <conditionalFormatting sqref="AI78">
    <cfRule type="expression" dxfId="7461" priority="2971">
      <formula>AND(IF(OR($Q78=1,$Q78=2),1,0),IF($X78&lt;=20,1,0))</formula>
    </cfRule>
    <cfRule type="expression" dxfId="7460" priority="2972">
      <formula>AND(IF($Q78=2,1,0),IF($X78&lt;30,1,0))</formula>
    </cfRule>
    <cfRule type="expression" dxfId="7459" priority="2973">
      <formula>AND(IF($Q78=3,1,0),IF($X78&lt;30,1,0))</formula>
    </cfRule>
    <cfRule type="expression" dxfId="7458" priority="2974">
      <formula>AND(IF($Q78=3,1,IF($Q78=4,1,0)),IF($F78&lt;=85,1,0))</formula>
    </cfRule>
  </conditionalFormatting>
  <conditionalFormatting sqref="AV79">
    <cfRule type="expression" dxfId="7457" priority="2969">
      <formula>AV79="X"</formula>
    </cfRule>
    <cfRule type="expression" dxfId="7456" priority="2970">
      <formula>AV79="후보"</formula>
    </cfRule>
  </conditionalFormatting>
  <conditionalFormatting sqref="AC79">
    <cfRule type="cellIs" dxfId="7455" priority="2967" operator="greaterThan">
      <formula>0.9</formula>
    </cfRule>
    <cfRule type="cellIs" dxfId="7454" priority="2968" operator="greaterThan">
      <formula>0.85</formula>
    </cfRule>
  </conditionalFormatting>
  <conditionalFormatting sqref="N79">
    <cfRule type="cellIs" dxfId="7453" priority="2965" operator="greaterThan">
      <formula>0.9</formula>
    </cfRule>
    <cfRule type="cellIs" dxfId="7452" priority="2966" operator="greaterThan">
      <formula>0.85</formula>
    </cfRule>
  </conditionalFormatting>
  <conditionalFormatting sqref="E79">
    <cfRule type="expression" dxfId="7451" priority="2961">
      <formula>AND(IF(OR($Q79=1,$Q79=2),1,0),IF($X79&lt;=20,1,0))</formula>
    </cfRule>
    <cfRule type="expression" dxfId="7450" priority="2962">
      <formula>AND(IF($Q79=2,1,0),IF($X79&lt;30,1,0))</formula>
    </cfRule>
    <cfRule type="expression" dxfId="7449" priority="2963">
      <formula>AND(IF($Q79=3,1,0),IF($X79&lt;30,1,0))</formula>
    </cfRule>
    <cfRule type="expression" dxfId="7448" priority="2964">
      <formula>AND(IF($Q79=3,1,IF($Q79=4,1,0)),IF($F79&lt;=85,1,0))</formula>
    </cfRule>
  </conditionalFormatting>
  <conditionalFormatting sqref="X79">
    <cfRule type="expression" dxfId="7447" priority="2957">
      <formula>AND(IF(OR($Q79=1,$Q79=2),1,0),IF($X79&lt;=20,1,0))</formula>
    </cfRule>
    <cfRule type="expression" dxfId="7446" priority="2958">
      <formula>AND(IF($Q79=2,1,0),IF($X79&lt;30,1,0))</formula>
    </cfRule>
    <cfRule type="expression" dxfId="7445" priority="2959">
      <formula>AND(IF($Q79=3,1,0),IF($X79&lt;30,1,0))</formula>
    </cfRule>
    <cfRule type="expression" dxfId="7444" priority="2960">
      <formula>AND(IF($Q79=3,1,IF($Q79=4,1,0)),IF($F79&lt;=85,1,0))</formula>
    </cfRule>
  </conditionalFormatting>
  <conditionalFormatting sqref="AI79">
    <cfRule type="expression" dxfId="7443" priority="2953">
      <formula>AND(IF(OR($Q79=1,$Q79=2),1,0),IF($X79&lt;=20,1,0))</formula>
    </cfRule>
    <cfRule type="expression" dxfId="7442" priority="2954">
      <formula>AND(IF($Q79=2,1,0),IF($X79&lt;30,1,0))</formula>
    </cfRule>
    <cfRule type="expression" dxfId="7441" priority="2955">
      <formula>AND(IF($Q79=3,1,0),IF($X79&lt;30,1,0))</formula>
    </cfRule>
    <cfRule type="expression" dxfId="7440" priority="2956">
      <formula>AND(IF($Q79=3,1,IF($Q79=4,1,0)),IF($F79&lt;=85,1,0))</formula>
    </cfRule>
  </conditionalFormatting>
  <conditionalFormatting sqref="AV80">
    <cfRule type="expression" dxfId="7439" priority="2951">
      <formula>AV80="X"</formula>
    </cfRule>
    <cfRule type="expression" dxfId="7438" priority="2952">
      <formula>AV80="후보"</formula>
    </cfRule>
  </conditionalFormatting>
  <conditionalFormatting sqref="AC80">
    <cfRule type="cellIs" dxfId="7437" priority="2949" operator="greaterThan">
      <formula>0.9</formula>
    </cfRule>
    <cfRule type="cellIs" dxfId="7436" priority="2950" operator="greaterThan">
      <formula>0.85</formula>
    </cfRule>
  </conditionalFormatting>
  <conditionalFormatting sqref="N80">
    <cfRule type="cellIs" dxfId="7435" priority="2947" operator="greaterThan">
      <formula>0.9</formula>
    </cfRule>
    <cfRule type="cellIs" dxfId="7434" priority="2948" operator="greaterThan">
      <formula>0.85</formula>
    </cfRule>
  </conditionalFormatting>
  <conditionalFormatting sqref="E80">
    <cfRule type="expression" dxfId="7433" priority="2943">
      <formula>AND(IF(OR($Q80=1,$Q80=2),1,0),IF($X80&lt;=20,1,0))</formula>
    </cfRule>
    <cfRule type="expression" dxfId="7432" priority="2944">
      <formula>AND(IF($Q80=2,1,0),IF($X80&lt;30,1,0))</formula>
    </cfRule>
    <cfRule type="expression" dxfId="7431" priority="2945">
      <formula>AND(IF($Q80=3,1,0),IF($X80&lt;30,1,0))</formula>
    </cfRule>
    <cfRule type="expression" dxfId="7430" priority="2946">
      <formula>AND(IF($Q80=3,1,IF($Q80=4,1,0)),IF($F80&lt;=85,1,0))</formula>
    </cfRule>
  </conditionalFormatting>
  <conditionalFormatting sqref="X80">
    <cfRule type="expression" dxfId="7429" priority="2939">
      <formula>AND(IF(OR($Q80=1,$Q80=2),1,0),IF($X80&lt;=20,1,0))</formula>
    </cfRule>
    <cfRule type="expression" dxfId="7428" priority="2940">
      <formula>AND(IF($Q80=2,1,0),IF($X80&lt;30,1,0))</formula>
    </cfRule>
    <cfRule type="expression" dxfId="7427" priority="2941">
      <formula>AND(IF($Q80=3,1,0),IF($X80&lt;30,1,0))</formula>
    </cfRule>
    <cfRule type="expression" dxfId="7426" priority="2942">
      <formula>AND(IF($Q80=3,1,IF($Q80=4,1,0)),IF($F80&lt;=85,1,0))</formula>
    </cfRule>
  </conditionalFormatting>
  <conditionalFormatting sqref="AI80">
    <cfRule type="expression" dxfId="7425" priority="2935">
      <formula>AND(IF(OR($Q80=1,$Q80=2),1,0),IF($X80&lt;=20,1,0))</formula>
    </cfRule>
    <cfRule type="expression" dxfId="7424" priority="2936">
      <formula>AND(IF($Q80=2,1,0),IF($X80&lt;30,1,0))</formula>
    </cfRule>
    <cfRule type="expression" dxfId="7423" priority="2937">
      <formula>AND(IF($Q80=3,1,0),IF($X80&lt;30,1,0))</formula>
    </cfRule>
    <cfRule type="expression" dxfId="7422" priority="2938">
      <formula>AND(IF($Q80=3,1,IF($Q80=4,1,0)),IF($F80&lt;=85,1,0))</formula>
    </cfRule>
  </conditionalFormatting>
  <conditionalFormatting sqref="AV81">
    <cfRule type="expression" dxfId="7421" priority="2933">
      <formula>AV81="X"</formula>
    </cfRule>
    <cfRule type="expression" dxfId="7420" priority="2934">
      <formula>AV81="후보"</formula>
    </cfRule>
  </conditionalFormatting>
  <conditionalFormatting sqref="AC81">
    <cfRule type="cellIs" dxfId="7419" priority="2931" operator="greaterThan">
      <formula>0.9</formula>
    </cfRule>
    <cfRule type="cellIs" dxfId="7418" priority="2932" operator="greaterThan">
      <formula>0.85</formula>
    </cfRule>
  </conditionalFormatting>
  <conditionalFormatting sqref="N81">
    <cfRule type="cellIs" dxfId="7417" priority="2929" operator="greaterThan">
      <formula>0.9</formula>
    </cfRule>
    <cfRule type="cellIs" dxfId="7416" priority="2930" operator="greaterThan">
      <formula>0.85</formula>
    </cfRule>
  </conditionalFormatting>
  <conditionalFormatting sqref="E81">
    <cfRule type="expression" dxfId="7415" priority="2925">
      <formula>AND(IF(OR($Q81=1,$Q81=2),1,0),IF($X81&lt;=20,1,0))</formula>
    </cfRule>
    <cfRule type="expression" dxfId="7414" priority="2926">
      <formula>AND(IF($Q81=2,1,0),IF($X81&lt;30,1,0))</formula>
    </cfRule>
    <cfRule type="expression" dxfId="7413" priority="2927">
      <formula>AND(IF($Q81=3,1,0),IF($X81&lt;30,1,0))</formula>
    </cfRule>
    <cfRule type="expression" dxfId="7412" priority="2928">
      <formula>AND(IF($Q81=3,1,IF($Q81=4,1,0)),IF($F81&lt;=85,1,0))</formula>
    </cfRule>
  </conditionalFormatting>
  <conditionalFormatting sqref="X81">
    <cfRule type="expression" dxfId="7411" priority="2921">
      <formula>AND(IF(OR($Q81=1,$Q81=2),1,0),IF($X81&lt;=20,1,0))</formula>
    </cfRule>
    <cfRule type="expression" dxfId="7410" priority="2922">
      <formula>AND(IF($Q81=2,1,0),IF($X81&lt;30,1,0))</formula>
    </cfRule>
    <cfRule type="expression" dxfId="7409" priority="2923">
      <formula>AND(IF($Q81=3,1,0),IF($X81&lt;30,1,0))</formula>
    </cfRule>
    <cfRule type="expression" dxfId="7408" priority="2924">
      <formula>AND(IF($Q81=3,1,IF($Q81=4,1,0)),IF($F81&lt;=85,1,0))</formula>
    </cfRule>
  </conditionalFormatting>
  <conditionalFormatting sqref="AI81">
    <cfRule type="expression" dxfId="7407" priority="2917">
      <formula>AND(IF(OR($Q81=1,$Q81=2),1,0),IF($X81&lt;=20,1,0))</formula>
    </cfRule>
    <cfRule type="expression" dxfId="7406" priority="2918">
      <formula>AND(IF($Q81=2,1,0),IF($X81&lt;30,1,0))</formula>
    </cfRule>
    <cfRule type="expression" dxfId="7405" priority="2919">
      <formula>AND(IF($Q81=3,1,0),IF($X81&lt;30,1,0))</formula>
    </cfRule>
    <cfRule type="expression" dxfId="7404" priority="2920">
      <formula>AND(IF($Q81=3,1,IF($Q81=4,1,0)),IF($F81&lt;=85,1,0))</formula>
    </cfRule>
  </conditionalFormatting>
  <conditionalFormatting sqref="AV82">
    <cfRule type="expression" dxfId="7403" priority="2915">
      <formula>AV82="X"</formula>
    </cfRule>
    <cfRule type="expression" dxfId="7402" priority="2916">
      <formula>AV82="후보"</formula>
    </cfRule>
  </conditionalFormatting>
  <conditionalFormatting sqref="AC82">
    <cfRule type="cellIs" dxfId="7401" priority="2913" operator="greaterThan">
      <formula>0.9</formula>
    </cfRule>
    <cfRule type="cellIs" dxfId="7400" priority="2914" operator="greaterThan">
      <formula>0.85</formula>
    </cfRule>
  </conditionalFormatting>
  <conditionalFormatting sqref="N82">
    <cfRule type="cellIs" dxfId="7399" priority="2911" operator="greaterThan">
      <formula>0.9</formula>
    </cfRule>
    <cfRule type="cellIs" dxfId="7398" priority="2912" operator="greaterThan">
      <formula>0.85</formula>
    </cfRule>
  </conditionalFormatting>
  <conditionalFormatting sqref="E82">
    <cfRule type="expression" dxfId="7397" priority="2907">
      <formula>AND(IF(OR($Q82=1,$Q82=2),1,0),IF($X82&lt;=20,1,0))</formula>
    </cfRule>
    <cfRule type="expression" dxfId="7396" priority="2908">
      <formula>AND(IF($Q82=2,1,0),IF($X82&lt;30,1,0))</formula>
    </cfRule>
    <cfRule type="expression" dxfId="7395" priority="2909">
      <formula>AND(IF($Q82=3,1,0),IF($X82&lt;30,1,0))</formula>
    </cfRule>
    <cfRule type="expression" dxfId="7394" priority="2910">
      <formula>AND(IF($Q82=3,1,IF($Q82=4,1,0)),IF($F82&lt;=85,1,0))</formula>
    </cfRule>
  </conditionalFormatting>
  <conditionalFormatting sqref="X82">
    <cfRule type="expression" dxfId="7393" priority="2903">
      <formula>AND(IF(OR($Q82=1,$Q82=2),1,0),IF($X82&lt;=20,1,0))</formula>
    </cfRule>
    <cfRule type="expression" dxfId="7392" priority="2904">
      <formula>AND(IF($Q82=2,1,0),IF($X82&lt;30,1,0))</formula>
    </cfRule>
    <cfRule type="expression" dxfId="7391" priority="2905">
      <formula>AND(IF($Q82=3,1,0),IF($X82&lt;30,1,0))</formula>
    </cfRule>
    <cfRule type="expression" dxfId="7390" priority="2906">
      <formula>AND(IF($Q82=3,1,IF($Q82=4,1,0)),IF($F82&lt;=85,1,0))</formula>
    </cfRule>
  </conditionalFormatting>
  <conditionalFormatting sqref="AI82">
    <cfRule type="expression" dxfId="7389" priority="2899">
      <formula>AND(IF(OR($Q82=1,$Q82=2),1,0),IF($X82&lt;=20,1,0))</formula>
    </cfRule>
    <cfRule type="expression" dxfId="7388" priority="2900">
      <formula>AND(IF($Q82=2,1,0),IF($X82&lt;30,1,0))</formula>
    </cfRule>
    <cfRule type="expression" dxfId="7387" priority="2901">
      <formula>AND(IF($Q82=3,1,0),IF($X82&lt;30,1,0))</formula>
    </cfRule>
    <cfRule type="expression" dxfId="7386" priority="2902">
      <formula>AND(IF($Q82=3,1,IF($Q82=4,1,0)),IF($F82&lt;=85,1,0))</formula>
    </cfRule>
  </conditionalFormatting>
  <conditionalFormatting sqref="AV83">
    <cfRule type="expression" dxfId="7385" priority="2897">
      <formula>AV83="X"</formula>
    </cfRule>
    <cfRule type="expression" dxfId="7384" priority="2898">
      <formula>AV83="후보"</formula>
    </cfRule>
  </conditionalFormatting>
  <conditionalFormatting sqref="AC83">
    <cfRule type="cellIs" dxfId="7383" priority="2895" operator="greaterThan">
      <formula>0.9</formula>
    </cfRule>
    <cfRule type="cellIs" dxfId="7382" priority="2896" operator="greaterThan">
      <formula>0.85</formula>
    </cfRule>
  </conditionalFormatting>
  <conditionalFormatting sqref="N83">
    <cfRule type="cellIs" dxfId="7381" priority="2893" operator="greaterThan">
      <formula>0.9</formula>
    </cfRule>
    <cfRule type="cellIs" dxfId="7380" priority="2894" operator="greaterThan">
      <formula>0.85</formula>
    </cfRule>
  </conditionalFormatting>
  <conditionalFormatting sqref="E83">
    <cfRule type="expression" dxfId="7379" priority="2889">
      <formula>AND(IF(OR($Q83=1,$Q83=2),1,0),IF($X83&lt;=20,1,0))</formula>
    </cfRule>
    <cfRule type="expression" dxfId="7378" priority="2890">
      <formula>AND(IF($Q83=2,1,0),IF($X83&lt;30,1,0))</formula>
    </cfRule>
    <cfRule type="expression" dxfId="7377" priority="2891">
      <formula>AND(IF($Q83=3,1,0),IF($X83&lt;30,1,0))</formula>
    </cfRule>
    <cfRule type="expression" dxfId="7376" priority="2892">
      <formula>AND(IF($Q83=3,1,IF($Q83=4,1,0)),IF($F83&lt;=85,1,0))</formula>
    </cfRule>
  </conditionalFormatting>
  <conditionalFormatting sqref="X83">
    <cfRule type="expression" dxfId="7375" priority="2885">
      <formula>AND(IF(OR($Q83=1,$Q83=2),1,0),IF($X83&lt;=20,1,0))</formula>
    </cfRule>
    <cfRule type="expression" dxfId="7374" priority="2886">
      <formula>AND(IF($Q83=2,1,0),IF($X83&lt;30,1,0))</formula>
    </cfRule>
    <cfRule type="expression" dxfId="7373" priority="2887">
      <formula>AND(IF($Q83=3,1,0),IF($X83&lt;30,1,0))</formula>
    </cfRule>
    <cfRule type="expression" dxfId="7372" priority="2888">
      <formula>AND(IF($Q83=3,1,IF($Q83=4,1,0)),IF($F83&lt;=85,1,0))</formula>
    </cfRule>
  </conditionalFormatting>
  <conditionalFormatting sqref="AI83">
    <cfRule type="expression" dxfId="7371" priority="2881">
      <formula>AND(IF(OR($Q83=1,$Q83=2),1,0),IF($X83&lt;=20,1,0))</formula>
    </cfRule>
    <cfRule type="expression" dxfId="7370" priority="2882">
      <formula>AND(IF($Q83=2,1,0),IF($X83&lt;30,1,0))</formula>
    </cfRule>
    <cfRule type="expression" dxfId="7369" priority="2883">
      <formula>AND(IF($Q83=3,1,0),IF($X83&lt;30,1,0))</formula>
    </cfRule>
    <cfRule type="expression" dxfId="7368" priority="2884">
      <formula>AND(IF($Q83=3,1,IF($Q83=4,1,0)),IF($F83&lt;=85,1,0))</formula>
    </cfRule>
  </conditionalFormatting>
  <conditionalFormatting sqref="AV84">
    <cfRule type="expression" dxfId="7367" priority="2879">
      <formula>AV84="X"</formula>
    </cfRule>
    <cfRule type="expression" dxfId="7366" priority="2880">
      <formula>AV84="후보"</formula>
    </cfRule>
  </conditionalFormatting>
  <conditionalFormatting sqref="AC84">
    <cfRule type="cellIs" dxfId="7365" priority="2877" operator="greaterThan">
      <formula>0.9</formula>
    </cfRule>
    <cfRule type="cellIs" dxfId="7364" priority="2878" operator="greaterThan">
      <formula>0.85</formula>
    </cfRule>
  </conditionalFormatting>
  <conditionalFormatting sqref="N84">
    <cfRule type="cellIs" dxfId="7363" priority="2875" operator="greaterThan">
      <formula>0.9</formula>
    </cfRule>
    <cfRule type="cellIs" dxfId="7362" priority="2876" operator="greaterThan">
      <formula>0.85</formula>
    </cfRule>
  </conditionalFormatting>
  <conditionalFormatting sqref="E84">
    <cfRule type="expression" dxfId="7361" priority="2871">
      <formula>AND(IF(OR($Q84=1,$Q84=2),1,0),IF($X84&lt;=20,1,0))</formula>
    </cfRule>
    <cfRule type="expression" dxfId="7360" priority="2872">
      <formula>AND(IF($Q84=2,1,0),IF($X84&lt;30,1,0))</formula>
    </cfRule>
    <cfRule type="expression" dxfId="7359" priority="2873">
      <formula>AND(IF($Q84=3,1,0),IF($X84&lt;30,1,0))</formula>
    </cfRule>
    <cfRule type="expression" dxfId="7358" priority="2874">
      <formula>AND(IF($Q84=3,1,IF($Q84=4,1,0)),IF($F84&lt;=85,1,0))</formula>
    </cfRule>
  </conditionalFormatting>
  <conditionalFormatting sqref="X84">
    <cfRule type="expression" dxfId="7357" priority="2867">
      <formula>AND(IF(OR($Q84=1,$Q84=2),1,0),IF($X84&lt;=20,1,0))</formula>
    </cfRule>
    <cfRule type="expression" dxfId="7356" priority="2868">
      <formula>AND(IF($Q84=2,1,0),IF($X84&lt;30,1,0))</formula>
    </cfRule>
    <cfRule type="expression" dxfId="7355" priority="2869">
      <formula>AND(IF($Q84=3,1,0),IF($X84&lt;30,1,0))</formula>
    </cfRule>
    <cfRule type="expression" dxfId="7354" priority="2870">
      <formula>AND(IF($Q84=3,1,IF($Q84=4,1,0)),IF($F84&lt;=85,1,0))</formula>
    </cfRule>
  </conditionalFormatting>
  <conditionalFormatting sqref="AI84">
    <cfRule type="expression" dxfId="7353" priority="2863">
      <formula>AND(IF(OR($Q84=1,$Q84=2),1,0),IF($X84&lt;=20,1,0))</formula>
    </cfRule>
    <cfRule type="expression" dxfId="7352" priority="2864">
      <formula>AND(IF($Q84=2,1,0),IF($X84&lt;30,1,0))</formula>
    </cfRule>
    <cfRule type="expression" dxfId="7351" priority="2865">
      <formula>AND(IF($Q84=3,1,0),IF($X84&lt;30,1,0))</formula>
    </cfRule>
    <cfRule type="expression" dxfId="7350" priority="2866">
      <formula>AND(IF($Q84=3,1,IF($Q84=4,1,0)),IF($F84&lt;=85,1,0))</formula>
    </cfRule>
  </conditionalFormatting>
  <conditionalFormatting sqref="AV85">
    <cfRule type="expression" dxfId="7349" priority="2861">
      <formula>AV85="X"</formula>
    </cfRule>
    <cfRule type="expression" dxfId="7348" priority="2862">
      <formula>AV85="후보"</formula>
    </cfRule>
  </conditionalFormatting>
  <conditionalFormatting sqref="AC85">
    <cfRule type="cellIs" dxfId="7347" priority="2859" operator="greaterThan">
      <formula>0.9</formula>
    </cfRule>
    <cfRule type="cellIs" dxfId="7346" priority="2860" operator="greaterThan">
      <formula>0.85</formula>
    </cfRule>
  </conditionalFormatting>
  <conditionalFormatting sqref="N85">
    <cfRule type="cellIs" dxfId="7345" priority="2857" operator="greaterThan">
      <formula>0.9</formula>
    </cfRule>
    <cfRule type="cellIs" dxfId="7344" priority="2858" operator="greaterThan">
      <formula>0.85</formula>
    </cfRule>
  </conditionalFormatting>
  <conditionalFormatting sqref="E85">
    <cfRule type="expression" dxfId="7343" priority="2853">
      <formula>AND(IF(OR($Q85=1,$Q85=2),1,0),IF($X85&lt;=20,1,0))</formula>
    </cfRule>
    <cfRule type="expression" dxfId="7342" priority="2854">
      <formula>AND(IF($Q85=2,1,0),IF($X85&lt;30,1,0))</formula>
    </cfRule>
    <cfRule type="expression" dxfId="7341" priority="2855">
      <formula>AND(IF($Q85=3,1,0),IF($X85&lt;30,1,0))</formula>
    </cfRule>
    <cfRule type="expression" dxfId="7340" priority="2856">
      <formula>AND(IF($Q85=3,1,IF($Q85=4,1,0)),IF($F85&lt;=85,1,0))</formula>
    </cfRule>
  </conditionalFormatting>
  <conditionalFormatting sqref="X85">
    <cfRule type="expression" dxfId="7339" priority="2849">
      <formula>AND(IF(OR($Q85=1,$Q85=2),1,0),IF($X85&lt;=20,1,0))</formula>
    </cfRule>
    <cfRule type="expression" dxfId="7338" priority="2850">
      <formula>AND(IF($Q85=2,1,0),IF($X85&lt;30,1,0))</formula>
    </cfRule>
    <cfRule type="expression" dxfId="7337" priority="2851">
      <formula>AND(IF($Q85=3,1,0),IF($X85&lt;30,1,0))</formula>
    </cfRule>
    <cfRule type="expression" dxfId="7336" priority="2852">
      <formula>AND(IF($Q85=3,1,IF($Q85=4,1,0)),IF($F85&lt;=85,1,0))</formula>
    </cfRule>
  </conditionalFormatting>
  <conditionalFormatting sqref="AI85">
    <cfRule type="expression" dxfId="7335" priority="2845">
      <formula>AND(IF(OR($Q85=1,$Q85=2),1,0),IF($X85&lt;=20,1,0))</formula>
    </cfRule>
    <cfRule type="expression" dxfId="7334" priority="2846">
      <formula>AND(IF($Q85=2,1,0),IF($X85&lt;30,1,0))</formula>
    </cfRule>
    <cfRule type="expression" dxfId="7333" priority="2847">
      <formula>AND(IF($Q85=3,1,0),IF($X85&lt;30,1,0))</formula>
    </cfRule>
    <cfRule type="expression" dxfId="7332" priority="2848">
      <formula>AND(IF($Q85=3,1,IF($Q85=4,1,0)),IF($F85&lt;=85,1,0))</formula>
    </cfRule>
  </conditionalFormatting>
  <conditionalFormatting sqref="AV86">
    <cfRule type="expression" dxfId="7331" priority="2843">
      <formula>AV86="X"</formula>
    </cfRule>
    <cfRule type="expression" dxfId="7330" priority="2844">
      <formula>AV86="후보"</formula>
    </cfRule>
  </conditionalFormatting>
  <conditionalFormatting sqref="AC86">
    <cfRule type="cellIs" dxfId="7329" priority="2841" operator="greaterThan">
      <formula>0.9</formula>
    </cfRule>
    <cfRule type="cellIs" dxfId="7328" priority="2842" operator="greaterThan">
      <formula>0.85</formula>
    </cfRule>
  </conditionalFormatting>
  <conditionalFormatting sqref="N86">
    <cfRule type="cellIs" dxfId="7327" priority="2839" operator="greaterThan">
      <formula>0.9</formula>
    </cfRule>
    <cfRule type="cellIs" dxfId="7326" priority="2840" operator="greaterThan">
      <formula>0.85</formula>
    </cfRule>
  </conditionalFormatting>
  <conditionalFormatting sqref="E86">
    <cfRule type="expression" dxfId="7325" priority="2835">
      <formula>AND(IF(OR($Q86=1,$Q86=2),1,0),IF($X86&lt;=20,1,0))</formula>
    </cfRule>
    <cfRule type="expression" dxfId="7324" priority="2836">
      <formula>AND(IF($Q86=2,1,0),IF($X86&lt;30,1,0))</formula>
    </cfRule>
    <cfRule type="expression" dxfId="7323" priority="2837">
      <formula>AND(IF($Q86=3,1,0),IF($X86&lt;30,1,0))</formula>
    </cfRule>
    <cfRule type="expression" dxfId="7322" priority="2838">
      <formula>AND(IF($Q86=3,1,IF($Q86=4,1,0)),IF($F86&lt;=85,1,0))</formula>
    </cfRule>
  </conditionalFormatting>
  <conditionalFormatting sqref="X86">
    <cfRule type="expression" dxfId="7321" priority="2831">
      <formula>AND(IF(OR($Q86=1,$Q86=2),1,0),IF($X86&lt;=20,1,0))</formula>
    </cfRule>
    <cfRule type="expression" dxfId="7320" priority="2832">
      <formula>AND(IF($Q86=2,1,0),IF($X86&lt;30,1,0))</formula>
    </cfRule>
    <cfRule type="expression" dxfId="7319" priority="2833">
      <formula>AND(IF($Q86=3,1,0),IF($X86&lt;30,1,0))</formula>
    </cfRule>
    <cfRule type="expression" dxfId="7318" priority="2834">
      <formula>AND(IF($Q86=3,1,IF($Q86=4,1,0)),IF($F86&lt;=85,1,0))</formula>
    </cfRule>
  </conditionalFormatting>
  <conditionalFormatting sqref="AI86">
    <cfRule type="expression" dxfId="7317" priority="2827">
      <formula>AND(IF(OR($Q86=1,$Q86=2),1,0),IF($X86&lt;=20,1,0))</formula>
    </cfRule>
    <cfRule type="expression" dxfId="7316" priority="2828">
      <formula>AND(IF($Q86=2,1,0),IF($X86&lt;30,1,0))</formula>
    </cfRule>
    <cfRule type="expression" dxfId="7315" priority="2829">
      <formula>AND(IF($Q86=3,1,0),IF($X86&lt;30,1,0))</formula>
    </cfRule>
    <cfRule type="expression" dxfId="7314" priority="2830">
      <formula>AND(IF($Q86=3,1,IF($Q86=4,1,0)),IF($F86&lt;=85,1,0))</formula>
    </cfRule>
  </conditionalFormatting>
  <conditionalFormatting sqref="AV87">
    <cfRule type="expression" dxfId="7313" priority="2825">
      <formula>AV87="X"</formula>
    </cfRule>
    <cfRule type="expression" dxfId="7312" priority="2826">
      <formula>AV87="후보"</formula>
    </cfRule>
  </conditionalFormatting>
  <conditionalFormatting sqref="AC87">
    <cfRule type="cellIs" dxfId="7311" priority="2823" operator="greaterThan">
      <formula>0.9</formula>
    </cfRule>
    <cfRule type="cellIs" dxfId="7310" priority="2824" operator="greaterThan">
      <formula>0.85</formula>
    </cfRule>
  </conditionalFormatting>
  <conditionalFormatting sqref="N87">
    <cfRule type="cellIs" dxfId="7309" priority="2821" operator="greaterThan">
      <formula>0.9</formula>
    </cfRule>
    <cfRule type="cellIs" dxfId="7308" priority="2822" operator="greaterThan">
      <formula>0.85</formula>
    </cfRule>
  </conditionalFormatting>
  <conditionalFormatting sqref="E87">
    <cfRule type="expression" dxfId="7307" priority="2817">
      <formula>AND(IF(OR($Q87=1,$Q87=2),1,0),IF($X87&lt;=20,1,0))</formula>
    </cfRule>
    <cfRule type="expression" dxfId="7306" priority="2818">
      <formula>AND(IF($Q87=2,1,0),IF($X87&lt;30,1,0))</formula>
    </cfRule>
    <cfRule type="expression" dxfId="7305" priority="2819">
      <formula>AND(IF($Q87=3,1,0),IF($X87&lt;30,1,0))</formula>
    </cfRule>
    <cfRule type="expression" dxfId="7304" priority="2820">
      <formula>AND(IF($Q87=3,1,IF($Q87=4,1,0)),IF($F87&lt;=85,1,0))</formula>
    </cfRule>
  </conditionalFormatting>
  <conditionalFormatting sqref="X87">
    <cfRule type="expression" dxfId="7303" priority="2813">
      <formula>AND(IF(OR($Q87=1,$Q87=2),1,0),IF($X87&lt;=20,1,0))</formula>
    </cfRule>
    <cfRule type="expression" dxfId="7302" priority="2814">
      <formula>AND(IF($Q87=2,1,0),IF($X87&lt;30,1,0))</formula>
    </cfRule>
    <cfRule type="expression" dxfId="7301" priority="2815">
      <formula>AND(IF($Q87=3,1,0),IF($X87&lt;30,1,0))</formula>
    </cfRule>
    <cfRule type="expression" dxfId="7300" priority="2816">
      <formula>AND(IF($Q87=3,1,IF($Q87=4,1,0)),IF($F87&lt;=85,1,0))</formula>
    </cfRule>
  </conditionalFormatting>
  <conditionalFormatting sqref="AI87">
    <cfRule type="expression" dxfId="7299" priority="2809">
      <formula>AND(IF(OR($Q87=1,$Q87=2),1,0),IF($X87&lt;=20,1,0))</formula>
    </cfRule>
    <cfRule type="expression" dxfId="7298" priority="2810">
      <formula>AND(IF($Q87=2,1,0),IF($X87&lt;30,1,0))</formula>
    </cfRule>
    <cfRule type="expression" dxfId="7297" priority="2811">
      <formula>AND(IF($Q87=3,1,0),IF($X87&lt;30,1,0))</formula>
    </cfRule>
    <cfRule type="expression" dxfId="7296" priority="2812">
      <formula>AND(IF($Q87=3,1,IF($Q87=4,1,0)),IF($F87&lt;=85,1,0))</formula>
    </cfRule>
  </conditionalFormatting>
  <conditionalFormatting sqref="AV88">
    <cfRule type="expression" dxfId="7295" priority="2807">
      <formula>AV88="X"</formula>
    </cfRule>
    <cfRule type="expression" dxfId="7294" priority="2808">
      <formula>AV88="후보"</formula>
    </cfRule>
  </conditionalFormatting>
  <conditionalFormatting sqref="AC88">
    <cfRule type="cellIs" dxfId="7293" priority="2805" operator="greaterThan">
      <formula>0.9</formula>
    </cfRule>
    <cfRule type="cellIs" dxfId="7292" priority="2806" operator="greaterThan">
      <formula>0.85</formula>
    </cfRule>
  </conditionalFormatting>
  <conditionalFormatting sqref="N88">
    <cfRule type="cellIs" dxfId="7291" priority="2803" operator="greaterThan">
      <formula>0.9</formula>
    </cfRule>
    <cfRule type="cellIs" dxfId="7290" priority="2804" operator="greaterThan">
      <formula>0.85</formula>
    </cfRule>
  </conditionalFormatting>
  <conditionalFormatting sqref="E88">
    <cfRule type="expression" dxfId="7289" priority="2799">
      <formula>AND(IF(OR($Q88=1,$Q88=2),1,0),IF($X88&lt;=20,1,0))</formula>
    </cfRule>
    <cfRule type="expression" dxfId="7288" priority="2800">
      <formula>AND(IF($Q88=2,1,0),IF($X88&lt;30,1,0))</formula>
    </cfRule>
    <cfRule type="expression" dxfId="7287" priority="2801">
      <formula>AND(IF($Q88=3,1,0),IF($X88&lt;30,1,0))</formula>
    </cfRule>
    <cfRule type="expression" dxfId="7286" priority="2802">
      <formula>AND(IF($Q88=3,1,IF($Q88=4,1,0)),IF($F88&lt;=85,1,0))</formula>
    </cfRule>
  </conditionalFormatting>
  <conditionalFormatting sqref="X88">
    <cfRule type="expression" dxfId="7285" priority="2795">
      <formula>AND(IF(OR($Q88=1,$Q88=2),1,0),IF($X88&lt;=20,1,0))</formula>
    </cfRule>
    <cfRule type="expression" dxfId="7284" priority="2796">
      <formula>AND(IF($Q88=2,1,0),IF($X88&lt;30,1,0))</formula>
    </cfRule>
    <cfRule type="expression" dxfId="7283" priority="2797">
      <formula>AND(IF($Q88=3,1,0),IF($X88&lt;30,1,0))</formula>
    </cfRule>
    <cfRule type="expression" dxfId="7282" priority="2798">
      <formula>AND(IF($Q88=3,1,IF($Q88=4,1,0)),IF($F88&lt;=85,1,0))</formula>
    </cfRule>
  </conditionalFormatting>
  <conditionalFormatting sqref="AI88">
    <cfRule type="expression" dxfId="7281" priority="2791">
      <formula>AND(IF(OR($Q88=1,$Q88=2),1,0),IF($X88&lt;=20,1,0))</formula>
    </cfRule>
    <cfRule type="expression" dxfId="7280" priority="2792">
      <formula>AND(IF($Q88=2,1,0),IF($X88&lt;30,1,0))</formula>
    </cfRule>
    <cfRule type="expression" dxfId="7279" priority="2793">
      <formula>AND(IF($Q88=3,1,0),IF($X88&lt;30,1,0))</formula>
    </cfRule>
    <cfRule type="expression" dxfId="7278" priority="2794">
      <formula>AND(IF($Q88=3,1,IF($Q88=4,1,0)),IF($F88&lt;=85,1,0))</formula>
    </cfRule>
  </conditionalFormatting>
  <conditionalFormatting sqref="AV89">
    <cfRule type="expression" dxfId="7277" priority="2789">
      <formula>AV89="X"</formula>
    </cfRule>
    <cfRule type="expression" dxfId="7276" priority="2790">
      <formula>AV89="후보"</formula>
    </cfRule>
  </conditionalFormatting>
  <conditionalFormatting sqref="AC89">
    <cfRule type="cellIs" dxfId="7275" priority="2787" operator="greaterThan">
      <formula>0.9</formula>
    </cfRule>
    <cfRule type="cellIs" dxfId="7274" priority="2788" operator="greaterThan">
      <formula>0.85</formula>
    </cfRule>
  </conditionalFormatting>
  <conditionalFormatting sqref="N89">
    <cfRule type="cellIs" dxfId="7273" priority="2785" operator="greaterThan">
      <formula>0.9</formula>
    </cfRule>
    <cfRule type="cellIs" dxfId="7272" priority="2786" operator="greaterThan">
      <formula>0.85</formula>
    </cfRule>
  </conditionalFormatting>
  <conditionalFormatting sqref="E89">
    <cfRule type="expression" dxfId="7271" priority="2781">
      <formula>AND(IF(OR($Q89=1,$Q89=2),1,0),IF($X89&lt;=20,1,0))</formula>
    </cfRule>
    <cfRule type="expression" dxfId="7270" priority="2782">
      <formula>AND(IF($Q89=2,1,0),IF($X89&lt;30,1,0))</formula>
    </cfRule>
    <cfRule type="expression" dxfId="7269" priority="2783">
      <formula>AND(IF($Q89=3,1,0),IF($X89&lt;30,1,0))</formula>
    </cfRule>
    <cfRule type="expression" dxfId="7268" priority="2784">
      <formula>AND(IF($Q89=3,1,IF($Q89=4,1,0)),IF($F89&lt;=85,1,0))</formula>
    </cfRule>
  </conditionalFormatting>
  <conditionalFormatting sqref="X89">
    <cfRule type="expression" dxfId="7267" priority="2777">
      <formula>AND(IF(OR($Q89=1,$Q89=2),1,0),IF($X89&lt;=20,1,0))</formula>
    </cfRule>
    <cfRule type="expression" dxfId="7266" priority="2778">
      <formula>AND(IF($Q89=2,1,0),IF($X89&lt;30,1,0))</formula>
    </cfRule>
    <cfRule type="expression" dxfId="7265" priority="2779">
      <formula>AND(IF($Q89=3,1,0),IF($X89&lt;30,1,0))</formula>
    </cfRule>
    <cfRule type="expression" dxfId="7264" priority="2780">
      <formula>AND(IF($Q89=3,1,IF($Q89=4,1,0)),IF($F89&lt;=85,1,0))</formula>
    </cfRule>
  </conditionalFormatting>
  <conditionalFormatting sqref="AI89">
    <cfRule type="expression" dxfId="7263" priority="2773">
      <formula>AND(IF(OR($Q89=1,$Q89=2),1,0),IF($X89&lt;=20,1,0))</formula>
    </cfRule>
    <cfRule type="expression" dxfId="7262" priority="2774">
      <formula>AND(IF($Q89=2,1,0),IF($X89&lt;30,1,0))</formula>
    </cfRule>
    <cfRule type="expression" dxfId="7261" priority="2775">
      <formula>AND(IF($Q89=3,1,0),IF($X89&lt;30,1,0))</formula>
    </cfRule>
    <cfRule type="expression" dxfId="7260" priority="2776">
      <formula>AND(IF($Q89=3,1,IF($Q89=4,1,0)),IF($F89&lt;=85,1,0))</formula>
    </cfRule>
  </conditionalFormatting>
  <conditionalFormatting sqref="AV90">
    <cfRule type="expression" dxfId="7259" priority="2771">
      <formula>AV90="X"</formula>
    </cfRule>
    <cfRule type="expression" dxfId="7258" priority="2772">
      <formula>AV90="후보"</formula>
    </cfRule>
  </conditionalFormatting>
  <conditionalFormatting sqref="AC90">
    <cfRule type="cellIs" dxfId="7257" priority="2769" operator="greaterThan">
      <formula>0.9</formula>
    </cfRule>
    <cfRule type="cellIs" dxfId="7256" priority="2770" operator="greaterThan">
      <formula>0.85</formula>
    </cfRule>
  </conditionalFormatting>
  <conditionalFormatting sqref="N90">
    <cfRule type="cellIs" dxfId="7255" priority="2767" operator="greaterThan">
      <formula>0.9</formula>
    </cfRule>
    <cfRule type="cellIs" dxfId="7254" priority="2768" operator="greaterThan">
      <formula>0.85</formula>
    </cfRule>
  </conditionalFormatting>
  <conditionalFormatting sqref="E90">
    <cfRule type="expression" dxfId="7253" priority="2763">
      <formula>AND(IF(OR($Q90=1,$Q90=2),1,0),IF($X90&lt;=20,1,0))</formula>
    </cfRule>
    <cfRule type="expression" dxfId="7252" priority="2764">
      <formula>AND(IF($Q90=2,1,0),IF($X90&lt;30,1,0))</formula>
    </cfRule>
    <cfRule type="expression" dxfId="7251" priority="2765">
      <formula>AND(IF($Q90=3,1,0),IF($X90&lt;30,1,0))</formula>
    </cfRule>
    <cfRule type="expression" dxfId="7250" priority="2766">
      <formula>AND(IF($Q90=3,1,IF($Q90=4,1,0)),IF($F90&lt;=85,1,0))</formula>
    </cfRule>
  </conditionalFormatting>
  <conditionalFormatting sqref="X90">
    <cfRule type="expression" dxfId="7249" priority="2759">
      <formula>AND(IF(OR($Q90=1,$Q90=2),1,0),IF($X90&lt;=20,1,0))</formula>
    </cfRule>
    <cfRule type="expression" dxfId="7248" priority="2760">
      <formula>AND(IF($Q90=2,1,0),IF($X90&lt;30,1,0))</formula>
    </cfRule>
    <cfRule type="expression" dxfId="7247" priority="2761">
      <formula>AND(IF($Q90=3,1,0),IF($X90&lt;30,1,0))</formula>
    </cfRule>
    <cfRule type="expression" dxfId="7246" priority="2762">
      <formula>AND(IF($Q90=3,1,IF($Q90=4,1,0)),IF($F90&lt;=85,1,0))</formula>
    </cfRule>
  </conditionalFormatting>
  <conditionalFormatting sqref="AI90">
    <cfRule type="expression" dxfId="7245" priority="2755">
      <formula>AND(IF(OR($Q90=1,$Q90=2),1,0),IF($X90&lt;=20,1,0))</formula>
    </cfRule>
    <cfRule type="expression" dxfId="7244" priority="2756">
      <formula>AND(IF($Q90=2,1,0),IF($X90&lt;30,1,0))</formula>
    </cfRule>
    <cfRule type="expression" dxfId="7243" priority="2757">
      <formula>AND(IF($Q90=3,1,0),IF($X90&lt;30,1,0))</formula>
    </cfRule>
    <cfRule type="expression" dxfId="7242" priority="2758">
      <formula>AND(IF($Q90=3,1,IF($Q90=4,1,0)),IF($F90&lt;=85,1,0))</formula>
    </cfRule>
  </conditionalFormatting>
  <conditionalFormatting sqref="AV91">
    <cfRule type="expression" dxfId="7241" priority="2753">
      <formula>AV91="X"</formula>
    </cfRule>
    <cfRule type="expression" dxfId="7240" priority="2754">
      <formula>AV91="후보"</formula>
    </cfRule>
  </conditionalFormatting>
  <conditionalFormatting sqref="AC91">
    <cfRule type="cellIs" dxfId="7239" priority="2751" operator="greaterThan">
      <formula>0.9</formula>
    </cfRule>
    <cfRule type="cellIs" dxfId="7238" priority="2752" operator="greaterThan">
      <formula>0.85</formula>
    </cfRule>
  </conditionalFormatting>
  <conditionalFormatting sqref="N91">
    <cfRule type="cellIs" dxfId="7237" priority="2749" operator="greaterThan">
      <formula>0.9</formula>
    </cfRule>
    <cfRule type="cellIs" dxfId="7236" priority="2750" operator="greaterThan">
      <formula>0.85</formula>
    </cfRule>
  </conditionalFormatting>
  <conditionalFormatting sqref="E91">
    <cfRule type="expression" dxfId="7235" priority="2745">
      <formula>AND(IF(OR($Q91=1,$Q91=2),1,0),IF($X91&lt;=20,1,0))</formula>
    </cfRule>
    <cfRule type="expression" dxfId="7234" priority="2746">
      <formula>AND(IF($Q91=2,1,0),IF($X91&lt;30,1,0))</formula>
    </cfRule>
    <cfRule type="expression" dxfId="7233" priority="2747">
      <formula>AND(IF($Q91=3,1,0),IF($X91&lt;30,1,0))</formula>
    </cfRule>
    <cfRule type="expression" dxfId="7232" priority="2748">
      <formula>AND(IF($Q91=3,1,IF($Q91=4,1,0)),IF($F91&lt;=85,1,0))</formula>
    </cfRule>
  </conditionalFormatting>
  <conditionalFormatting sqref="X91">
    <cfRule type="expression" dxfId="7231" priority="2741">
      <formula>AND(IF(OR($Q91=1,$Q91=2),1,0),IF($X91&lt;=20,1,0))</formula>
    </cfRule>
    <cfRule type="expression" dxfId="7230" priority="2742">
      <formula>AND(IF($Q91=2,1,0),IF($X91&lt;30,1,0))</formula>
    </cfRule>
    <cfRule type="expression" dxfId="7229" priority="2743">
      <formula>AND(IF($Q91=3,1,0),IF($X91&lt;30,1,0))</formula>
    </cfRule>
    <cfRule type="expression" dxfId="7228" priority="2744">
      <formula>AND(IF($Q91=3,1,IF($Q91=4,1,0)),IF($F91&lt;=85,1,0))</formula>
    </cfRule>
  </conditionalFormatting>
  <conditionalFormatting sqref="AI91">
    <cfRule type="expression" dxfId="7227" priority="2737">
      <formula>AND(IF(OR($Q91=1,$Q91=2),1,0),IF($X91&lt;=20,1,0))</formula>
    </cfRule>
    <cfRule type="expression" dxfId="7226" priority="2738">
      <formula>AND(IF($Q91=2,1,0),IF($X91&lt;30,1,0))</formula>
    </cfRule>
    <cfRule type="expression" dxfId="7225" priority="2739">
      <formula>AND(IF($Q91=3,1,0),IF($X91&lt;30,1,0))</formula>
    </cfRule>
    <cfRule type="expression" dxfId="7224" priority="2740">
      <formula>AND(IF($Q91=3,1,IF($Q91=4,1,0)),IF($F91&lt;=85,1,0))</formula>
    </cfRule>
  </conditionalFormatting>
  <conditionalFormatting sqref="AV92">
    <cfRule type="expression" dxfId="7223" priority="2735">
      <formula>AV92="X"</formula>
    </cfRule>
    <cfRule type="expression" dxfId="7222" priority="2736">
      <formula>AV92="후보"</formula>
    </cfRule>
  </conditionalFormatting>
  <conditionalFormatting sqref="AC92">
    <cfRule type="cellIs" dxfId="7221" priority="2733" operator="greaterThan">
      <formula>0.9</formula>
    </cfRule>
    <cfRule type="cellIs" dxfId="7220" priority="2734" operator="greaterThan">
      <formula>0.85</formula>
    </cfRule>
  </conditionalFormatting>
  <conditionalFormatting sqref="N92">
    <cfRule type="cellIs" dxfId="7219" priority="2731" operator="greaterThan">
      <formula>0.9</formula>
    </cfRule>
    <cfRule type="cellIs" dxfId="7218" priority="2732" operator="greaterThan">
      <formula>0.85</formula>
    </cfRule>
  </conditionalFormatting>
  <conditionalFormatting sqref="E92">
    <cfRule type="expression" dxfId="7217" priority="2727">
      <formula>AND(IF(OR($Q92=1,$Q92=2),1,0),IF($X92&lt;=20,1,0))</formula>
    </cfRule>
    <cfRule type="expression" dxfId="7216" priority="2728">
      <formula>AND(IF($Q92=2,1,0),IF($X92&lt;30,1,0))</formula>
    </cfRule>
    <cfRule type="expression" dxfId="7215" priority="2729">
      <formula>AND(IF($Q92=3,1,0),IF($X92&lt;30,1,0))</formula>
    </cfRule>
    <cfRule type="expression" dxfId="7214" priority="2730">
      <formula>AND(IF($Q92=3,1,IF($Q92=4,1,0)),IF($F92&lt;=85,1,0))</formula>
    </cfRule>
  </conditionalFormatting>
  <conditionalFormatting sqref="X92">
    <cfRule type="expression" dxfId="7213" priority="2723">
      <formula>AND(IF(OR($Q92=1,$Q92=2),1,0),IF($X92&lt;=20,1,0))</formula>
    </cfRule>
    <cfRule type="expression" dxfId="7212" priority="2724">
      <formula>AND(IF($Q92=2,1,0),IF($X92&lt;30,1,0))</formula>
    </cfRule>
    <cfRule type="expression" dxfId="7211" priority="2725">
      <formula>AND(IF($Q92=3,1,0),IF($X92&lt;30,1,0))</formula>
    </cfRule>
    <cfRule type="expression" dxfId="7210" priority="2726">
      <formula>AND(IF($Q92=3,1,IF($Q92=4,1,0)),IF($F92&lt;=85,1,0))</formula>
    </cfRule>
  </conditionalFormatting>
  <conditionalFormatting sqref="AI92">
    <cfRule type="expression" dxfId="7209" priority="2719">
      <formula>AND(IF(OR($Q92=1,$Q92=2),1,0),IF($X92&lt;=20,1,0))</formula>
    </cfRule>
    <cfRule type="expression" dxfId="7208" priority="2720">
      <formula>AND(IF($Q92=2,1,0),IF($X92&lt;30,1,0))</formula>
    </cfRule>
    <cfRule type="expression" dxfId="7207" priority="2721">
      <formula>AND(IF($Q92=3,1,0),IF($X92&lt;30,1,0))</formula>
    </cfRule>
    <cfRule type="expression" dxfId="7206" priority="2722">
      <formula>AND(IF($Q92=3,1,IF($Q92=4,1,0)),IF($F92&lt;=85,1,0))</formula>
    </cfRule>
  </conditionalFormatting>
  <conditionalFormatting sqref="AV93">
    <cfRule type="expression" dxfId="7205" priority="2717">
      <formula>AV93="X"</formula>
    </cfRule>
    <cfRule type="expression" dxfId="7204" priority="2718">
      <formula>AV93="후보"</formula>
    </cfRule>
  </conditionalFormatting>
  <conditionalFormatting sqref="AC93">
    <cfRule type="cellIs" dxfId="7203" priority="2715" operator="greaterThan">
      <formula>0.9</formula>
    </cfRule>
    <cfRule type="cellIs" dxfId="7202" priority="2716" operator="greaterThan">
      <formula>0.85</formula>
    </cfRule>
  </conditionalFormatting>
  <conditionalFormatting sqref="N93">
    <cfRule type="cellIs" dxfId="7201" priority="2713" operator="greaterThan">
      <formula>0.9</formula>
    </cfRule>
    <cfRule type="cellIs" dxfId="7200" priority="2714" operator="greaterThan">
      <formula>0.85</formula>
    </cfRule>
  </conditionalFormatting>
  <conditionalFormatting sqref="E93">
    <cfRule type="expression" dxfId="7199" priority="2709">
      <formula>AND(IF(OR($Q93=1,$Q93=2),1,0),IF($X93&lt;=20,1,0))</formula>
    </cfRule>
    <cfRule type="expression" dxfId="7198" priority="2710">
      <formula>AND(IF($Q93=2,1,0),IF($X93&lt;30,1,0))</formula>
    </cfRule>
    <cfRule type="expression" dxfId="7197" priority="2711">
      <formula>AND(IF($Q93=3,1,0),IF($X93&lt;30,1,0))</formula>
    </cfRule>
    <cfRule type="expression" dxfId="7196" priority="2712">
      <formula>AND(IF($Q93=3,1,IF($Q93=4,1,0)),IF($F93&lt;=85,1,0))</formula>
    </cfRule>
  </conditionalFormatting>
  <conditionalFormatting sqref="X93">
    <cfRule type="expression" dxfId="7195" priority="2705">
      <formula>AND(IF(OR($Q93=1,$Q93=2),1,0),IF($X93&lt;=20,1,0))</formula>
    </cfRule>
    <cfRule type="expression" dxfId="7194" priority="2706">
      <formula>AND(IF($Q93=2,1,0),IF($X93&lt;30,1,0))</formula>
    </cfRule>
    <cfRule type="expression" dxfId="7193" priority="2707">
      <formula>AND(IF($Q93=3,1,0),IF($X93&lt;30,1,0))</formula>
    </cfRule>
    <cfRule type="expression" dxfId="7192" priority="2708">
      <formula>AND(IF($Q93=3,1,IF($Q93=4,1,0)),IF($F93&lt;=85,1,0))</formula>
    </cfRule>
  </conditionalFormatting>
  <conditionalFormatting sqref="AI93">
    <cfRule type="expression" dxfId="7191" priority="2701">
      <formula>AND(IF(OR($Q93=1,$Q93=2),1,0),IF($X93&lt;=20,1,0))</formula>
    </cfRule>
    <cfRule type="expression" dxfId="7190" priority="2702">
      <formula>AND(IF($Q93=2,1,0),IF($X93&lt;30,1,0))</formula>
    </cfRule>
    <cfRule type="expression" dxfId="7189" priority="2703">
      <formula>AND(IF($Q93=3,1,0),IF($X93&lt;30,1,0))</formula>
    </cfRule>
    <cfRule type="expression" dxfId="7188" priority="2704">
      <formula>AND(IF($Q93=3,1,IF($Q93=4,1,0)),IF($F93&lt;=85,1,0))</formula>
    </cfRule>
  </conditionalFormatting>
  <conditionalFormatting sqref="AV94">
    <cfRule type="expression" dxfId="7187" priority="2699">
      <formula>AV94="X"</formula>
    </cfRule>
    <cfRule type="expression" dxfId="7186" priority="2700">
      <formula>AV94="후보"</formula>
    </cfRule>
  </conditionalFormatting>
  <conditionalFormatting sqref="AC94">
    <cfRule type="cellIs" dxfId="7185" priority="2697" operator="greaterThan">
      <formula>0.9</formula>
    </cfRule>
    <cfRule type="cellIs" dxfId="7184" priority="2698" operator="greaterThan">
      <formula>0.85</formula>
    </cfRule>
  </conditionalFormatting>
  <conditionalFormatting sqref="N94">
    <cfRule type="cellIs" dxfId="7183" priority="2695" operator="greaterThan">
      <formula>0.9</formula>
    </cfRule>
    <cfRule type="cellIs" dxfId="7182" priority="2696" operator="greaterThan">
      <formula>0.85</formula>
    </cfRule>
  </conditionalFormatting>
  <conditionalFormatting sqref="E94">
    <cfRule type="expression" dxfId="7181" priority="2691">
      <formula>AND(IF(OR($Q94=1,$Q94=2),1,0),IF($X94&lt;=20,1,0))</formula>
    </cfRule>
    <cfRule type="expression" dxfId="7180" priority="2692">
      <formula>AND(IF($Q94=2,1,0),IF($X94&lt;30,1,0))</formula>
    </cfRule>
    <cfRule type="expression" dxfId="7179" priority="2693">
      <formula>AND(IF($Q94=3,1,0),IF($X94&lt;30,1,0))</formula>
    </cfRule>
    <cfRule type="expression" dxfId="7178" priority="2694">
      <formula>AND(IF($Q94=3,1,IF($Q94=4,1,0)),IF($F94&lt;=85,1,0))</formula>
    </cfRule>
  </conditionalFormatting>
  <conditionalFormatting sqref="X94">
    <cfRule type="expression" dxfId="7177" priority="2687">
      <formula>AND(IF(OR($Q94=1,$Q94=2),1,0),IF($X94&lt;=20,1,0))</formula>
    </cfRule>
    <cfRule type="expression" dxfId="7176" priority="2688">
      <formula>AND(IF($Q94=2,1,0),IF($X94&lt;30,1,0))</formula>
    </cfRule>
    <cfRule type="expression" dxfId="7175" priority="2689">
      <formula>AND(IF($Q94=3,1,0),IF($X94&lt;30,1,0))</formula>
    </cfRule>
    <cfRule type="expression" dxfId="7174" priority="2690">
      <formula>AND(IF($Q94=3,1,IF($Q94=4,1,0)),IF($F94&lt;=85,1,0))</formula>
    </cfRule>
  </conditionalFormatting>
  <conditionalFormatting sqref="AI94">
    <cfRule type="expression" dxfId="7173" priority="2683">
      <formula>AND(IF(OR($Q94=1,$Q94=2),1,0),IF($X94&lt;=20,1,0))</formula>
    </cfRule>
    <cfRule type="expression" dxfId="7172" priority="2684">
      <formula>AND(IF($Q94=2,1,0),IF($X94&lt;30,1,0))</formula>
    </cfRule>
    <cfRule type="expression" dxfId="7171" priority="2685">
      <formula>AND(IF($Q94=3,1,0),IF($X94&lt;30,1,0))</formula>
    </cfRule>
    <cfRule type="expression" dxfId="7170" priority="2686">
      <formula>AND(IF($Q94=3,1,IF($Q94=4,1,0)),IF($F94&lt;=85,1,0))</formula>
    </cfRule>
  </conditionalFormatting>
  <conditionalFormatting sqref="AV95">
    <cfRule type="expression" dxfId="7169" priority="2681">
      <formula>AV95="X"</formula>
    </cfRule>
    <cfRule type="expression" dxfId="7168" priority="2682">
      <formula>AV95="후보"</formula>
    </cfRule>
  </conditionalFormatting>
  <conditionalFormatting sqref="AC95">
    <cfRule type="cellIs" dxfId="7167" priority="2679" operator="greaterThan">
      <formula>0.9</formula>
    </cfRule>
    <cfRule type="cellIs" dxfId="7166" priority="2680" operator="greaterThan">
      <formula>0.85</formula>
    </cfRule>
  </conditionalFormatting>
  <conditionalFormatting sqref="N95">
    <cfRule type="cellIs" dxfId="7165" priority="2677" operator="greaterThan">
      <formula>0.9</formula>
    </cfRule>
    <cfRule type="cellIs" dxfId="7164" priority="2678" operator="greaterThan">
      <formula>0.85</formula>
    </cfRule>
  </conditionalFormatting>
  <conditionalFormatting sqref="E95">
    <cfRule type="expression" dxfId="7163" priority="2673">
      <formula>AND(IF(OR($Q95=1,$Q95=2),1,0),IF($X95&lt;=20,1,0))</formula>
    </cfRule>
    <cfRule type="expression" dxfId="7162" priority="2674">
      <formula>AND(IF($Q95=2,1,0),IF($X95&lt;30,1,0))</formula>
    </cfRule>
    <cfRule type="expression" dxfId="7161" priority="2675">
      <formula>AND(IF($Q95=3,1,0),IF($X95&lt;30,1,0))</formula>
    </cfRule>
    <cfRule type="expression" dxfId="7160" priority="2676">
      <formula>AND(IF($Q95=3,1,IF($Q95=4,1,0)),IF($F95&lt;=85,1,0))</formula>
    </cfRule>
  </conditionalFormatting>
  <conditionalFormatting sqref="X95">
    <cfRule type="expression" dxfId="7159" priority="2669">
      <formula>AND(IF(OR($Q95=1,$Q95=2),1,0),IF($X95&lt;=20,1,0))</formula>
    </cfRule>
    <cfRule type="expression" dxfId="7158" priority="2670">
      <formula>AND(IF($Q95=2,1,0),IF($X95&lt;30,1,0))</formula>
    </cfRule>
    <cfRule type="expression" dxfId="7157" priority="2671">
      <formula>AND(IF($Q95=3,1,0),IF($X95&lt;30,1,0))</formula>
    </cfRule>
    <cfRule type="expression" dxfId="7156" priority="2672">
      <formula>AND(IF($Q95=3,1,IF($Q95=4,1,0)),IF($F95&lt;=85,1,0))</formula>
    </cfRule>
  </conditionalFormatting>
  <conditionalFormatting sqref="AI95">
    <cfRule type="expression" dxfId="7155" priority="2665">
      <formula>AND(IF(OR($Q95=1,$Q95=2),1,0),IF($X95&lt;=20,1,0))</formula>
    </cfRule>
    <cfRule type="expression" dxfId="7154" priority="2666">
      <formula>AND(IF($Q95=2,1,0),IF($X95&lt;30,1,0))</formula>
    </cfRule>
    <cfRule type="expression" dxfId="7153" priority="2667">
      <formula>AND(IF($Q95=3,1,0),IF($X95&lt;30,1,0))</formula>
    </cfRule>
    <cfRule type="expression" dxfId="7152" priority="2668">
      <formula>AND(IF($Q95=3,1,IF($Q95=4,1,0)),IF($F95&lt;=85,1,0))</formula>
    </cfRule>
  </conditionalFormatting>
  <conditionalFormatting sqref="AV96">
    <cfRule type="expression" dxfId="7151" priority="2663">
      <formula>AV96="X"</formula>
    </cfRule>
    <cfRule type="expression" dxfId="7150" priority="2664">
      <formula>AV96="후보"</formula>
    </cfRule>
  </conditionalFormatting>
  <conditionalFormatting sqref="AC96">
    <cfRule type="cellIs" dxfId="7149" priority="2661" operator="greaterThan">
      <formula>0.9</formula>
    </cfRule>
    <cfRule type="cellIs" dxfId="7148" priority="2662" operator="greaterThan">
      <formula>0.85</formula>
    </cfRule>
  </conditionalFormatting>
  <conditionalFormatting sqref="N96">
    <cfRule type="cellIs" dxfId="7147" priority="2659" operator="greaterThan">
      <formula>0.9</formula>
    </cfRule>
    <cfRule type="cellIs" dxfId="7146" priority="2660" operator="greaterThan">
      <formula>0.85</formula>
    </cfRule>
  </conditionalFormatting>
  <conditionalFormatting sqref="E96">
    <cfRule type="expression" dxfId="7145" priority="2655">
      <formula>AND(IF(OR($Q96=1,$Q96=2),1,0),IF($X96&lt;=20,1,0))</formula>
    </cfRule>
    <cfRule type="expression" dxfId="7144" priority="2656">
      <formula>AND(IF($Q96=2,1,0),IF($X96&lt;30,1,0))</formula>
    </cfRule>
    <cfRule type="expression" dxfId="7143" priority="2657">
      <formula>AND(IF($Q96=3,1,0),IF($X96&lt;30,1,0))</formula>
    </cfRule>
    <cfRule type="expression" dxfId="7142" priority="2658">
      <formula>AND(IF($Q96=3,1,IF($Q96=4,1,0)),IF($F96&lt;=85,1,0))</formula>
    </cfRule>
  </conditionalFormatting>
  <conditionalFormatting sqref="X96">
    <cfRule type="expression" dxfId="7141" priority="2651">
      <formula>AND(IF(OR($Q96=1,$Q96=2),1,0),IF($X96&lt;=20,1,0))</formula>
    </cfRule>
    <cfRule type="expression" dxfId="7140" priority="2652">
      <formula>AND(IF($Q96=2,1,0),IF($X96&lt;30,1,0))</formula>
    </cfRule>
    <cfRule type="expression" dxfId="7139" priority="2653">
      <formula>AND(IF($Q96=3,1,0),IF($X96&lt;30,1,0))</formula>
    </cfRule>
    <cfRule type="expression" dxfId="7138" priority="2654">
      <formula>AND(IF($Q96=3,1,IF($Q96=4,1,0)),IF($F96&lt;=85,1,0))</formula>
    </cfRule>
  </conditionalFormatting>
  <conditionalFormatting sqref="AI96">
    <cfRule type="expression" dxfId="7137" priority="2647">
      <formula>AND(IF(OR($Q96=1,$Q96=2),1,0),IF($X96&lt;=20,1,0))</formula>
    </cfRule>
    <cfRule type="expression" dxfId="7136" priority="2648">
      <formula>AND(IF($Q96=2,1,0),IF($X96&lt;30,1,0))</formula>
    </cfRule>
    <cfRule type="expression" dxfId="7135" priority="2649">
      <formula>AND(IF($Q96=3,1,0),IF($X96&lt;30,1,0))</formula>
    </cfRule>
    <cfRule type="expression" dxfId="7134" priority="2650">
      <formula>AND(IF($Q96=3,1,IF($Q96=4,1,0)),IF($F96&lt;=85,1,0))</formula>
    </cfRule>
  </conditionalFormatting>
  <conditionalFormatting sqref="AV97">
    <cfRule type="expression" dxfId="7133" priority="2645">
      <formula>AV97="X"</formula>
    </cfRule>
    <cfRule type="expression" dxfId="7132" priority="2646">
      <formula>AV97="후보"</formula>
    </cfRule>
  </conditionalFormatting>
  <conditionalFormatting sqref="AC97">
    <cfRule type="cellIs" dxfId="7131" priority="2643" operator="greaterThan">
      <formula>0.9</formula>
    </cfRule>
    <cfRule type="cellIs" dxfId="7130" priority="2644" operator="greaterThan">
      <formula>0.85</formula>
    </cfRule>
  </conditionalFormatting>
  <conditionalFormatting sqref="N97">
    <cfRule type="cellIs" dxfId="7129" priority="2641" operator="greaterThan">
      <formula>0.9</formula>
    </cfRule>
    <cfRule type="cellIs" dxfId="7128" priority="2642" operator="greaterThan">
      <formula>0.85</formula>
    </cfRule>
  </conditionalFormatting>
  <conditionalFormatting sqref="E97">
    <cfRule type="expression" dxfId="7127" priority="2637">
      <formula>AND(IF(OR($Q97=1,$Q97=2),1,0),IF($X97&lt;=20,1,0))</formula>
    </cfRule>
    <cfRule type="expression" dxfId="7126" priority="2638">
      <formula>AND(IF($Q97=2,1,0),IF($X97&lt;30,1,0))</formula>
    </cfRule>
    <cfRule type="expression" dxfId="7125" priority="2639">
      <formula>AND(IF($Q97=3,1,0),IF($X97&lt;30,1,0))</formula>
    </cfRule>
    <cfRule type="expression" dxfId="7124" priority="2640">
      <formula>AND(IF($Q97=3,1,IF($Q97=4,1,0)),IF($F97&lt;=85,1,0))</formula>
    </cfRule>
  </conditionalFormatting>
  <conditionalFormatting sqref="X97">
    <cfRule type="expression" dxfId="7123" priority="2633">
      <formula>AND(IF(OR($Q97=1,$Q97=2),1,0),IF($X97&lt;=20,1,0))</formula>
    </cfRule>
    <cfRule type="expression" dxfId="7122" priority="2634">
      <formula>AND(IF($Q97=2,1,0),IF($X97&lt;30,1,0))</formula>
    </cfRule>
    <cfRule type="expression" dxfId="7121" priority="2635">
      <formula>AND(IF($Q97=3,1,0),IF($X97&lt;30,1,0))</formula>
    </cfRule>
    <cfRule type="expression" dxfId="7120" priority="2636">
      <formula>AND(IF($Q97=3,1,IF($Q97=4,1,0)),IF($F97&lt;=85,1,0))</formula>
    </cfRule>
  </conditionalFormatting>
  <conditionalFormatting sqref="AI97">
    <cfRule type="expression" dxfId="7119" priority="2629">
      <formula>AND(IF(OR($Q97=1,$Q97=2),1,0),IF($X97&lt;=20,1,0))</formula>
    </cfRule>
    <cfRule type="expression" dxfId="7118" priority="2630">
      <formula>AND(IF($Q97=2,1,0),IF($X97&lt;30,1,0))</formula>
    </cfRule>
    <cfRule type="expression" dxfId="7117" priority="2631">
      <formula>AND(IF($Q97=3,1,0),IF($X97&lt;30,1,0))</formula>
    </cfRule>
    <cfRule type="expression" dxfId="7116" priority="2632">
      <formula>AND(IF($Q97=3,1,IF($Q97=4,1,0)),IF($F97&lt;=85,1,0))</formula>
    </cfRule>
  </conditionalFormatting>
  <conditionalFormatting sqref="AV98">
    <cfRule type="expression" dxfId="7115" priority="2627">
      <formula>AV98="X"</formula>
    </cfRule>
    <cfRule type="expression" dxfId="7114" priority="2628">
      <formula>AV98="후보"</formula>
    </cfRule>
  </conditionalFormatting>
  <conditionalFormatting sqref="AC98">
    <cfRule type="cellIs" dxfId="7113" priority="2625" operator="greaterThan">
      <formula>0.9</formula>
    </cfRule>
    <cfRule type="cellIs" dxfId="7112" priority="2626" operator="greaterThan">
      <formula>0.85</formula>
    </cfRule>
  </conditionalFormatting>
  <conditionalFormatting sqref="N98">
    <cfRule type="cellIs" dxfId="7111" priority="2623" operator="greaterThan">
      <formula>0.9</formula>
    </cfRule>
    <cfRule type="cellIs" dxfId="7110" priority="2624" operator="greaterThan">
      <formula>0.85</formula>
    </cfRule>
  </conditionalFormatting>
  <conditionalFormatting sqref="E98">
    <cfRule type="expression" dxfId="7109" priority="2619">
      <formula>AND(IF(OR($Q98=1,$Q98=2),1,0),IF($X98&lt;=20,1,0))</formula>
    </cfRule>
    <cfRule type="expression" dxfId="7108" priority="2620">
      <formula>AND(IF($Q98=2,1,0),IF($X98&lt;30,1,0))</formula>
    </cfRule>
    <cfRule type="expression" dxfId="7107" priority="2621">
      <formula>AND(IF($Q98=3,1,0),IF($X98&lt;30,1,0))</formula>
    </cfRule>
    <cfRule type="expression" dxfId="7106" priority="2622">
      <formula>AND(IF($Q98=3,1,IF($Q98=4,1,0)),IF($F98&lt;=85,1,0))</formula>
    </cfRule>
  </conditionalFormatting>
  <conditionalFormatting sqref="X98">
    <cfRule type="expression" dxfId="7105" priority="2615">
      <formula>AND(IF(OR($Q98=1,$Q98=2),1,0),IF($X98&lt;=20,1,0))</formula>
    </cfRule>
    <cfRule type="expression" dxfId="7104" priority="2616">
      <formula>AND(IF($Q98=2,1,0),IF($X98&lt;30,1,0))</formula>
    </cfRule>
    <cfRule type="expression" dxfId="7103" priority="2617">
      <formula>AND(IF($Q98=3,1,0),IF($X98&lt;30,1,0))</formula>
    </cfRule>
    <cfRule type="expression" dxfId="7102" priority="2618">
      <formula>AND(IF($Q98=3,1,IF($Q98=4,1,0)),IF($F98&lt;=85,1,0))</formula>
    </cfRule>
  </conditionalFormatting>
  <conditionalFormatting sqref="AI98">
    <cfRule type="expression" dxfId="7101" priority="2611">
      <formula>AND(IF(OR($Q98=1,$Q98=2),1,0),IF($X98&lt;=20,1,0))</formula>
    </cfRule>
    <cfRule type="expression" dxfId="7100" priority="2612">
      <formula>AND(IF($Q98=2,1,0),IF($X98&lt;30,1,0))</formula>
    </cfRule>
    <cfRule type="expression" dxfId="7099" priority="2613">
      <formula>AND(IF($Q98=3,1,0),IF($X98&lt;30,1,0))</formula>
    </cfRule>
    <cfRule type="expression" dxfId="7098" priority="2614">
      <formula>AND(IF($Q98=3,1,IF($Q98=4,1,0)),IF($F98&lt;=85,1,0))</formula>
    </cfRule>
  </conditionalFormatting>
  <conditionalFormatting sqref="AV99">
    <cfRule type="expression" dxfId="7097" priority="2609">
      <formula>AV99="X"</formula>
    </cfRule>
    <cfRule type="expression" dxfId="7096" priority="2610">
      <formula>AV99="후보"</formula>
    </cfRule>
  </conditionalFormatting>
  <conditionalFormatting sqref="AC99">
    <cfRule type="cellIs" dxfId="7095" priority="2607" operator="greaterThan">
      <formula>0.9</formula>
    </cfRule>
    <cfRule type="cellIs" dxfId="7094" priority="2608" operator="greaterThan">
      <formula>0.85</formula>
    </cfRule>
  </conditionalFormatting>
  <conditionalFormatting sqref="N99">
    <cfRule type="cellIs" dxfId="7093" priority="2605" operator="greaterThan">
      <formula>0.9</formula>
    </cfRule>
    <cfRule type="cellIs" dxfId="7092" priority="2606" operator="greaterThan">
      <formula>0.85</formula>
    </cfRule>
  </conditionalFormatting>
  <conditionalFormatting sqref="E99">
    <cfRule type="expression" dxfId="7091" priority="2601">
      <formula>AND(IF(OR($Q99=1,$Q99=2),1,0),IF($X99&lt;=20,1,0))</formula>
    </cfRule>
    <cfRule type="expression" dxfId="7090" priority="2602">
      <formula>AND(IF($Q99=2,1,0),IF($X99&lt;30,1,0))</formula>
    </cfRule>
    <cfRule type="expression" dxfId="7089" priority="2603">
      <formula>AND(IF($Q99=3,1,0),IF($X99&lt;30,1,0))</formula>
    </cfRule>
    <cfRule type="expression" dxfId="7088" priority="2604">
      <formula>AND(IF($Q99=3,1,IF($Q99=4,1,0)),IF($F99&lt;=85,1,0))</formula>
    </cfRule>
  </conditionalFormatting>
  <conditionalFormatting sqref="X99">
    <cfRule type="expression" dxfId="7087" priority="2597">
      <formula>AND(IF(OR($Q99=1,$Q99=2),1,0),IF($X99&lt;=20,1,0))</formula>
    </cfRule>
    <cfRule type="expression" dxfId="7086" priority="2598">
      <formula>AND(IF($Q99=2,1,0),IF($X99&lt;30,1,0))</formula>
    </cfRule>
    <cfRule type="expression" dxfId="7085" priority="2599">
      <formula>AND(IF($Q99=3,1,0),IF($X99&lt;30,1,0))</formula>
    </cfRule>
    <cfRule type="expression" dxfId="7084" priority="2600">
      <formula>AND(IF($Q99=3,1,IF($Q99=4,1,0)),IF($F99&lt;=85,1,0))</formula>
    </cfRule>
  </conditionalFormatting>
  <conditionalFormatting sqref="AI99">
    <cfRule type="expression" dxfId="7083" priority="2593">
      <formula>AND(IF(OR($Q99=1,$Q99=2),1,0),IF($X99&lt;=20,1,0))</formula>
    </cfRule>
    <cfRule type="expression" dxfId="7082" priority="2594">
      <formula>AND(IF($Q99=2,1,0),IF($X99&lt;30,1,0))</formula>
    </cfRule>
    <cfRule type="expression" dxfId="7081" priority="2595">
      <formula>AND(IF($Q99=3,1,0),IF($X99&lt;30,1,0))</formula>
    </cfRule>
    <cfRule type="expression" dxfId="7080" priority="2596">
      <formula>AND(IF($Q99=3,1,IF($Q99=4,1,0)),IF($F99&lt;=85,1,0))</formula>
    </cfRule>
  </conditionalFormatting>
  <conditionalFormatting sqref="AV100">
    <cfRule type="expression" dxfId="7079" priority="2591">
      <formula>AV100="X"</formula>
    </cfRule>
    <cfRule type="expression" dxfId="7078" priority="2592">
      <formula>AV100="후보"</formula>
    </cfRule>
  </conditionalFormatting>
  <conditionalFormatting sqref="AC100">
    <cfRule type="cellIs" dxfId="7077" priority="2589" operator="greaterThan">
      <formula>0.9</formula>
    </cfRule>
    <cfRule type="cellIs" dxfId="7076" priority="2590" operator="greaterThan">
      <formula>0.85</formula>
    </cfRule>
  </conditionalFormatting>
  <conditionalFormatting sqref="N100">
    <cfRule type="cellIs" dxfId="7075" priority="2587" operator="greaterThan">
      <formula>0.9</formula>
    </cfRule>
    <cfRule type="cellIs" dxfId="7074" priority="2588" operator="greaterThan">
      <formula>0.85</formula>
    </cfRule>
  </conditionalFormatting>
  <conditionalFormatting sqref="E100">
    <cfRule type="expression" dxfId="7073" priority="2583">
      <formula>AND(IF(OR($Q100=1,$Q100=2),1,0),IF($X100&lt;=20,1,0))</formula>
    </cfRule>
    <cfRule type="expression" dxfId="7072" priority="2584">
      <formula>AND(IF($Q100=2,1,0),IF($X100&lt;30,1,0))</formula>
    </cfRule>
    <cfRule type="expression" dxfId="7071" priority="2585">
      <formula>AND(IF($Q100=3,1,0),IF($X100&lt;30,1,0))</formula>
    </cfRule>
    <cfRule type="expression" dxfId="7070" priority="2586">
      <formula>AND(IF($Q100=3,1,IF($Q100=4,1,0)),IF($F100&lt;=85,1,0))</formula>
    </cfRule>
  </conditionalFormatting>
  <conditionalFormatting sqref="X100">
    <cfRule type="expression" dxfId="7069" priority="2579">
      <formula>AND(IF(OR($Q100=1,$Q100=2),1,0),IF($X100&lt;=20,1,0))</formula>
    </cfRule>
    <cfRule type="expression" dxfId="7068" priority="2580">
      <formula>AND(IF($Q100=2,1,0),IF($X100&lt;30,1,0))</formula>
    </cfRule>
    <cfRule type="expression" dxfId="7067" priority="2581">
      <formula>AND(IF($Q100=3,1,0),IF($X100&lt;30,1,0))</formula>
    </cfRule>
    <cfRule type="expression" dxfId="7066" priority="2582">
      <formula>AND(IF($Q100=3,1,IF($Q100=4,1,0)),IF($F100&lt;=85,1,0))</formula>
    </cfRule>
  </conditionalFormatting>
  <conditionalFormatting sqref="AI100">
    <cfRule type="expression" dxfId="7065" priority="2575">
      <formula>AND(IF(OR($Q100=1,$Q100=2),1,0),IF($X100&lt;=20,1,0))</formula>
    </cfRule>
    <cfRule type="expression" dxfId="7064" priority="2576">
      <formula>AND(IF($Q100=2,1,0),IF($X100&lt;30,1,0))</formula>
    </cfRule>
    <cfRule type="expression" dxfId="7063" priority="2577">
      <formula>AND(IF($Q100=3,1,0),IF($X100&lt;30,1,0))</formula>
    </cfRule>
    <cfRule type="expression" dxfId="7062" priority="2578">
      <formula>AND(IF($Q100=3,1,IF($Q100=4,1,0)),IF($F100&lt;=85,1,0))</formula>
    </cfRule>
  </conditionalFormatting>
  <conditionalFormatting sqref="AV101">
    <cfRule type="expression" dxfId="7061" priority="2573">
      <formula>AV101="X"</formula>
    </cfRule>
    <cfRule type="expression" dxfId="7060" priority="2574">
      <formula>AV101="후보"</formula>
    </cfRule>
  </conditionalFormatting>
  <conditionalFormatting sqref="AC101">
    <cfRule type="cellIs" dxfId="7059" priority="2571" operator="greaterThan">
      <formula>0.9</formula>
    </cfRule>
    <cfRule type="cellIs" dxfId="7058" priority="2572" operator="greaterThan">
      <formula>0.85</formula>
    </cfRule>
  </conditionalFormatting>
  <conditionalFormatting sqref="N101">
    <cfRule type="cellIs" dxfId="7057" priority="2569" operator="greaterThan">
      <formula>0.9</formula>
    </cfRule>
    <cfRule type="cellIs" dxfId="7056" priority="2570" operator="greaterThan">
      <formula>0.85</formula>
    </cfRule>
  </conditionalFormatting>
  <conditionalFormatting sqref="E101">
    <cfRule type="expression" dxfId="7055" priority="2565">
      <formula>AND(IF(OR($Q101=1,$Q101=2),1,0),IF($X101&lt;=20,1,0))</formula>
    </cfRule>
    <cfRule type="expression" dxfId="7054" priority="2566">
      <formula>AND(IF($Q101=2,1,0),IF($X101&lt;30,1,0))</formula>
    </cfRule>
    <cfRule type="expression" dxfId="7053" priority="2567">
      <formula>AND(IF($Q101=3,1,0),IF($X101&lt;30,1,0))</formula>
    </cfRule>
    <cfRule type="expression" dxfId="7052" priority="2568">
      <formula>AND(IF($Q101=3,1,IF($Q101=4,1,0)),IF($F101&lt;=85,1,0))</formula>
    </cfRule>
  </conditionalFormatting>
  <conditionalFormatting sqref="X101">
    <cfRule type="expression" dxfId="7051" priority="2561">
      <formula>AND(IF(OR($Q101=1,$Q101=2),1,0),IF($X101&lt;=20,1,0))</formula>
    </cfRule>
    <cfRule type="expression" dxfId="7050" priority="2562">
      <formula>AND(IF($Q101=2,1,0),IF($X101&lt;30,1,0))</formula>
    </cfRule>
    <cfRule type="expression" dxfId="7049" priority="2563">
      <formula>AND(IF($Q101=3,1,0),IF($X101&lt;30,1,0))</formula>
    </cfRule>
    <cfRule type="expression" dxfId="7048" priority="2564">
      <formula>AND(IF($Q101=3,1,IF($Q101=4,1,0)),IF($F101&lt;=85,1,0))</formula>
    </cfRule>
  </conditionalFormatting>
  <conditionalFormatting sqref="AI101">
    <cfRule type="expression" dxfId="7047" priority="2557">
      <formula>AND(IF(OR($Q101=1,$Q101=2),1,0),IF($X101&lt;=20,1,0))</formula>
    </cfRule>
    <cfRule type="expression" dxfId="7046" priority="2558">
      <formula>AND(IF($Q101=2,1,0),IF($X101&lt;30,1,0))</formula>
    </cfRule>
    <cfRule type="expression" dxfId="7045" priority="2559">
      <formula>AND(IF($Q101=3,1,0),IF($X101&lt;30,1,0))</formula>
    </cfRule>
    <cfRule type="expression" dxfId="7044" priority="2560">
      <formula>AND(IF($Q101=3,1,IF($Q101=4,1,0)),IF($F101&lt;=85,1,0))</formula>
    </cfRule>
  </conditionalFormatting>
  <conditionalFormatting sqref="AV102">
    <cfRule type="expression" dxfId="7043" priority="2555">
      <formula>AV102="X"</formula>
    </cfRule>
    <cfRule type="expression" dxfId="7042" priority="2556">
      <formula>AV102="후보"</formula>
    </cfRule>
  </conditionalFormatting>
  <conditionalFormatting sqref="AC102">
    <cfRule type="cellIs" dxfId="7041" priority="2553" operator="greaterThan">
      <formula>0.9</formula>
    </cfRule>
    <cfRule type="cellIs" dxfId="7040" priority="2554" operator="greaterThan">
      <formula>0.85</formula>
    </cfRule>
  </conditionalFormatting>
  <conditionalFormatting sqref="N102">
    <cfRule type="cellIs" dxfId="7039" priority="2551" operator="greaterThan">
      <formula>0.9</formula>
    </cfRule>
    <cfRule type="cellIs" dxfId="7038" priority="2552" operator="greaterThan">
      <formula>0.85</formula>
    </cfRule>
  </conditionalFormatting>
  <conditionalFormatting sqref="E102">
    <cfRule type="expression" dxfId="7037" priority="2547">
      <formula>AND(IF(OR($Q102=1,$Q102=2),1,0),IF($X102&lt;=20,1,0))</formula>
    </cfRule>
    <cfRule type="expression" dxfId="7036" priority="2548">
      <formula>AND(IF($Q102=2,1,0),IF($X102&lt;30,1,0))</formula>
    </cfRule>
    <cfRule type="expression" dxfId="7035" priority="2549">
      <formula>AND(IF($Q102=3,1,0),IF($X102&lt;30,1,0))</formula>
    </cfRule>
    <cfRule type="expression" dxfId="7034" priority="2550">
      <formula>AND(IF($Q102=3,1,IF($Q102=4,1,0)),IF($F102&lt;=85,1,0))</formula>
    </cfRule>
  </conditionalFormatting>
  <conditionalFormatting sqref="X102">
    <cfRule type="expression" dxfId="7033" priority="2543">
      <formula>AND(IF(OR($Q102=1,$Q102=2),1,0),IF($X102&lt;=20,1,0))</formula>
    </cfRule>
    <cfRule type="expression" dxfId="7032" priority="2544">
      <formula>AND(IF($Q102=2,1,0),IF($X102&lt;30,1,0))</formula>
    </cfRule>
    <cfRule type="expression" dxfId="7031" priority="2545">
      <formula>AND(IF($Q102=3,1,0),IF($X102&lt;30,1,0))</formula>
    </cfRule>
    <cfRule type="expression" dxfId="7030" priority="2546">
      <formula>AND(IF($Q102=3,1,IF($Q102=4,1,0)),IF($F102&lt;=85,1,0))</formula>
    </cfRule>
  </conditionalFormatting>
  <conditionalFormatting sqref="AI102">
    <cfRule type="expression" dxfId="7029" priority="2539">
      <formula>AND(IF(OR($Q102=1,$Q102=2),1,0),IF($X102&lt;=20,1,0))</formula>
    </cfRule>
    <cfRule type="expression" dxfId="7028" priority="2540">
      <formula>AND(IF($Q102=2,1,0),IF($X102&lt;30,1,0))</formula>
    </cfRule>
    <cfRule type="expression" dxfId="7027" priority="2541">
      <formula>AND(IF($Q102=3,1,0),IF($X102&lt;30,1,0))</formula>
    </cfRule>
    <cfRule type="expression" dxfId="7026" priority="2542">
      <formula>AND(IF($Q102=3,1,IF($Q102=4,1,0)),IF($F102&lt;=85,1,0))</formula>
    </cfRule>
  </conditionalFormatting>
  <conditionalFormatting sqref="AV103">
    <cfRule type="expression" dxfId="7025" priority="2537">
      <formula>AV103="X"</formula>
    </cfRule>
    <cfRule type="expression" dxfId="7024" priority="2538">
      <formula>AV103="후보"</formula>
    </cfRule>
  </conditionalFormatting>
  <conditionalFormatting sqref="AC103">
    <cfRule type="cellIs" dxfId="7023" priority="2535" operator="greaterThan">
      <formula>0.9</formula>
    </cfRule>
    <cfRule type="cellIs" dxfId="7022" priority="2536" operator="greaterThan">
      <formula>0.85</formula>
    </cfRule>
  </conditionalFormatting>
  <conditionalFormatting sqref="N103">
    <cfRule type="cellIs" dxfId="7021" priority="2533" operator="greaterThan">
      <formula>0.9</formula>
    </cfRule>
    <cfRule type="cellIs" dxfId="7020" priority="2534" operator="greaterThan">
      <formula>0.85</formula>
    </cfRule>
  </conditionalFormatting>
  <conditionalFormatting sqref="E103">
    <cfRule type="expression" dxfId="7019" priority="2529">
      <formula>AND(IF(OR($Q103=1,$Q103=2),1,0),IF($X103&lt;=20,1,0))</formula>
    </cfRule>
    <cfRule type="expression" dxfId="7018" priority="2530">
      <formula>AND(IF($Q103=2,1,0),IF($X103&lt;30,1,0))</formula>
    </cfRule>
    <cfRule type="expression" dxfId="7017" priority="2531">
      <formula>AND(IF($Q103=3,1,0),IF($X103&lt;30,1,0))</formula>
    </cfRule>
    <cfRule type="expression" dxfId="7016" priority="2532">
      <formula>AND(IF($Q103=3,1,IF($Q103=4,1,0)),IF($F103&lt;=85,1,0))</formula>
    </cfRule>
  </conditionalFormatting>
  <conditionalFormatting sqref="X103">
    <cfRule type="expression" dxfId="7015" priority="2525">
      <formula>AND(IF(OR($Q103=1,$Q103=2),1,0),IF($X103&lt;=20,1,0))</formula>
    </cfRule>
    <cfRule type="expression" dxfId="7014" priority="2526">
      <formula>AND(IF($Q103=2,1,0),IF($X103&lt;30,1,0))</formula>
    </cfRule>
    <cfRule type="expression" dxfId="7013" priority="2527">
      <formula>AND(IF($Q103=3,1,0),IF($X103&lt;30,1,0))</formula>
    </cfRule>
    <cfRule type="expression" dxfId="7012" priority="2528">
      <formula>AND(IF($Q103=3,1,IF($Q103=4,1,0)),IF($F103&lt;=85,1,0))</formula>
    </cfRule>
  </conditionalFormatting>
  <conditionalFormatting sqref="AI103">
    <cfRule type="expression" dxfId="7011" priority="2521">
      <formula>AND(IF(OR($Q103=1,$Q103=2),1,0),IF($X103&lt;=20,1,0))</formula>
    </cfRule>
    <cfRule type="expression" dxfId="7010" priority="2522">
      <formula>AND(IF($Q103=2,1,0),IF($X103&lt;30,1,0))</formula>
    </cfRule>
    <cfRule type="expression" dxfId="7009" priority="2523">
      <formula>AND(IF($Q103=3,1,0),IF($X103&lt;30,1,0))</formula>
    </cfRule>
    <cfRule type="expression" dxfId="7008" priority="2524">
      <formula>AND(IF($Q103=3,1,IF($Q103=4,1,0)),IF($F103&lt;=85,1,0))</formula>
    </cfRule>
  </conditionalFormatting>
  <conditionalFormatting sqref="AV104">
    <cfRule type="expression" dxfId="7007" priority="2519">
      <formula>AV104="X"</formula>
    </cfRule>
    <cfRule type="expression" dxfId="7006" priority="2520">
      <formula>AV104="후보"</formula>
    </cfRule>
  </conditionalFormatting>
  <conditionalFormatting sqref="AC104">
    <cfRule type="cellIs" dxfId="7005" priority="2517" operator="greaterThan">
      <formula>0.9</formula>
    </cfRule>
    <cfRule type="cellIs" dxfId="7004" priority="2518" operator="greaterThan">
      <formula>0.85</formula>
    </cfRule>
  </conditionalFormatting>
  <conditionalFormatting sqref="N104">
    <cfRule type="cellIs" dxfId="7003" priority="2515" operator="greaterThan">
      <formula>0.9</formula>
    </cfRule>
    <cfRule type="cellIs" dxfId="7002" priority="2516" operator="greaterThan">
      <formula>0.85</formula>
    </cfRule>
  </conditionalFormatting>
  <conditionalFormatting sqref="E104">
    <cfRule type="expression" dxfId="7001" priority="2511">
      <formula>AND(IF(OR($Q104=1,$Q104=2),1,0),IF($X104&lt;=20,1,0))</formula>
    </cfRule>
    <cfRule type="expression" dxfId="7000" priority="2512">
      <formula>AND(IF($Q104=2,1,0),IF($X104&lt;30,1,0))</formula>
    </cfRule>
    <cfRule type="expression" dxfId="6999" priority="2513">
      <formula>AND(IF($Q104=3,1,0),IF($X104&lt;30,1,0))</formula>
    </cfRule>
    <cfRule type="expression" dxfId="6998" priority="2514">
      <formula>AND(IF($Q104=3,1,IF($Q104=4,1,0)),IF($F104&lt;=85,1,0))</formula>
    </cfRule>
  </conditionalFormatting>
  <conditionalFormatting sqref="X104">
    <cfRule type="expression" dxfId="6997" priority="2507">
      <formula>AND(IF(OR($Q104=1,$Q104=2),1,0),IF($X104&lt;=20,1,0))</formula>
    </cfRule>
    <cfRule type="expression" dxfId="6996" priority="2508">
      <formula>AND(IF($Q104=2,1,0),IF($X104&lt;30,1,0))</formula>
    </cfRule>
    <cfRule type="expression" dxfId="6995" priority="2509">
      <formula>AND(IF($Q104=3,1,0),IF($X104&lt;30,1,0))</formula>
    </cfRule>
    <cfRule type="expression" dxfId="6994" priority="2510">
      <formula>AND(IF($Q104=3,1,IF($Q104=4,1,0)),IF($F104&lt;=85,1,0))</formula>
    </cfRule>
  </conditionalFormatting>
  <conditionalFormatting sqref="AI104">
    <cfRule type="expression" dxfId="6993" priority="2503">
      <formula>AND(IF(OR($Q104=1,$Q104=2),1,0),IF($X104&lt;=20,1,0))</formula>
    </cfRule>
    <cfRule type="expression" dxfId="6992" priority="2504">
      <formula>AND(IF($Q104=2,1,0),IF($X104&lt;30,1,0))</formula>
    </cfRule>
    <cfRule type="expression" dxfId="6991" priority="2505">
      <formula>AND(IF($Q104=3,1,0),IF($X104&lt;30,1,0))</formula>
    </cfRule>
    <cfRule type="expression" dxfId="6990" priority="2506">
      <formula>AND(IF($Q104=3,1,IF($Q104=4,1,0)),IF($F104&lt;=85,1,0))</formula>
    </cfRule>
  </conditionalFormatting>
  <conditionalFormatting sqref="AV105">
    <cfRule type="expression" dxfId="6989" priority="2501">
      <formula>AV105="X"</formula>
    </cfRule>
    <cfRule type="expression" dxfId="6988" priority="2502">
      <formula>AV105="후보"</formula>
    </cfRule>
  </conditionalFormatting>
  <conditionalFormatting sqref="AC105">
    <cfRule type="cellIs" dxfId="6987" priority="2499" operator="greaterThan">
      <formula>0.9</formula>
    </cfRule>
    <cfRule type="cellIs" dxfId="6986" priority="2500" operator="greaterThan">
      <formula>0.85</formula>
    </cfRule>
  </conditionalFormatting>
  <conditionalFormatting sqref="N105">
    <cfRule type="cellIs" dxfId="6985" priority="2497" operator="greaterThan">
      <formula>0.9</formula>
    </cfRule>
    <cfRule type="cellIs" dxfId="6984" priority="2498" operator="greaterThan">
      <formula>0.85</formula>
    </cfRule>
  </conditionalFormatting>
  <conditionalFormatting sqref="E105">
    <cfRule type="expression" dxfId="6983" priority="2493">
      <formula>AND(IF(OR($Q105=1,$Q105=2),1,0),IF($X105&lt;=20,1,0))</formula>
    </cfRule>
    <cfRule type="expression" dxfId="6982" priority="2494">
      <formula>AND(IF($Q105=2,1,0),IF($X105&lt;30,1,0))</formula>
    </cfRule>
    <cfRule type="expression" dxfId="6981" priority="2495">
      <formula>AND(IF($Q105=3,1,0),IF($X105&lt;30,1,0))</formula>
    </cfRule>
    <cfRule type="expression" dxfId="6980" priority="2496">
      <formula>AND(IF($Q105=3,1,IF($Q105=4,1,0)),IF($F105&lt;=85,1,0))</formula>
    </cfRule>
  </conditionalFormatting>
  <conditionalFormatting sqref="X105">
    <cfRule type="expression" dxfId="6979" priority="2489">
      <formula>AND(IF(OR($Q105=1,$Q105=2),1,0),IF($X105&lt;=20,1,0))</formula>
    </cfRule>
    <cfRule type="expression" dxfId="6978" priority="2490">
      <formula>AND(IF($Q105=2,1,0),IF($X105&lt;30,1,0))</formula>
    </cfRule>
    <cfRule type="expression" dxfId="6977" priority="2491">
      <formula>AND(IF($Q105=3,1,0),IF($X105&lt;30,1,0))</formula>
    </cfRule>
    <cfRule type="expression" dxfId="6976" priority="2492">
      <formula>AND(IF($Q105=3,1,IF($Q105=4,1,0)),IF($F105&lt;=85,1,0))</formula>
    </cfRule>
  </conditionalFormatting>
  <conditionalFormatting sqref="AI105">
    <cfRule type="expression" dxfId="6975" priority="2485">
      <formula>AND(IF(OR($Q105=1,$Q105=2),1,0),IF($X105&lt;=20,1,0))</formula>
    </cfRule>
    <cfRule type="expression" dxfId="6974" priority="2486">
      <formula>AND(IF($Q105=2,1,0),IF($X105&lt;30,1,0))</formula>
    </cfRule>
    <cfRule type="expression" dxfId="6973" priority="2487">
      <formula>AND(IF($Q105=3,1,0),IF($X105&lt;30,1,0))</formula>
    </cfRule>
    <cfRule type="expression" dxfId="6972" priority="2488">
      <formula>AND(IF($Q105=3,1,IF($Q105=4,1,0)),IF($F105&lt;=85,1,0))</formula>
    </cfRule>
  </conditionalFormatting>
  <conditionalFormatting sqref="AV106">
    <cfRule type="expression" dxfId="6971" priority="2483">
      <formula>AV106="X"</formula>
    </cfRule>
    <cfRule type="expression" dxfId="6970" priority="2484">
      <formula>AV106="후보"</formula>
    </cfRule>
  </conditionalFormatting>
  <conditionalFormatting sqref="AC106">
    <cfRule type="cellIs" dxfId="6969" priority="2481" operator="greaterThan">
      <formula>0.9</formula>
    </cfRule>
    <cfRule type="cellIs" dxfId="6968" priority="2482" operator="greaterThan">
      <formula>0.85</formula>
    </cfRule>
  </conditionalFormatting>
  <conditionalFormatting sqref="N106">
    <cfRule type="cellIs" dxfId="6967" priority="2479" operator="greaterThan">
      <formula>0.9</formula>
    </cfRule>
    <cfRule type="cellIs" dxfId="6966" priority="2480" operator="greaterThan">
      <formula>0.85</formula>
    </cfRule>
  </conditionalFormatting>
  <conditionalFormatting sqref="E106">
    <cfRule type="expression" dxfId="6965" priority="2475">
      <formula>AND(IF(OR($Q106=1,$Q106=2),1,0),IF($X106&lt;=20,1,0))</formula>
    </cfRule>
    <cfRule type="expression" dxfId="6964" priority="2476">
      <formula>AND(IF($Q106=2,1,0),IF($X106&lt;30,1,0))</formula>
    </cfRule>
    <cfRule type="expression" dxfId="6963" priority="2477">
      <formula>AND(IF($Q106=3,1,0),IF($X106&lt;30,1,0))</formula>
    </cfRule>
    <cfRule type="expression" dxfId="6962" priority="2478">
      <formula>AND(IF($Q106=3,1,IF($Q106=4,1,0)),IF($F106&lt;=85,1,0))</formula>
    </cfRule>
  </conditionalFormatting>
  <conditionalFormatting sqref="X106">
    <cfRule type="expression" dxfId="6961" priority="2471">
      <formula>AND(IF(OR($Q106=1,$Q106=2),1,0),IF($X106&lt;=20,1,0))</formula>
    </cfRule>
    <cfRule type="expression" dxfId="6960" priority="2472">
      <formula>AND(IF($Q106=2,1,0),IF($X106&lt;30,1,0))</formula>
    </cfRule>
    <cfRule type="expression" dxfId="6959" priority="2473">
      <formula>AND(IF($Q106=3,1,0),IF($X106&lt;30,1,0))</formula>
    </cfRule>
    <cfRule type="expression" dxfId="6958" priority="2474">
      <formula>AND(IF($Q106=3,1,IF($Q106=4,1,0)),IF($F106&lt;=85,1,0))</formula>
    </cfRule>
  </conditionalFormatting>
  <conditionalFormatting sqref="AI106">
    <cfRule type="expression" dxfId="6957" priority="2467">
      <formula>AND(IF(OR($Q106=1,$Q106=2),1,0),IF($X106&lt;=20,1,0))</formula>
    </cfRule>
    <cfRule type="expression" dxfId="6956" priority="2468">
      <formula>AND(IF($Q106=2,1,0),IF($X106&lt;30,1,0))</formula>
    </cfRule>
    <cfRule type="expression" dxfId="6955" priority="2469">
      <formula>AND(IF($Q106=3,1,0),IF($X106&lt;30,1,0))</formula>
    </cfRule>
    <cfRule type="expression" dxfId="6954" priority="2470">
      <formula>AND(IF($Q106=3,1,IF($Q106=4,1,0)),IF($F106&lt;=85,1,0))</formula>
    </cfRule>
  </conditionalFormatting>
  <conditionalFormatting sqref="AV107">
    <cfRule type="expression" dxfId="6953" priority="2465">
      <formula>AV107="X"</formula>
    </cfRule>
    <cfRule type="expression" dxfId="6952" priority="2466">
      <formula>AV107="후보"</formula>
    </cfRule>
  </conditionalFormatting>
  <conditionalFormatting sqref="AC107">
    <cfRule type="cellIs" dxfId="6951" priority="2463" operator="greaterThan">
      <formula>0.9</formula>
    </cfRule>
    <cfRule type="cellIs" dxfId="6950" priority="2464" operator="greaterThan">
      <formula>0.85</formula>
    </cfRule>
  </conditionalFormatting>
  <conditionalFormatting sqref="N107">
    <cfRule type="cellIs" dxfId="6949" priority="2461" operator="greaterThan">
      <formula>0.9</formula>
    </cfRule>
    <cfRule type="cellIs" dxfId="6948" priority="2462" operator="greaterThan">
      <formula>0.85</formula>
    </cfRule>
  </conditionalFormatting>
  <conditionalFormatting sqref="E107">
    <cfRule type="expression" dxfId="6947" priority="2457">
      <formula>AND(IF(OR($Q107=1,$Q107=2),1,0),IF($X107&lt;=20,1,0))</formula>
    </cfRule>
    <cfRule type="expression" dxfId="6946" priority="2458">
      <formula>AND(IF($Q107=2,1,0),IF($X107&lt;30,1,0))</formula>
    </cfRule>
    <cfRule type="expression" dxfId="6945" priority="2459">
      <formula>AND(IF($Q107=3,1,0),IF($X107&lt;30,1,0))</formula>
    </cfRule>
    <cfRule type="expression" dxfId="6944" priority="2460">
      <formula>AND(IF($Q107=3,1,IF($Q107=4,1,0)),IF($F107&lt;=85,1,0))</formula>
    </cfRule>
  </conditionalFormatting>
  <conditionalFormatting sqref="X107">
    <cfRule type="expression" dxfId="6943" priority="2453">
      <formula>AND(IF(OR($Q107=1,$Q107=2),1,0),IF($X107&lt;=20,1,0))</formula>
    </cfRule>
    <cfRule type="expression" dxfId="6942" priority="2454">
      <formula>AND(IF($Q107=2,1,0),IF($X107&lt;30,1,0))</formula>
    </cfRule>
    <cfRule type="expression" dxfId="6941" priority="2455">
      <formula>AND(IF($Q107=3,1,0),IF($X107&lt;30,1,0))</formula>
    </cfRule>
    <cfRule type="expression" dxfId="6940" priority="2456">
      <formula>AND(IF($Q107=3,1,IF($Q107=4,1,0)),IF($F107&lt;=85,1,0))</formula>
    </cfRule>
  </conditionalFormatting>
  <conditionalFormatting sqref="AI107">
    <cfRule type="expression" dxfId="6939" priority="2449">
      <formula>AND(IF(OR($Q107=1,$Q107=2),1,0),IF($X107&lt;=20,1,0))</formula>
    </cfRule>
    <cfRule type="expression" dxfId="6938" priority="2450">
      <formula>AND(IF($Q107=2,1,0),IF($X107&lt;30,1,0))</formula>
    </cfRule>
    <cfRule type="expression" dxfId="6937" priority="2451">
      <formula>AND(IF($Q107=3,1,0),IF($X107&lt;30,1,0))</formula>
    </cfRule>
    <cfRule type="expression" dxfId="6936" priority="2452">
      <formula>AND(IF($Q107=3,1,IF($Q107=4,1,0)),IF($F107&lt;=85,1,0))</formula>
    </cfRule>
  </conditionalFormatting>
  <conditionalFormatting sqref="AV108">
    <cfRule type="expression" dxfId="6935" priority="2447">
      <formula>AV108="X"</formula>
    </cfRule>
    <cfRule type="expression" dxfId="6934" priority="2448">
      <formula>AV108="후보"</formula>
    </cfRule>
  </conditionalFormatting>
  <conditionalFormatting sqref="AC108">
    <cfRule type="cellIs" dxfId="6933" priority="2445" operator="greaterThan">
      <formula>0.9</formula>
    </cfRule>
    <cfRule type="cellIs" dxfId="6932" priority="2446" operator="greaterThan">
      <formula>0.85</formula>
    </cfRule>
  </conditionalFormatting>
  <conditionalFormatting sqref="N108">
    <cfRule type="cellIs" dxfId="6931" priority="2443" operator="greaterThan">
      <formula>0.9</formula>
    </cfRule>
    <cfRule type="cellIs" dxfId="6930" priority="2444" operator="greaterThan">
      <formula>0.85</formula>
    </cfRule>
  </conditionalFormatting>
  <conditionalFormatting sqref="E108">
    <cfRule type="expression" dxfId="6929" priority="2439">
      <formula>AND(IF(OR($Q108=1,$Q108=2),1,0),IF($X108&lt;=20,1,0))</formula>
    </cfRule>
    <cfRule type="expression" dxfId="6928" priority="2440">
      <formula>AND(IF($Q108=2,1,0),IF($X108&lt;30,1,0))</formula>
    </cfRule>
    <cfRule type="expression" dxfId="6927" priority="2441">
      <formula>AND(IF($Q108=3,1,0),IF($X108&lt;30,1,0))</formula>
    </cfRule>
    <cfRule type="expression" dxfId="6926" priority="2442">
      <formula>AND(IF($Q108=3,1,IF($Q108=4,1,0)),IF($F108&lt;=85,1,0))</formula>
    </cfRule>
  </conditionalFormatting>
  <conditionalFormatting sqref="X108">
    <cfRule type="expression" dxfId="6925" priority="2435">
      <formula>AND(IF(OR($Q108=1,$Q108=2),1,0),IF($X108&lt;=20,1,0))</formula>
    </cfRule>
    <cfRule type="expression" dxfId="6924" priority="2436">
      <formula>AND(IF($Q108=2,1,0),IF($X108&lt;30,1,0))</formula>
    </cfRule>
    <cfRule type="expression" dxfId="6923" priority="2437">
      <formula>AND(IF($Q108=3,1,0),IF($X108&lt;30,1,0))</formula>
    </cfRule>
    <cfRule type="expression" dxfId="6922" priority="2438">
      <formula>AND(IF($Q108=3,1,IF($Q108=4,1,0)),IF($F108&lt;=85,1,0))</formula>
    </cfRule>
  </conditionalFormatting>
  <conditionalFormatting sqref="AI108">
    <cfRule type="expression" dxfId="6921" priority="2431">
      <formula>AND(IF(OR($Q108=1,$Q108=2),1,0),IF($X108&lt;=20,1,0))</formula>
    </cfRule>
    <cfRule type="expression" dxfId="6920" priority="2432">
      <formula>AND(IF($Q108=2,1,0),IF($X108&lt;30,1,0))</formula>
    </cfRule>
    <cfRule type="expression" dxfId="6919" priority="2433">
      <formula>AND(IF($Q108=3,1,0),IF($X108&lt;30,1,0))</formula>
    </cfRule>
    <cfRule type="expression" dxfId="6918" priority="2434">
      <formula>AND(IF($Q108=3,1,IF($Q108=4,1,0)),IF($F108&lt;=85,1,0))</formula>
    </cfRule>
  </conditionalFormatting>
  <conditionalFormatting sqref="AV109">
    <cfRule type="expression" dxfId="6917" priority="2429">
      <formula>AV109="X"</formula>
    </cfRule>
    <cfRule type="expression" dxfId="6916" priority="2430">
      <formula>AV109="후보"</formula>
    </cfRule>
  </conditionalFormatting>
  <conditionalFormatting sqref="AC109">
    <cfRule type="cellIs" dxfId="6915" priority="2427" operator="greaterThan">
      <formula>0.9</formula>
    </cfRule>
    <cfRule type="cellIs" dxfId="6914" priority="2428" operator="greaterThan">
      <formula>0.85</formula>
    </cfRule>
  </conditionalFormatting>
  <conditionalFormatting sqref="N109">
    <cfRule type="cellIs" dxfId="6913" priority="2425" operator="greaterThan">
      <formula>0.9</formula>
    </cfRule>
    <cfRule type="cellIs" dxfId="6912" priority="2426" operator="greaterThan">
      <formula>0.85</formula>
    </cfRule>
  </conditionalFormatting>
  <conditionalFormatting sqref="E109">
    <cfRule type="expression" dxfId="6911" priority="2421">
      <formula>AND(IF(OR($Q109=1,$Q109=2),1,0),IF($X109&lt;=20,1,0))</formula>
    </cfRule>
    <cfRule type="expression" dxfId="6910" priority="2422">
      <formula>AND(IF($Q109=2,1,0),IF($X109&lt;30,1,0))</formula>
    </cfRule>
    <cfRule type="expression" dxfId="6909" priority="2423">
      <formula>AND(IF($Q109=3,1,0),IF($X109&lt;30,1,0))</formula>
    </cfRule>
    <cfRule type="expression" dxfId="6908" priority="2424">
      <formula>AND(IF($Q109=3,1,IF($Q109=4,1,0)),IF($F109&lt;=85,1,0))</formula>
    </cfRule>
  </conditionalFormatting>
  <conditionalFormatting sqref="X109">
    <cfRule type="expression" dxfId="6907" priority="2417">
      <formula>AND(IF(OR($Q109=1,$Q109=2),1,0),IF($X109&lt;=20,1,0))</formula>
    </cfRule>
    <cfRule type="expression" dxfId="6906" priority="2418">
      <formula>AND(IF($Q109=2,1,0),IF($X109&lt;30,1,0))</formula>
    </cfRule>
    <cfRule type="expression" dxfId="6905" priority="2419">
      <formula>AND(IF($Q109=3,1,0),IF($X109&lt;30,1,0))</formula>
    </cfRule>
    <cfRule type="expression" dxfId="6904" priority="2420">
      <formula>AND(IF($Q109=3,1,IF($Q109=4,1,0)),IF($F109&lt;=85,1,0))</formula>
    </cfRule>
  </conditionalFormatting>
  <conditionalFormatting sqref="AI109">
    <cfRule type="expression" dxfId="6903" priority="2413">
      <formula>AND(IF(OR($Q109=1,$Q109=2),1,0),IF($X109&lt;=20,1,0))</formula>
    </cfRule>
    <cfRule type="expression" dxfId="6902" priority="2414">
      <formula>AND(IF($Q109=2,1,0),IF($X109&lt;30,1,0))</formula>
    </cfRule>
    <cfRule type="expression" dxfId="6901" priority="2415">
      <formula>AND(IF($Q109=3,1,0),IF($X109&lt;30,1,0))</formula>
    </cfRule>
    <cfRule type="expression" dxfId="6900" priority="2416">
      <formula>AND(IF($Q109=3,1,IF($Q109=4,1,0)),IF($F109&lt;=85,1,0))</formula>
    </cfRule>
  </conditionalFormatting>
  <conditionalFormatting sqref="AV110">
    <cfRule type="expression" dxfId="6899" priority="2411">
      <formula>AV110="X"</formula>
    </cfRule>
    <cfRule type="expression" dxfId="6898" priority="2412">
      <formula>AV110="후보"</formula>
    </cfRule>
  </conditionalFormatting>
  <conditionalFormatting sqref="AC110">
    <cfRule type="cellIs" dxfId="6897" priority="2409" operator="greaterThan">
      <formula>0.9</formula>
    </cfRule>
    <cfRule type="cellIs" dxfId="6896" priority="2410" operator="greaterThan">
      <formula>0.85</formula>
    </cfRule>
  </conditionalFormatting>
  <conditionalFormatting sqref="N110">
    <cfRule type="cellIs" dxfId="6895" priority="2407" operator="greaterThan">
      <formula>0.9</formula>
    </cfRule>
    <cfRule type="cellIs" dxfId="6894" priority="2408" operator="greaterThan">
      <formula>0.85</formula>
    </cfRule>
  </conditionalFormatting>
  <conditionalFormatting sqref="E110">
    <cfRule type="expression" dxfId="6893" priority="2403">
      <formula>AND(IF(OR($Q110=1,$Q110=2),1,0),IF($X110&lt;=20,1,0))</formula>
    </cfRule>
    <cfRule type="expression" dxfId="6892" priority="2404">
      <formula>AND(IF($Q110=2,1,0),IF($X110&lt;30,1,0))</formula>
    </cfRule>
    <cfRule type="expression" dxfId="6891" priority="2405">
      <formula>AND(IF($Q110=3,1,0),IF($X110&lt;30,1,0))</formula>
    </cfRule>
    <cfRule type="expression" dxfId="6890" priority="2406">
      <formula>AND(IF($Q110=3,1,IF($Q110=4,1,0)),IF($F110&lt;=85,1,0))</formula>
    </cfRule>
  </conditionalFormatting>
  <conditionalFormatting sqref="X110">
    <cfRule type="expression" dxfId="6889" priority="2399">
      <formula>AND(IF(OR($Q110=1,$Q110=2),1,0),IF($X110&lt;=20,1,0))</formula>
    </cfRule>
    <cfRule type="expression" dxfId="6888" priority="2400">
      <formula>AND(IF($Q110=2,1,0),IF($X110&lt;30,1,0))</formula>
    </cfRule>
    <cfRule type="expression" dxfId="6887" priority="2401">
      <formula>AND(IF($Q110=3,1,0),IF($X110&lt;30,1,0))</formula>
    </cfRule>
    <cfRule type="expression" dxfId="6886" priority="2402">
      <formula>AND(IF($Q110=3,1,IF($Q110=4,1,0)),IF($F110&lt;=85,1,0))</formula>
    </cfRule>
  </conditionalFormatting>
  <conditionalFormatting sqref="AI110">
    <cfRule type="expression" dxfId="6885" priority="2395">
      <formula>AND(IF(OR($Q110=1,$Q110=2),1,0),IF($X110&lt;=20,1,0))</formula>
    </cfRule>
    <cfRule type="expression" dxfId="6884" priority="2396">
      <formula>AND(IF($Q110=2,1,0),IF($X110&lt;30,1,0))</formula>
    </cfRule>
    <cfRule type="expression" dxfId="6883" priority="2397">
      <formula>AND(IF($Q110=3,1,0),IF($X110&lt;30,1,0))</formula>
    </cfRule>
    <cfRule type="expression" dxfId="6882" priority="2398">
      <formula>AND(IF($Q110=3,1,IF($Q110=4,1,0)),IF($F110&lt;=85,1,0))</formula>
    </cfRule>
  </conditionalFormatting>
  <conditionalFormatting sqref="AV111">
    <cfRule type="expression" dxfId="6881" priority="2393">
      <formula>AV111="X"</formula>
    </cfRule>
    <cfRule type="expression" dxfId="6880" priority="2394">
      <formula>AV111="후보"</formula>
    </cfRule>
  </conditionalFormatting>
  <conditionalFormatting sqref="AC111">
    <cfRule type="cellIs" dxfId="6879" priority="2391" operator="greaterThan">
      <formula>0.9</formula>
    </cfRule>
    <cfRule type="cellIs" dxfId="6878" priority="2392" operator="greaterThan">
      <formula>0.85</formula>
    </cfRule>
  </conditionalFormatting>
  <conditionalFormatting sqref="N111">
    <cfRule type="cellIs" dxfId="6877" priority="2389" operator="greaterThan">
      <formula>0.9</formula>
    </cfRule>
    <cfRule type="cellIs" dxfId="6876" priority="2390" operator="greaterThan">
      <formula>0.85</formula>
    </cfRule>
  </conditionalFormatting>
  <conditionalFormatting sqref="E111">
    <cfRule type="expression" dxfId="6875" priority="2385">
      <formula>AND(IF(OR($Q111=1,$Q111=2),1,0),IF($X111&lt;=20,1,0))</formula>
    </cfRule>
    <cfRule type="expression" dxfId="6874" priority="2386">
      <formula>AND(IF($Q111=2,1,0),IF($X111&lt;30,1,0))</formula>
    </cfRule>
    <cfRule type="expression" dxfId="6873" priority="2387">
      <formula>AND(IF($Q111=3,1,0),IF($X111&lt;30,1,0))</formula>
    </cfRule>
    <cfRule type="expression" dxfId="6872" priority="2388">
      <formula>AND(IF($Q111=3,1,IF($Q111=4,1,0)),IF($F111&lt;=85,1,0))</formula>
    </cfRule>
  </conditionalFormatting>
  <conditionalFormatting sqref="X111">
    <cfRule type="expression" dxfId="6871" priority="2381">
      <formula>AND(IF(OR($Q111=1,$Q111=2),1,0),IF($X111&lt;=20,1,0))</formula>
    </cfRule>
    <cfRule type="expression" dxfId="6870" priority="2382">
      <formula>AND(IF($Q111=2,1,0),IF($X111&lt;30,1,0))</formula>
    </cfRule>
    <cfRule type="expression" dxfId="6869" priority="2383">
      <formula>AND(IF($Q111=3,1,0),IF($X111&lt;30,1,0))</formula>
    </cfRule>
    <cfRule type="expression" dxfId="6868" priority="2384">
      <formula>AND(IF($Q111=3,1,IF($Q111=4,1,0)),IF($F111&lt;=85,1,0))</formula>
    </cfRule>
  </conditionalFormatting>
  <conditionalFormatting sqref="AI111">
    <cfRule type="expression" dxfId="6867" priority="2377">
      <formula>AND(IF(OR($Q111=1,$Q111=2),1,0),IF($X111&lt;=20,1,0))</formula>
    </cfRule>
    <cfRule type="expression" dxfId="6866" priority="2378">
      <formula>AND(IF($Q111=2,1,0),IF($X111&lt;30,1,0))</formula>
    </cfRule>
    <cfRule type="expression" dxfId="6865" priority="2379">
      <formula>AND(IF($Q111=3,1,0),IF($X111&lt;30,1,0))</formula>
    </cfRule>
    <cfRule type="expression" dxfId="6864" priority="2380">
      <formula>AND(IF($Q111=3,1,IF($Q111=4,1,0)),IF($F111&lt;=85,1,0))</formula>
    </cfRule>
  </conditionalFormatting>
  <conditionalFormatting sqref="AV112">
    <cfRule type="expression" dxfId="6863" priority="2375">
      <formula>AV112="X"</formula>
    </cfRule>
    <cfRule type="expression" dxfId="6862" priority="2376">
      <formula>AV112="후보"</formula>
    </cfRule>
  </conditionalFormatting>
  <conditionalFormatting sqref="AC112">
    <cfRule type="cellIs" dxfId="6861" priority="2373" operator="greaterThan">
      <formula>0.9</formula>
    </cfRule>
    <cfRule type="cellIs" dxfId="6860" priority="2374" operator="greaterThan">
      <formula>0.85</formula>
    </cfRule>
  </conditionalFormatting>
  <conditionalFormatting sqref="N112">
    <cfRule type="cellIs" dxfId="6859" priority="2371" operator="greaterThan">
      <formula>0.9</formula>
    </cfRule>
    <cfRule type="cellIs" dxfId="6858" priority="2372" operator="greaterThan">
      <formula>0.85</formula>
    </cfRule>
  </conditionalFormatting>
  <conditionalFormatting sqref="E112">
    <cfRule type="expression" dxfId="6857" priority="2367">
      <formula>AND(IF(OR($Q112=1,$Q112=2),1,0),IF($X112&lt;=20,1,0))</formula>
    </cfRule>
    <cfRule type="expression" dxfId="6856" priority="2368">
      <formula>AND(IF($Q112=2,1,0),IF($X112&lt;30,1,0))</formula>
    </cfRule>
    <cfRule type="expression" dxfId="6855" priority="2369">
      <formula>AND(IF($Q112=3,1,0),IF($X112&lt;30,1,0))</formula>
    </cfRule>
    <cfRule type="expression" dxfId="6854" priority="2370">
      <formula>AND(IF($Q112=3,1,IF($Q112=4,1,0)),IF($F112&lt;=85,1,0))</formula>
    </cfRule>
  </conditionalFormatting>
  <conditionalFormatting sqref="X112">
    <cfRule type="expression" dxfId="6853" priority="2363">
      <formula>AND(IF(OR($Q112=1,$Q112=2),1,0),IF($X112&lt;=20,1,0))</formula>
    </cfRule>
    <cfRule type="expression" dxfId="6852" priority="2364">
      <formula>AND(IF($Q112=2,1,0),IF($X112&lt;30,1,0))</formula>
    </cfRule>
    <cfRule type="expression" dxfId="6851" priority="2365">
      <formula>AND(IF($Q112=3,1,0),IF($X112&lt;30,1,0))</formula>
    </cfRule>
    <cfRule type="expression" dxfId="6850" priority="2366">
      <formula>AND(IF($Q112=3,1,IF($Q112=4,1,0)),IF($F112&lt;=85,1,0))</formula>
    </cfRule>
  </conditionalFormatting>
  <conditionalFormatting sqref="AI112">
    <cfRule type="expression" dxfId="6849" priority="2359">
      <formula>AND(IF(OR($Q112=1,$Q112=2),1,0),IF($X112&lt;=20,1,0))</formula>
    </cfRule>
    <cfRule type="expression" dxfId="6848" priority="2360">
      <formula>AND(IF($Q112=2,1,0),IF($X112&lt;30,1,0))</formula>
    </cfRule>
    <cfRule type="expression" dxfId="6847" priority="2361">
      <formula>AND(IF($Q112=3,1,0),IF($X112&lt;30,1,0))</formula>
    </cfRule>
    <cfRule type="expression" dxfId="6846" priority="2362">
      <formula>AND(IF($Q112=3,1,IF($Q112=4,1,0)),IF($F112&lt;=85,1,0))</formula>
    </cfRule>
  </conditionalFormatting>
  <conditionalFormatting sqref="AV113">
    <cfRule type="expression" dxfId="6845" priority="2357">
      <formula>AV113="X"</formula>
    </cfRule>
    <cfRule type="expression" dxfId="6844" priority="2358">
      <formula>AV113="후보"</formula>
    </cfRule>
  </conditionalFormatting>
  <conditionalFormatting sqref="AC113">
    <cfRule type="cellIs" dxfId="6843" priority="2355" operator="greaterThan">
      <formula>0.9</formula>
    </cfRule>
    <cfRule type="cellIs" dxfId="6842" priority="2356" operator="greaterThan">
      <formula>0.85</formula>
    </cfRule>
  </conditionalFormatting>
  <conditionalFormatting sqref="N113">
    <cfRule type="cellIs" dxfId="6841" priority="2353" operator="greaterThan">
      <formula>0.9</formula>
    </cfRule>
    <cfRule type="cellIs" dxfId="6840" priority="2354" operator="greaterThan">
      <formula>0.85</formula>
    </cfRule>
  </conditionalFormatting>
  <conditionalFormatting sqref="E113">
    <cfRule type="expression" dxfId="6839" priority="2349">
      <formula>AND(IF(OR($Q113=1,$Q113=2),1,0),IF($X113&lt;=20,1,0))</formula>
    </cfRule>
    <cfRule type="expression" dxfId="6838" priority="2350">
      <formula>AND(IF($Q113=2,1,0),IF($X113&lt;30,1,0))</formula>
    </cfRule>
    <cfRule type="expression" dxfId="6837" priority="2351">
      <formula>AND(IF($Q113=3,1,0),IF($X113&lt;30,1,0))</formula>
    </cfRule>
    <cfRule type="expression" dxfId="6836" priority="2352">
      <formula>AND(IF($Q113=3,1,IF($Q113=4,1,0)),IF($F113&lt;=85,1,0))</formula>
    </cfRule>
  </conditionalFormatting>
  <conditionalFormatting sqref="X113">
    <cfRule type="expression" dxfId="6835" priority="2345">
      <formula>AND(IF(OR($Q113=1,$Q113=2),1,0),IF($X113&lt;=20,1,0))</formula>
    </cfRule>
    <cfRule type="expression" dxfId="6834" priority="2346">
      <formula>AND(IF($Q113=2,1,0),IF($X113&lt;30,1,0))</formula>
    </cfRule>
    <cfRule type="expression" dxfId="6833" priority="2347">
      <formula>AND(IF($Q113=3,1,0),IF($X113&lt;30,1,0))</formula>
    </cfRule>
    <cfRule type="expression" dxfId="6832" priority="2348">
      <formula>AND(IF($Q113=3,1,IF($Q113=4,1,0)),IF($F113&lt;=85,1,0))</formula>
    </cfRule>
  </conditionalFormatting>
  <conditionalFormatting sqref="AI113">
    <cfRule type="expression" dxfId="6831" priority="2341">
      <formula>AND(IF(OR($Q113=1,$Q113=2),1,0),IF($X113&lt;=20,1,0))</formula>
    </cfRule>
    <cfRule type="expression" dxfId="6830" priority="2342">
      <formula>AND(IF($Q113=2,1,0),IF($X113&lt;30,1,0))</formula>
    </cfRule>
    <cfRule type="expression" dxfId="6829" priority="2343">
      <formula>AND(IF($Q113=3,1,0),IF($X113&lt;30,1,0))</formula>
    </cfRule>
    <cfRule type="expression" dxfId="6828" priority="2344">
      <formula>AND(IF($Q113=3,1,IF($Q113=4,1,0)),IF($F113&lt;=85,1,0))</formula>
    </cfRule>
  </conditionalFormatting>
  <conditionalFormatting sqref="AV114">
    <cfRule type="expression" dxfId="6827" priority="2339">
      <formula>AV114="X"</formula>
    </cfRule>
    <cfRule type="expression" dxfId="6826" priority="2340">
      <formula>AV114="후보"</formula>
    </cfRule>
  </conditionalFormatting>
  <conditionalFormatting sqref="AC114">
    <cfRule type="cellIs" dxfId="6825" priority="2337" operator="greaterThan">
      <formula>0.9</formula>
    </cfRule>
    <cfRule type="cellIs" dxfId="6824" priority="2338" operator="greaterThan">
      <formula>0.85</formula>
    </cfRule>
  </conditionalFormatting>
  <conditionalFormatting sqref="N114">
    <cfRule type="cellIs" dxfId="6823" priority="2335" operator="greaterThan">
      <formula>0.9</formula>
    </cfRule>
    <cfRule type="cellIs" dxfId="6822" priority="2336" operator="greaterThan">
      <formula>0.85</formula>
    </cfRule>
  </conditionalFormatting>
  <conditionalFormatting sqref="E114">
    <cfRule type="expression" dxfId="6821" priority="2331">
      <formula>AND(IF(OR($Q114=1,$Q114=2),1,0),IF($X114&lt;=20,1,0))</formula>
    </cfRule>
    <cfRule type="expression" dxfId="6820" priority="2332">
      <formula>AND(IF($Q114=2,1,0),IF($X114&lt;30,1,0))</formula>
    </cfRule>
    <cfRule type="expression" dxfId="6819" priority="2333">
      <formula>AND(IF($Q114=3,1,0),IF($X114&lt;30,1,0))</formula>
    </cfRule>
    <cfRule type="expression" dxfId="6818" priority="2334">
      <formula>AND(IF($Q114=3,1,IF($Q114=4,1,0)),IF($F114&lt;=85,1,0))</formula>
    </cfRule>
  </conditionalFormatting>
  <conditionalFormatting sqref="X114">
    <cfRule type="expression" dxfId="6817" priority="2327">
      <formula>AND(IF(OR($Q114=1,$Q114=2),1,0),IF($X114&lt;=20,1,0))</formula>
    </cfRule>
    <cfRule type="expression" dxfId="6816" priority="2328">
      <formula>AND(IF($Q114=2,1,0),IF($X114&lt;30,1,0))</formula>
    </cfRule>
    <cfRule type="expression" dxfId="6815" priority="2329">
      <formula>AND(IF($Q114=3,1,0),IF($X114&lt;30,1,0))</formula>
    </cfRule>
    <cfRule type="expression" dxfId="6814" priority="2330">
      <formula>AND(IF($Q114=3,1,IF($Q114=4,1,0)),IF($F114&lt;=85,1,0))</formula>
    </cfRule>
  </conditionalFormatting>
  <conditionalFormatting sqref="AI114">
    <cfRule type="expression" dxfId="6813" priority="2323">
      <formula>AND(IF(OR($Q114=1,$Q114=2),1,0),IF($X114&lt;=20,1,0))</formula>
    </cfRule>
    <cfRule type="expression" dxfId="6812" priority="2324">
      <formula>AND(IF($Q114=2,1,0),IF($X114&lt;30,1,0))</formula>
    </cfRule>
    <cfRule type="expression" dxfId="6811" priority="2325">
      <formula>AND(IF($Q114=3,1,0),IF($X114&lt;30,1,0))</formula>
    </cfRule>
    <cfRule type="expression" dxfId="6810" priority="2326">
      <formula>AND(IF($Q114=3,1,IF($Q114=4,1,0)),IF($F114&lt;=85,1,0))</formula>
    </cfRule>
  </conditionalFormatting>
  <conditionalFormatting sqref="AV115">
    <cfRule type="expression" dxfId="6809" priority="2321">
      <formula>AV115="X"</formula>
    </cfRule>
    <cfRule type="expression" dxfId="6808" priority="2322">
      <formula>AV115="후보"</formula>
    </cfRule>
  </conditionalFormatting>
  <conditionalFormatting sqref="AC115">
    <cfRule type="cellIs" dxfId="6807" priority="2319" operator="greaterThan">
      <formula>0.9</formula>
    </cfRule>
    <cfRule type="cellIs" dxfId="6806" priority="2320" operator="greaterThan">
      <formula>0.85</formula>
    </cfRule>
  </conditionalFormatting>
  <conditionalFormatting sqref="N115">
    <cfRule type="cellIs" dxfId="6805" priority="2317" operator="greaterThan">
      <formula>0.9</formula>
    </cfRule>
    <cfRule type="cellIs" dxfId="6804" priority="2318" operator="greaterThan">
      <formula>0.85</formula>
    </cfRule>
  </conditionalFormatting>
  <conditionalFormatting sqref="E115">
    <cfRule type="expression" dxfId="6803" priority="2313">
      <formula>AND(IF(OR($Q115=1,$Q115=2),1,0),IF($X115&lt;=20,1,0))</formula>
    </cfRule>
    <cfRule type="expression" dxfId="6802" priority="2314">
      <formula>AND(IF($Q115=2,1,0),IF($X115&lt;30,1,0))</formula>
    </cfRule>
    <cfRule type="expression" dxfId="6801" priority="2315">
      <formula>AND(IF($Q115=3,1,0),IF($X115&lt;30,1,0))</formula>
    </cfRule>
    <cfRule type="expression" dxfId="6800" priority="2316">
      <formula>AND(IF($Q115=3,1,IF($Q115=4,1,0)),IF($F115&lt;=85,1,0))</formula>
    </cfRule>
  </conditionalFormatting>
  <conditionalFormatting sqref="X115">
    <cfRule type="expression" dxfId="6799" priority="2309">
      <formula>AND(IF(OR($Q115=1,$Q115=2),1,0),IF($X115&lt;=20,1,0))</formula>
    </cfRule>
    <cfRule type="expression" dxfId="6798" priority="2310">
      <formula>AND(IF($Q115=2,1,0),IF($X115&lt;30,1,0))</formula>
    </cfRule>
    <cfRule type="expression" dxfId="6797" priority="2311">
      <formula>AND(IF($Q115=3,1,0),IF($X115&lt;30,1,0))</formula>
    </cfRule>
    <cfRule type="expression" dxfId="6796" priority="2312">
      <formula>AND(IF($Q115=3,1,IF($Q115=4,1,0)),IF($F115&lt;=85,1,0))</formula>
    </cfRule>
  </conditionalFormatting>
  <conditionalFormatting sqref="AI115">
    <cfRule type="expression" dxfId="6795" priority="2305">
      <formula>AND(IF(OR($Q115=1,$Q115=2),1,0),IF($X115&lt;=20,1,0))</formula>
    </cfRule>
    <cfRule type="expression" dxfId="6794" priority="2306">
      <formula>AND(IF($Q115=2,1,0),IF($X115&lt;30,1,0))</formula>
    </cfRule>
    <cfRule type="expression" dxfId="6793" priority="2307">
      <formula>AND(IF($Q115=3,1,0),IF($X115&lt;30,1,0))</formula>
    </cfRule>
    <cfRule type="expression" dxfId="6792" priority="2308">
      <formula>AND(IF($Q115=3,1,IF($Q115=4,1,0)),IF($F115&lt;=85,1,0))</formula>
    </cfRule>
  </conditionalFormatting>
  <conditionalFormatting sqref="AV116">
    <cfRule type="expression" dxfId="6791" priority="2303">
      <formula>AV116="X"</formula>
    </cfRule>
    <cfRule type="expression" dxfId="6790" priority="2304">
      <formula>AV116="후보"</formula>
    </cfRule>
  </conditionalFormatting>
  <conditionalFormatting sqref="AC116">
    <cfRule type="cellIs" dxfId="6789" priority="2301" operator="greaterThan">
      <formula>0.9</formula>
    </cfRule>
    <cfRule type="cellIs" dxfId="6788" priority="2302" operator="greaterThan">
      <formula>0.85</formula>
    </cfRule>
  </conditionalFormatting>
  <conditionalFormatting sqref="N116">
    <cfRule type="cellIs" dxfId="6787" priority="2299" operator="greaterThan">
      <formula>0.9</formula>
    </cfRule>
    <cfRule type="cellIs" dxfId="6786" priority="2300" operator="greaterThan">
      <formula>0.85</formula>
    </cfRule>
  </conditionalFormatting>
  <conditionalFormatting sqref="E116">
    <cfRule type="expression" dxfId="6785" priority="2295">
      <formula>AND(IF(OR($Q116=1,$Q116=2),1,0),IF($X116&lt;=20,1,0))</formula>
    </cfRule>
    <cfRule type="expression" dxfId="6784" priority="2296">
      <formula>AND(IF($Q116=2,1,0),IF($X116&lt;30,1,0))</formula>
    </cfRule>
    <cfRule type="expression" dxfId="6783" priority="2297">
      <formula>AND(IF($Q116=3,1,0),IF($X116&lt;30,1,0))</formula>
    </cfRule>
    <cfRule type="expression" dxfId="6782" priority="2298">
      <formula>AND(IF($Q116=3,1,IF($Q116=4,1,0)),IF($F116&lt;=85,1,0))</formula>
    </cfRule>
  </conditionalFormatting>
  <conditionalFormatting sqref="X116">
    <cfRule type="expression" dxfId="6781" priority="2291">
      <formula>AND(IF(OR($Q116=1,$Q116=2),1,0),IF($X116&lt;=20,1,0))</formula>
    </cfRule>
    <cfRule type="expression" dxfId="6780" priority="2292">
      <formula>AND(IF($Q116=2,1,0),IF($X116&lt;30,1,0))</formula>
    </cfRule>
    <cfRule type="expression" dxfId="6779" priority="2293">
      <formula>AND(IF($Q116=3,1,0),IF($X116&lt;30,1,0))</formula>
    </cfRule>
    <cfRule type="expression" dxfId="6778" priority="2294">
      <formula>AND(IF($Q116=3,1,IF($Q116=4,1,0)),IF($F116&lt;=85,1,0))</formula>
    </cfRule>
  </conditionalFormatting>
  <conditionalFormatting sqref="AI116">
    <cfRule type="expression" dxfId="6777" priority="2287">
      <formula>AND(IF(OR($Q116=1,$Q116=2),1,0),IF($X116&lt;=20,1,0))</formula>
    </cfRule>
    <cfRule type="expression" dxfId="6776" priority="2288">
      <formula>AND(IF($Q116=2,1,0),IF($X116&lt;30,1,0))</formula>
    </cfRule>
    <cfRule type="expression" dxfId="6775" priority="2289">
      <formula>AND(IF($Q116=3,1,0),IF($X116&lt;30,1,0))</formula>
    </cfRule>
    <cfRule type="expression" dxfId="6774" priority="2290">
      <formula>AND(IF($Q116=3,1,IF($Q116=4,1,0)),IF($F116&lt;=85,1,0))</formula>
    </cfRule>
  </conditionalFormatting>
  <conditionalFormatting sqref="AV117">
    <cfRule type="expression" dxfId="6773" priority="2285">
      <formula>AV117="X"</formula>
    </cfRule>
    <cfRule type="expression" dxfId="6772" priority="2286">
      <formula>AV117="후보"</formula>
    </cfRule>
  </conditionalFormatting>
  <conditionalFormatting sqref="AC117">
    <cfRule type="cellIs" dxfId="6771" priority="2283" operator="greaterThan">
      <formula>0.9</formula>
    </cfRule>
    <cfRule type="cellIs" dxfId="6770" priority="2284" operator="greaterThan">
      <formula>0.85</formula>
    </cfRule>
  </conditionalFormatting>
  <conditionalFormatting sqref="N117">
    <cfRule type="cellIs" dxfId="6769" priority="2281" operator="greaterThan">
      <formula>0.9</formula>
    </cfRule>
    <cfRule type="cellIs" dxfId="6768" priority="2282" operator="greaterThan">
      <formula>0.85</formula>
    </cfRule>
  </conditionalFormatting>
  <conditionalFormatting sqref="E117">
    <cfRule type="expression" dxfId="6767" priority="2277">
      <formula>AND(IF(OR($Q117=1,$Q117=2),1,0),IF($X117&lt;=20,1,0))</formula>
    </cfRule>
    <cfRule type="expression" dxfId="6766" priority="2278">
      <formula>AND(IF($Q117=2,1,0),IF($X117&lt;30,1,0))</formula>
    </cfRule>
    <cfRule type="expression" dxfId="6765" priority="2279">
      <formula>AND(IF($Q117=3,1,0),IF($X117&lt;30,1,0))</formula>
    </cfRule>
    <cfRule type="expression" dxfId="6764" priority="2280">
      <formula>AND(IF($Q117=3,1,IF($Q117=4,1,0)),IF($F117&lt;=85,1,0))</formula>
    </cfRule>
  </conditionalFormatting>
  <conditionalFormatting sqref="X117">
    <cfRule type="expression" dxfId="6763" priority="2273">
      <formula>AND(IF(OR($Q117=1,$Q117=2),1,0),IF($X117&lt;=20,1,0))</formula>
    </cfRule>
    <cfRule type="expression" dxfId="6762" priority="2274">
      <formula>AND(IF($Q117=2,1,0),IF($X117&lt;30,1,0))</formula>
    </cfRule>
    <cfRule type="expression" dxfId="6761" priority="2275">
      <formula>AND(IF($Q117=3,1,0),IF($X117&lt;30,1,0))</formula>
    </cfRule>
    <cfRule type="expression" dxfId="6760" priority="2276">
      <formula>AND(IF($Q117=3,1,IF($Q117=4,1,0)),IF($F117&lt;=85,1,0))</formula>
    </cfRule>
  </conditionalFormatting>
  <conditionalFormatting sqref="AI117">
    <cfRule type="expression" dxfId="6759" priority="2269">
      <formula>AND(IF(OR($Q117=1,$Q117=2),1,0),IF($X117&lt;=20,1,0))</formula>
    </cfRule>
    <cfRule type="expression" dxfId="6758" priority="2270">
      <formula>AND(IF($Q117=2,1,0),IF($X117&lt;30,1,0))</formula>
    </cfRule>
    <cfRule type="expression" dxfId="6757" priority="2271">
      <formula>AND(IF($Q117=3,1,0),IF($X117&lt;30,1,0))</formula>
    </cfRule>
    <cfRule type="expression" dxfId="6756" priority="2272">
      <formula>AND(IF($Q117=3,1,IF($Q117=4,1,0)),IF($F117&lt;=85,1,0))</formula>
    </cfRule>
  </conditionalFormatting>
  <conditionalFormatting sqref="AV118">
    <cfRule type="expression" dxfId="6755" priority="2267">
      <formula>AV118="X"</formula>
    </cfRule>
    <cfRule type="expression" dxfId="6754" priority="2268">
      <formula>AV118="후보"</formula>
    </cfRule>
  </conditionalFormatting>
  <conditionalFormatting sqref="AC118">
    <cfRule type="cellIs" dxfId="6753" priority="2265" operator="greaterThan">
      <formula>0.9</formula>
    </cfRule>
    <cfRule type="cellIs" dxfId="6752" priority="2266" operator="greaterThan">
      <formula>0.85</formula>
    </cfRule>
  </conditionalFormatting>
  <conditionalFormatting sqref="N118">
    <cfRule type="cellIs" dxfId="6751" priority="2263" operator="greaterThan">
      <formula>0.9</formula>
    </cfRule>
    <cfRule type="cellIs" dxfId="6750" priority="2264" operator="greaterThan">
      <formula>0.85</formula>
    </cfRule>
  </conditionalFormatting>
  <conditionalFormatting sqref="E118">
    <cfRule type="expression" dxfId="6749" priority="2259">
      <formula>AND(IF(OR($Q118=1,$Q118=2),1,0),IF($X118&lt;=20,1,0))</formula>
    </cfRule>
    <cfRule type="expression" dxfId="6748" priority="2260">
      <formula>AND(IF($Q118=2,1,0),IF($X118&lt;30,1,0))</formula>
    </cfRule>
    <cfRule type="expression" dxfId="6747" priority="2261">
      <formula>AND(IF($Q118=3,1,0),IF($X118&lt;30,1,0))</formula>
    </cfRule>
    <cfRule type="expression" dxfId="6746" priority="2262">
      <formula>AND(IF($Q118=3,1,IF($Q118=4,1,0)),IF($F118&lt;=85,1,0))</formula>
    </cfRule>
  </conditionalFormatting>
  <conditionalFormatting sqref="X118">
    <cfRule type="expression" dxfId="6745" priority="2255">
      <formula>AND(IF(OR($Q118=1,$Q118=2),1,0),IF($X118&lt;=20,1,0))</formula>
    </cfRule>
    <cfRule type="expression" dxfId="6744" priority="2256">
      <formula>AND(IF($Q118=2,1,0),IF($X118&lt;30,1,0))</formula>
    </cfRule>
    <cfRule type="expression" dxfId="6743" priority="2257">
      <formula>AND(IF($Q118=3,1,0),IF($X118&lt;30,1,0))</formula>
    </cfRule>
    <cfRule type="expression" dxfId="6742" priority="2258">
      <formula>AND(IF($Q118=3,1,IF($Q118=4,1,0)),IF($F118&lt;=85,1,0))</formula>
    </cfRule>
  </conditionalFormatting>
  <conditionalFormatting sqref="AI118">
    <cfRule type="expression" dxfId="6741" priority="2251">
      <formula>AND(IF(OR($Q118=1,$Q118=2),1,0),IF($X118&lt;=20,1,0))</formula>
    </cfRule>
    <cfRule type="expression" dxfId="6740" priority="2252">
      <formula>AND(IF($Q118=2,1,0),IF($X118&lt;30,1,0))</formula>
    </cfRule>
    <cfRule type="expression" dxfId="6739" priority="2253">
      <formula>AND(IF($Q118=3,1,0),IF($X118&lt;30,1,0))</formula>
    </cfRule>
    <cfRule type="expression" dxfId="6738" priority="2254">
      <formula>AND(IF($Q118=3,1,IF($Q118=4,1,0)),IF($F118&lt;=85,1,0))</formula>
    </cfRule>
  </conditionalFormatting>
  <conditionalFormatting sqref="AV119">
    <cfRule type="expression" dxfId="6737" priority="2249">
      <formula>AV119="X"</formula>
    </cfRule>
    <cfRule type="expression" dxfId="6736" priority="2250">
      <formula>AV119="후보"</formula>
    </cfRule>
  </conditionalFormatting>
  <conditionalFormatting sqref="AC119">
    <cfRule type="cellIs" dxfId="6735" priority="2247" operator="greaterThan">
      <formula>0.9</formula>
    </cfRule>
    <cfRule type="cellIs" dxfId="6734" priority="2248" operator="greaterThan">
      <formula>0.85</formula>
    </cfRule>
  </conditionalFormatting>
  <conditionalFormatting sqref="N119">
    <cfRule type="cellIs" dxfId="6733" priority="2245" operator="greaterThan">
      <formula>0.9</formula>
    </cfRule>
    <cfRule type="cellIs" dxfId="6732" priority="2246" operator="greaterThan">
      <formula>0.85</formula>
    </cfRule>
  </conditionalFormatting>
  <conditionalFormatting sqref="E119">
    <cfRule type="expression" dxfId="6731" priority="2241">
      <formula>AND(IF(OR($Q119=1,$Q119=2),1,0),IF($X119&lt;=20,1,0))</formula>
    </cfRule>
    <cfRule type="expression" dxfId="6730" priority="2242">
      <formula>AND(IF($Q119=2,1,0),IF($X119&lt;30,1,0))</formula>
    </cfRule>
    <cfRule type="expression" dxfId="6729" priority="2243">
      <formula>AND(IF($Q119=3,1,0),IF($X119&lt;30,1,0))</formula>
    </cfRule>
    <cfRule type="expression" dxfId="6728" priority="2244">
      <formula>AND(IF($Q119=3,1,IF($Q119=4,1,0)),IF($F119&lt;=85,1,0))</formula>
    </cfRule>
  </conditionalFormatting>
  <conditionalFormatting sqref="X119">
    <cfRule type="expression" dxfId="6727" priority="2237">
      <formula>AND(IF(OR($Q119=1,$Q119=2),1,0),IF($X119&lt;=20,1,0))</formula>
    </cfRule>
    <cfRule type="expression" dxfId="6726" priority="2238">
      <formula>AND(IF($Q119=2,1,0),IF($X119&lt;30,1,0))</formula>
    </cfRule>
    <cfRule type="expression" dxfId="6725" priority="2239">
      <formula>AND(IF($Q119=3,1,0),IF($X119&lt;30,1,0))</formula>
    </cfRule>
    <cfRule type="expression" dxfId="6724" priority="2240">
      <formula>AND(IF($Q119=3,1,IF($Q119=4,1,0)),IF($F119&lt;=85,1,0))</formula>
    </cfRule>
  </conditionalFormatting>
  <conditionalFormatting sqref="AI119">
    <cfRule type="expression" dxfId="6723" priority="2233">
      <formula>AND(IF(OR($Q119=1,$Q119=2),1,0),IF($X119&lt;=20,1,0))</formula>
    </cfRule>
    <cfRule type="expression" dxfId="6722" priority="2234">
      <formula>AND(IF($Q119=2,1,0),IF($X119&lt;30,1,0))</formula>
    </cfRule>
    <cfRule type="expression" dxfId="6721" priority="2235">
      <formula>AND(IF($Q119=3,1,0),IF($X119&lt;30,1,0))</formula>
    </cfRule>
    <cfRule type="expression" dxfId="6720" priority="2236">
      <formula>AND(IF($Q119=3,1,IF($Q119=4,1,0)),IF($F119&lt;=85,1,0))</formula>
    </cfRule>
  </conditionalFormatting>
  <conditionalFormatting sqref="AV120">
    <cfRule type="expression" dxfId="6719" priority="2231">
      <formula>AV120="X"</formula>
    </cfRule>
    <cfRule type="expression" dxfId="6718" priority="2232">
      <formula>AV120="후보"</formula>
    </cfRule>
  </conditionalFormatting>
  <conditionalFormatting sqref="AC120">
    <cfRule type="cellIs" dxfId="6717" priority="2229" operator="greaterThan">
      <formula>0.9</formula>
    </cfRule>
    <cfRule type="cellIs" dxfId="6716" priority="2230" operator="greaterThan">
      <formula>0.85</formula>
    </cfRule>
  </conditionalFormatting>
  <conditionalFormatting sqref="N120">
    <cfRule type="cellIs" dxfId="6715" priority="2227" operator="greaterThan">
      <formula>0.9</formula>
    </cfRule>
    <cfRule type="cellIs" dxfId="6714" priority="2228" operator="greaterThan">
      <formula>0.85</formula>
    </cfRule>
  </conditionalFormatting>
  <conditionalFormatting sqref="E120">
    <cfRule type="expression" dxfId="6713" priority="2223">
      <formula>AND(IF(OR($Q120=1,$Q120=2),1,0),IF($X120&lt;=20,1,0))</formula>
    </cfRule>
    <cfRule type="expression" dxfId="6712" priority="2224">
      <formula>AND(IF($Q120=2,1,0),IF($X120&lt;30,1,0))</formula>
    </cfRule>
    <cfRule type="expression" dxfId="6711" priority="2225">
      <formula>AND(IF($Q120=3,1,0),IF($X120&lt;30,1,0))</formula>
    </cfRule>
    <cfRule type="expression" dxfId="6710" priority="2226">
      <formula>AND(IF($Q120=3,1,IF($Q120=4,1,0)),IF($F120&lt;=85,1,0))</formula>
    </cfRule>
  </conditionalFormatting>
  <conditionalFormatting sqref="X120">
    <cfRule type="expression" dxfId="6709" priority="2219">
      <formula>AND(IF(OR($Q120=1,$Q120=2),1,0),IF($X120&lt;=20,1,0))</formula>
    </cfRule>
    <cfRule type="expression" dxfId="6708" priority="2220">
      <formula>AND(IF($Q120=2,1,0),IF($X120&lt;30,1,0))</formula>
    </cfRule>
    <cfRule type="expression" dxfId="6707" priority="2221">
      <formula>AND(IF($Q120=3,1,0),IF($X120&lt;30,1,0))</formula>
    </cfRule>
    <cfRule type="expression" dxfId="6706" priority="2222">
      <formula>AND(IF($Q120=3,1,IF($Q120=4,1,0)),IF($F120&lt;=85,1,0))</formula>
    </cfRule>
  </conditionalFormatting>
  <conditionalFormatting sqref="AI120">
    <cfRule type="expression" dxfId="6705" priority="2215">
      <formula>AND(IF(OR($Q120=1,$Q120=2),1,0),IF($X120&lt;=20,1,0))</formula>
    </cfRule>
    <cfRule type="expression" dxfId="6704" priority="2216">
      <formula>AND(IF($Q120=2,1,0),IF($X120&lt;30,1,0))</formula>
    </cfRule>
    <cfRule type="expression" dxfId="6703" priority="2217">
      <formula>AND(IF($Q120=3,1,0),IF($X120&lt;30,1,0))</formula>
    </cfRule>
    <cfRule type="expression" dxfId="6702" priority="2218">
      <formula>AND(IF($Q120=3,1,IF($Q120=4,1,0)),IF($F120&lt;=85,1,0))</formula>
    </cfRule>
  </conditionalFormatting>
  <conditionalFormatting sqref="AV121">
    <cfRule type="expression" dxfId="6701" priority="2213">
      <formula>AV121="X"</formula>
    </cfRule>
    <cfRule type="expression" dxfId="6700" priority="2214">
      <formula>AV121="후보"</formula>
    </cfRule>
  </conditionalFormatting>
  <conditionalFormatting sqref="AC121">
    <cfRule type="cellIs" dxfId="6699" priority="2211" operator="greaterThan">
      <formula>0.9</formula>
    </cfRule>
    <cfRule type="cellIs" dxfId="6698" priority="2212" operator="greaterThan">
      <formula>0.85</formula>
    </cfRule>
  </conditionalFormatting>
  <conditionalFormatting sqref="N121">
    <cfRule type="cellIs" dxfId="6697" priority="2209" operator="greaterThan">
      <formula>0.9</formula>
    </cfRule>
    <cfRule type="cellIs" dxfId="6696" priority="2210" operator="greaterThan">
      <formula>0.85</formula>
    </cfRule>
  </conditionalFormatting>
  <conditionalFormatting sqref="E121">
    <cfRule type="expression" dxfId="6695" priority="2205">
      <formula>AND(IF(OR($Q121=1,$Q121=2),1,0),IF($X121&lt;=20,1,0))</formula>
    </cfRule>
    <cfRule type="expression" dxfId="6694" priority="2206">
      <formula>AND(IF($Q121=2,1,0),IF($X121&lt;30,1,0))</formula>
    </cfRule>
    <cfRule type="expression" dxfId="6693" priority="2207">
      <formula>AND(IF($Q121=3,1,0),IF($X121&lt;30,1,0))</formula>
    </cfRule>
    <cfRule type="expression" dxfId="6692" priority="2208">
      <formula>AND(IF($Q121=3,1,IF($Q121=4,1,0)),IF($F121&lt;=85,1,0))</formula>
    </cfRule>
  </conditionalFormatting>
  <conditionalFormatting sqref="X121">
    <cfRule type="expression" dxfId="6691" priority="2201">
      <formula>AND(IF(OR($Q121=1,$Q121=2),1,0),IF($X121&lt;=20,1,0))</formula>
    </cfRule>
    <cfRule type="expression" dxfId="6690" priority="2202">
      <formula>AND(IF($Q121=2,1,0),IF($X121&lt;30,1,0))</formula>
    </cfRule>
    <cfRule type="expression" dxfId="6689" priority="2203">
      <formula>AND(IF($Q121=3,1,0),IF($X121&lt;30,1,0))</formula>
    </cfRule>
    <cfRule type="expression" dxfId="6688" priority="2204">
      <formula>AND(IF($Q121=3,1,IF($Q121=4,1,0)),IF($F121&lt;=85,1,0))</formula>
    </cfRule>
  </conditionalFormatting>
  <conditionalFormatting sqref="AI121">
    <cfRule type="expression" dxfId="6687" priority="2197">
      <formula>AND(IF(OR($Q121=1,$Q121=2),1,0),IF($X121&lt;=20,1,0))</formula>
    </cfRule>
    <cfRule type="expression" dxfId="6686" priority="2198">
      <formula>AND(IF($Q121=2,1,0),IF($X121&lt;30,1,0))</formula>
    </cfRule>
    <cfRule type="expression" dxfId="6685" priority="2199">
      <formula>AND(IF($Q121=3,1,0),IF($X121&lt;30,1,0))</formula>
    </cfRule>
    <cfRule type="expression" dxfId="6684" priority="2200">
      <formula>AND(IF($Q121=3,1,IF($Q121=4,1,0)),IF($F121&lt;=85,1,0))</formula>
    </cfRule>
  </conditionalFormatting>
  <conditionalFormatting sqref="AV122">
    <cfRule type="expression" dxfId="6683" priority="2195">
      <formula>AV122="X"</formula>
    </cfRule>
    <cfRule type="expression" dxfId="6682" priority="2196">
      <formula>AV122="후보"</formula>
    </cfRule>
  </conditionalFormatting>
  <conditionalFormatting sqref="AC122">
    <cfRule type="cellIs" dxfId="6681" priority="2193" operator="greaterThan">
      <formula>0.9</formula>
    </cfRule>
    <cfRule type="cellIs" dxfId="6680" priority="2194" operator="greaterThan">
      <formula>0.85</formula>
    </cfRule>
  </conditionalFormatting>
  <conditionalFormatting sqref="N122">
    <cfRule type="cellIs" dxfId="6679" priority="2191" operator="greaterThan">
      <formula>0.9</formula>
    </cfRule>
    <cfRule type="cellIs" dxfId="6678" priority="2192" operator="greaterThan">
      <formula>0.85</formula>
    </cfRule>
  </conditionalFormatting>
  <conditionalFormatting sqref="E122">
    <cfRule type="expression" dxfId="6677" priority="2187">
      <formula>AND(IF(OR($Q122=1,$Q122=2),1,0),IF($X122&lt;=20,1,0))</formula>
    </cfRule>
    <cfRule type="expression" dxfId="6676" priority="2188">
      <formula>AND(IF($Q122=2,1,0),IF($X122&lt;30,1,0))</formula>
    </cfRule>
    <cfRule type="expression" dxfId="6675" priority="2189">
      <formula>AND(IF($Q122=3,1,0),IF($X122&lt;30,1,0))</formula>
    </cfRule>
    <cfRule type="expression" dxfId="6674" priority="2190">
      <formula>AND(IF($Q122=3,1,IF($Q122=4,1,0)),IF($F122&lt;=85,1,0))</formula>
    </cfRule>
  </conditionalFormatting>
  <conditionalFormatting sqref="X122">
    <cfRule type="expression" dxfId="6673" priority="2183">
      <formula>AND(IF(OR($Q122=1,$Q122=2),1,0),IF($X122&lt;=20,1,0))</formula>
    </cfRule>
    <cfRule type="expression" dxfId="6672" priority="2184">
      <formula>AND(IF($Q122=2,1,0),IF($X122&lt;30,1,0))</formula>
    </cfRule>
    <cfRule type="expression" dxfId="6671" priority="2185">
      <formula>AND(IF($Q122=3,1,0),IF($X122&lt;30,1,0))</formula>
    </cfRule>
    <cfRule type="expression" dxfId="6670" priority="2186">
      <formula>AND(IF($Q122=3,1,IF($Q122=4,1,0)),IF($F122&lt;=85,1,0))</formula>
    </cfRule>
  </conditionalFormatting>
  <conditionalFormatting sqref="AI122">
    <cfRule type="expression" dxfId="6669" priority="2179">
      <formula>AND(IF(OR($Q122=1,$Q122=2),1,0),IF($X122&lt;=20,1,0))</formula>
    </cfRule>
    <cfRule type="expression" dxfId="6668" priority="2180">
      <formula>AND(IF($Q122=2,1,0),IF($X122&lt;30,1,0))</formula>
    </cfRule>
    <cfRule type="expression" dxfId="6667" priority="2181">
      <formula>AND(IF($Q122=3,1,0),IF($X122&lt;30,1,0))</formula>
    </cfRule>
    <cfRule type="expression" dxfId="6666" priority="2182">
      <formula>AND(IF($Q122=3,1,IF($Q122=4,1,0)),IF($F122&lt;=85,1,0))</formula>
    </cfRule>
  </conditionalFormatting>
  <conditionalFormatting sqref="AV123">
    <cfRule type="expression" dxfId="6665" priority="2177">
      <formula>AV123="X"</formula>
    </cfRule>
    <cfRule type="expression" dxfId="6664" priority="2178">
      <formula>AV123="후보"</formula>
    </cfRule>
  </conditionalFormatting>
  <conditionalFormatting sqref="AC123">
    <cfRule type="cellIs" dxfId="6663" priority="2175" operator="greaterThan">
      <formula>0.9</formula>
    </cfRule>
    <cfRule type="cellIs" dxfId="6662" priority="2176" operator="greaterThan">
      <formula>0.85</formula>
    </cfRule>
  </conditionalFormatting>
  <conditionalFormatting sqref="N123">
    <cfRule type="cellIs" dxfId="6661" priority="2173" operator="greaterThan">
      <formula>0.9</formula>
    </cfRule>
    <cfRule type="cellIs" dxfId="6660" priority="2174" operator="greaterThan">
      <formula>0.85</formula>
    </cfRule>
  </conditionalFormatting>
  <conditionalFormatting sqref="E123">
    <cfRule type="expression" dxfId="6659" priority="2169">
      <formula>AND(IF(OR($Q123=1,$Q123=2),1,0),IF($X123&lt;=20,1,0))</formula>
    </cfRule>
    <cfRule type="expression" dxfId="6658" priority="2170">
      <formula>AND(IF($Q123=2,1,0),IF($X123&lt;30,1,0))</formula>
    </cfRule>
    <cfRule type="expression" dxfId="6657" priority="2171">
      <formula>AND(IF($Q123=3,1,0),IF($X123&lt;30,1,0))</formula>
    </cfRule>
    <cfRule type="expression" dxfId="6656" priority="2172">
      <formula>AND(IF($Q123=3,1,IF($Q123=4,1,0)),IF($F123&lt;=85,1,0))</formula>
    </cfRule>
  </conditionalFormatting>
  <conditionalFormatting sqref="X123">
    <cfRule type="expression" dxfId="6655" priority="2165">
      <formula>AND(IF(OR($Q123=1,$Q123=2),1,0),IF($X123&lt;=20,1,0))</formula>
    </cfRule>
    <cfRule type="expression" dxfId="6654" priority="2166">
      <formula>AND(IF($Q123=2,1,0),IF($X123&lt;30,1,0))</formula>
    </cfRule>
    <cfRule type="expression" dxfId="6653" priority="2167">
      <formula>AND(IF($Q123=3,1,0),IF($X123&lt;30,1,0))</formula>
    </cfRule>
    <cfRule type="expression" dxfId="6652" priority="2168">
      <formula>AND(IF($Q123=3,1,IF($Q123=4,1,0)),IF($F123&lt;=85,1,0))</formula>
    </cfRule>
  </conditionalFormatting>
  <conditionalFormatting sqref="AI123">
    <cfRule type="expression" dxfId="6651" priority="2161">
      <formula>AND(IF(OR($Q123=1,$Q123=2),1,0),IF($X123&lt;=20,1,0))</formula>
    </cfRule>
    <cfRule type="expression" dxfId="6650" priority="2162">
      <formula>AND(IF($Q123=2,1,0),IF($X123&lt;30,1,0))</formula>
    </cfRule>
    <cfRule type="expression" dxfId="6649" priority="2163">
      <formula>AND(IF($Q123=3,1,0),IF($X123&lt;30,1,0))</formula>
    </cfRule>
    <cfRule type="expression" dxfId="6648" priority="2164">
      <formula>AND(IF($Q123=3,1,IF($Q123=4,1,0)),IF($F123&lt;=85,1,0))</formula>
    </cfRule>
  </conditionalFormatting>
  <conditionalFormatting sqref="AV124">
    <cfRule type="expression" dxfId="6647" priority="2159">
      <formula>AV124="X"</formula>
    </cfRule>
    <cfRule type="expression" dxfId="6646" priority="2160">
      <formula>AV124="후보"</formula>
    </cfRule>
  </conditionalFormatting>
  <conditionalFormatting sqref="AC124">
    <cfRule type="cellIs" dxfId="6645" priority="2157" operator="greaterThan">
      <formula>0.9</formula>
    </cfRule>
    <cfRule type="cellIs" dxfId="6644" priority="2158" operator="greaterThan">
      <formula>0.85</formula>
    </cfRule>
  </conditionalFormatting>
  <conditionalFormatting sqref="N124">
    <cfRule type="cellIs" dxfId="6643" priority="2155" operator="greaterThan">
      <formula>0.9</formula>
    </cfRule>
    <cfRule type="cellIs" dxfId="6642" priority="2156" operator="greaterThan">
      <formula>0.85</formula>
    </cfRule>
  </conditionalFormatting>
  <conditionalFormatting sqref="E124">
    <cfRule type="expression" dxfId="6641" priority="2151">
      <formula>AND(IF(OR($Q124=1,$Q124=2),1,0),IF($X124&lt;=20,1,0))</formula>
    </cfRule>
    <cfRule type="expression" dxfId="6640" priority="2152">
      <formula>AND(IF($Q124=2,1,0),IF($X124&lt;30,1,0))</formula>
    </cfRule>
    <cfRule type="expression" dxfId="6639" priority="2153">
      <formula>AND(IF($Q124=3,1,0),IF($X124&lt;30,1,0))</formula>
    </cfRule>
    <cfRule type="expression" dxfId="6638" priority="2154">
      <formula>AND(IF($Q124=3,1,IF($Q124=4,1,0)),IF($F124&lt;=85,1,0))</formula>
    </cfRule>
  </conditionalFormatting>
  <conditionalFormatting sqref="X124">
    <cfRule type="expression" dxfId="6637" priority="2147">
      <formula>AND(IF(OR($Q124=1,$Q124=2),1,0),IF($X124&lt;=20,1,0))</formula>
    </cfRule>
    <cfRule type="expression" dxfId="6636" priority="2148">
      <formula>AND(IF($Q124=2,1,0),IF($X124&lt;30,1,0))</formula>
    </cfRule>
    <cfRule type="expression" dxfId="6635" priority="2149">
      <formula>AND(IF($Q124=3,1,0),IF($X124&lt;30,1,0))</formula>
    </cfRule>
    <cfRule type="expression" dxfId="6634" priority="2150">
      <formula>AND(IF($Q124=3,1,IF($Q124=4,1,0)),IF($F124&lt;=85,1,0))</formula>
    </cfRule>
  </conditionalFormatting>
  <conditionalFormatting sqref="AI124">
    <cfRule type="expression" dxfId="6633" priority="2143">
      <formula>AND(IF(OR($Q124=1,$Q124=2),1,0),IF($X124&lt;=20,1,0))</formula>
    </cfRule>
    <cfRule type="expression" dxfId="6632" priority="2144">
      <formula>AND(IF($Q124=2,1,0),IF($X124&lt;30,1,0))</formula>
    </cfRule>
    <cfRule type="expression" dxfId="6631" priority="2145">
      <formula>AND(IF($Q124=3,1,0),IF($X124&lt;30,1,0))</formula>
    </cfRule>
    <cfRule type="expression" dxfId="6630" priority="2146">
      <formula>AND(IF($Q124=3,1,IF($Q124=4,1,0)),IF($F124&lt;=85,1,0))</formula>
    </cfRule>
  </conditionalFormatting>
  <conditionalFormatting sqref="AV125">
    <cfRule type="expression" dxfId="6629" priority="2141">
      <formula>AV125="X"</formula>
    </cfRule>
    <cfRule type="expression" dxfId="6628" priority="2142">
      <formula>AV125="후보"</formula>
    </cfRule>
  </conditionalFormatting>
  <conditionalFormatting sqref="AC125">
    <cfRule type="cellIs" dxfId="6627" priority="2139" operator="greaterThan">
      <formula>0.9</formula>
    </cfRule>
    <cfRule type="cellIs" dxfId="6626" priority="2140" operator="greaterThan">
      <formula>0.85</formula>
    </cfRule>
  </conditionalFormatting>
  <conditionalFormatting sqref="N125">
    <cfRule type="cellIs" dxfId="6625" priority="2137" operator="greaterThan">
      <formula>0.9</formula>
    </cfRule>
    <cfRule type="cellIs" dxfId="6624" priority="2138" operator="greaterThan">
      <formula>0.85</formula>
    </cfRule>
  </conditionalFormatting>
  <conditionalFormatting sqref="E125">
    <cfRule type="expression" dxfId="6623" priority="2133">
      <formula>AND(IF(OR($Q125=1,$Q125=2),1,0),IF($X125&lt;=20,1,0))</formula>
    </cfRule>
    <cfRule type="expression" dxfId="6622" priority="2134">
      <formula>AND(IF($Q125=2,1,0),IF($X125&lt;30,1,0))</formula>
    </cfRule>
    <cfRule type="expression" dxfId="6621" priority="2135">
      <formula>AND(IF($Q125=3,1,0),IF($X125&lt;30,1,0))</formula>
    </cfRule>
    <cfRule type="expression" dxfId="6620" priority="2136">
      <formula>AND(IF($Q125=3,1,IF($Q125=4,1,0)),IF($F125&lt;=85,1,0))</formula>
    </cfRule>
  </conditionalFormatting>
  <conditionalFormatting sqref="X125">
    <cfRule type="expression" dxfId="6619" priority="2129">
      <formula>AND(IF(OR($Q125=1,$Q125=2),1,0),IF($X125&lt;=20,1,0))</formula>
    </cfRule>
    <cfRule type="expression" dxfId="6618" priority="2130">
      <formula>AND(IF($Q125=2,1,0),IF($X125&lt;30,1,0))</formula>
    </cfRule>
    <cfRule type="expression" dxfId="6617" priority="2131">
      <formula>AND(IF($Q125=3,1,0),IF($X125&lt;30,1,0))</formula>
    </cfRule>
    <cfRule type="expression" dxfId="6616" priority="2132">
      <formula>AND(IF($Q125=3,1,IF($Q125=4,1,0)),IF($F125&lt;=85,1,0))</formula>
    </cfRule>
  </conditionalFormatting>
  <conditionalFormatting sqref="AI125">
    <cfRule type="expression" dxfId="6615" priority="2125">
      <formula>AND(IF(OR($Q125=1,$Q125=2),1,0),IF($X125&lt;=20,1,0))</formula>
    </cfRule>
    <cfRule type="expression" dxfId="6614" priority="2126">
      <formula>AND(IF($Q125=2,1,0),IF($X125&lt;30,1,0))</formula>
    </cfRule>
    <cfRule type="expression" dxfId="6613" priority="2127">
      <formula>AND(IF($Q125=3,1,0),IF($X125&lt;30,1,0))</formula>
    </cfRule>
    <cfRule type="expression" dxfId="6612" priority="2128">
      <formula>AND(IF($Q125=3,1,IF($Q125=4,1,0)),IF($F125&lt;=85,1,0))</formula>
    </cfRule>
  </conditionalFormatting>
  <conditionalFormatting sqref="AV126">
    <cfRule type="expression" dxfId="6611" priority="2123">
      <formula>AV126="X"</formula>
    </cfRule>
    <cfRule type="expression" dxfId="6610" priority="2124">
      <formula>AV126="후보"</formula>
    </cfRule>
  </conditionalFormatting>
  <conditionalFormatting sqref="AC126">
    <cfRule type="cellIs" dxfId="6609" priority="2121" operator="greaterThan">
      <formula>0.9</formula>
    </cfRule>
    <cfRule type="cellIs" dxfId="6608" priority="2122" operator="greaterThan">
      <formula>0.85</formula>
    </cfRule>
  </conditionalFormatting>
  <conditionalFormatting sqref="N126">
    <cfRule type="cellIs" dxfId="6607" priority="2119" operator="greaterThan">
      <formula>0.9</formula>
    </cfRule>
    <cfRule type="cellIs" dxfId="6606" priority="2120" operator="greaterThan">
      <formula>0.85</formula>
    </cfRule>
  </conditionalFormatting>
  <conditionalFormatting sqref="E126">
    <cfRule type="expression" dxfId="6605" priority="2115">
      <formula>AND(IF(OR($Q126=1,$Q126=2),1,0),IF($X126&lt;=20,1,0))</formula>
    </cfRule>
    <cfRule type="expression" dxfId="6604" priority="2116">
      <formula>AND(IF($Q126=2,1,0),IF($X126&lt;30,1,0))</formula>
    </cfRule>
    <cfRule type="expression" dxfId="6603" priority="2117">
      <formula>AND(IF($Q126=3,1,0),IF($X126&lt;30,1,0))</formula>
    </cfRule>
    <cfRule type="expression" dxfId="6602" priority="2118">
      <formula>AND(IF($Q126=3,1,IF($Q126=4,1,0)),IF($F126&lt;=85,1,0))</formula>
    </cfRule>
  </conditionalFormatting>
  <conditionalFormatting sqref="X126">
    <cfRule type="expression" dxfId="6601" priority="2111">
      <formula>AND(IF(OR($Q126=1,$Q126=2),1,0),IF($X126&lt;=20,1,0))</formula>
    </cfRule>
    <cfRule type="expression" dxfId="6600" priority="2112">
      <formula>AND(IF($Q126=2,1,0),IF($X126&lt;30,1,0))</formula>
    </cfRule>
    <cfRule type="expression" dxfId="6599" priority="2113">
      <formula>AND(IF($Q126=3,1,0),IF($X126&lt;30,1,0))</formula>
    </cfRule>
    <cfRule type="expression" dxfId="6598" priority="2114">
      <formula>AND(IF($Q126=3,1,IF($Q126=4,1,0)),IF($F126&lt;=85,1,0))</formula>
    </cfRule>
  </conditionalFormatting>
  <conditionalFormatting sqref="AI126">
    <cfRule type="expression" dxfId="6597" priority="2107">
      <formula>AND(IF(OR($Q126=1,$Q126=2),1,0),IF($X126&lt;=20,1,0))</formula>
    </cfRule>
    <cfRule type="expression" dxfId="6596" priority="2108">
      <formula>AND(IF($Q126=2,1,0),IF($X126&lt;30,1,0))</formula>
    </cfRule>
    <cfRule type="expression" dxfId="6595" priority="2109">
      <formula>AND(IF($Q126=3,1,0),IF($X126&lt;30,1,0))</formula>
    </cfRule>
    <cfRule type="expression" dxfId="6594" priority="2110">
      <formula>AND(IF($Q126=3,1,IF($Q126=4,1,0)),IF($F126&lt;=85,1,0))</formula>
    </cfRule>
  </conditionalFormatting>
  <conditionalFormatting sqref="AV127">
    <cfRule type="expression" dxfId="6593" priority="2105">
      <formula>AV127="X"</formula>
    </cfRule>
    <cfRule type="expression" dxfId="6592" priority="2106">
      <formula>AV127="후보"</formula>
    </cfRule>
  </conditionalFormatting>
  <conditionalFormatting sqref="AC127">
    <cfRule type="cellIs" dxfId="6591" priority="2103" operator="greaterThan">
      <formula>0.9</formula>
    </cfRule>
    <cfRule type="cellIs" dxfId="6590" priority="2104" operator="greaterThan">
      <formula>0.85</formula>
    </cfRule>
  </conditionalFormatting>
  <conditionalFormatting sqref="N127">
    <cfRule type="cellIs" dxfId="6589" priority="2101" operator="greaterThan">
      <formula>0.9</formula>
    </cfRule>
    <cfRule type="cellIs" dxfId="6588" priority="2102" operator="greaterThan">
      <formula>0.85</formula>
    </cfRule>
  </conditionalFormatting>
  <conditionalFormatting sqref="E127">
    <cfRule type="expression" dxfId="6587" priority="2097">
      <formula>AND(IF(OR($Q127=1,$Q127=2),1,0),IF($X127&lt;=20,1,0))</formula>
    </cfRule>
    <cfRule type="expression" dxfId="6586" priority="2098">
      <formula>AND(IF($Q127=2,1,0),IF($X127&lt;30,1,0))</formula>
    </cfRule>
    <cfRule type="expression" dxfId="6585" priority="2099">
      <formula>AND(IF($Q127=3,1,0),IF($X127&lt;30,1,0))</formula>
    </cfRule>
    <cfRule type="expression" dxfId="6584" priority="2100">
      <formula>AND(IF($Q127=3,1,IF($Q127=4,1,0)),IF($F127&lt;=85,1,0))</formula>
    </cfRule>
  </conditionalFormatting>
  <conditionalFormatting sqref="X127">
    <cfRule type="expression" dxfId="6583" priority="2093">
      <formula>AND(IF(OR($Q127=1,$Q127=2),1,0),IF($X127&lt;=20,1,0))</formula>
    </cfRule>
    <cfRule type="expression" dxfId="6582" priority="2094">
      <formula>AND(IF($Q127=2,1,0),IF($X127&lt;30,1,0))</formula>
    </cfRule>
    <cfRule type="expression" dxfId="6581" priority="2095">
      <formula>AND(IF($Q127=3,1,0),IF($X127&lt;30,1,0))</formula>
    </cfRule>
    <cfRule type="expression" dxfId="6580" priority="2096">
      <formula>AND(IF($Q127=3,1,IF($Q127=4,1,0)),IF($F127&lt;=85,1,0))</formula>
    </cfRule>
  </conditionalFormatting>
  <conditionalFormatting sqref="AI127">
    <cfRule type="expression" dxfId="6579" priority="2089">
      <formula>AND(IF(OR($Q127=1,$Q127=2),1,0),IF($X127&lt;=20,1,0))</formula>
    </cfRule>
    <cfRule type="expression" dxfId="6578" priority="2090">
      <formula>AND(IF($Q127=2,1,0),IF($X127&lt;30,1,0))</formula>
    </cfRule>
    <cfRule type="expression" dxfId="6577" priority="2091">
      <formula>AND(IF($Q127=3,1,0),IF($X127&lt;30,1,0))</formula>
    </cfRule>
    <cfRule type="expression" dxfId="6576" priority="2092">
      <formula>AND(IF($Q127=3,1,IF($Q127=4,1,0)),IF($F127&lt;=85,1,0))</formula>
    </cfRule>
  </conditionalFormatting>
  <conditionalFormatting sqref="AV128">
    <cfRule type="expression" dxfId="6575" priority="2087">
      <formula>AV128="X"</formula>
    </cfRule>
    <cfRule type="expression" dxfId="6574" priority="2088">
      <formula>AV128="후보"</formula>
    </cfRule>
  </conditionalFormatting>
  <conditionalFormatting sqref="AC128">
    <cfRule type="cellIs" dxfId="6573" priority="2085" operator="greaterThan">
      <formula>0.9</formula>
    </cfRule>
    <cfRule type="cellIs" dxfId="6572" priority="2086" operator="greaterThan">
      <formula>0.85</formula>
    </cfRule>
  </conditionalFormatting>
  <conditionalFormatting sqref="N128">
    <cfRule type="cellIs" dxfId="6571" priority="2083" operator="greaterThan">
      <formula>0.9</formula>
    </cfRule>
    <cfRule type="cellIs" dxfId="6570" priority="2084" operator="greaterThan">
      <formula>0.85</formula>
    </cfRule>
  </conditionalFormatting>
  <conditionalFormatting sqref="E128">
    <cfRule type="expression" dxfId="6569" priority="2079">
      <formula>AND(IF(OR($Q128=1,$Q128=2),1,0),IF($X128&lt;=20,1,0))</formula>
    </cfRule>
    <cfRule type="expression" dxfId="6568" priority="2080">
      <formula>AND(IF($Q128=2,1,0),IF($X128&lt;30,1,0))</formula>
    </cfRule>
    <cfRule type="expression" dxfId="6567" priority="2081">
      <formula>AND(IF($Q128=3,1,0),IF($X128&lt;30,1,0))</formula>
    </cfRule>
    <cfRule type="expression" dxfId="6566" priority="2082">
      <formula>AND(IF($Q128=3,1,IF($Q128=4,1,0)),IF($F128&lt;=85,1,0))</formula>
    </cfRule>
  </conditionalFormatting>
  <conditionalFormatting sqref="X128">
    <cfRule type="expression" dxfId="6565" priority="2075">
      <formula>AND(IF(OR($Q128=1,$Q128=2),1,0),IF($X128&lt;=20,1,0))</formula>
    </cfRule>
    <cfRule type="expression" dxfId="6564" priority="2076">
      <formula>AND(IF($Q128=2,1,0),IF($X128&lt;30,1,0))</formula>
    </cfRule>
    <cfRule type="expression" dxfId="6563" priority="2077">
      <formula>AND(IF($Q128=3,1,0),IF($X128&lt;30,1,0))</formula>
    </cfRule>
    <cfRule type="expression" dxfId="6562" priority="2078">
      <formula>AND(IF($Q128=3,1,IF($Q128=4,1,0)),IF($F128&lt;=85,1,0))</formula>
    </cfRule>
  </conditionalFormatting>
  <conditionalFormatting sqref="AI128">
    <cfRule type="expression" dxfId="6561" priority="2071">
      <formula>AND(IF(OR($Q128=1,$Q128=2),1,0),IF($X128&lt;=20,1,0))</formula>
    </cfRule>
    <cfRule type="expression" dxfId="6560" priority="2072">
      <formula>AND(IF($Q128=2,1,0),IF($X128&lt;30,1,0))</formula>
    </cfRule>
    <cfRule type="expression" dxfId="6559" priority="2073">
      <formula>AND(IF($Q128=3,1,0),IF($X128&lt;30,1,0))</formula>
    </cfRule>
    <cfRule type="expression" dxfId="6558" priority="2074">
      <formula>AND(IF($Q128=3,1,IF($Q128=4,1,0)),IF($F128&lt;=85,1,0))</formula>
    </cfRule>
  </conditionalFormatting>
  <conditionalFormatting sqref="AV129">
    <cfRule type="expression" dxfId="6557" priority="2069">
      <formula>AV129="X"</formula>
    </cfRule>
    <cfRule type="expression" dxfId="6556" priority="2070">
      <formula>AV129="후보"</formula>
    </cfRule>
  </conditionalFormatting>
  <conditionalFormatting sqref="AC129">
    <cfRule type="cellIs" dxfId="6555" priority="2067" operator="greaterThan">
      <formula>0.9</formula>
    </cfRule>
    <cfRule type="cellIs" dxfId="6554" priority="2068" operator="greaterThan">
      <formula>0.85</formula>
    </cfRule>
  </conditionalFormatting>
  <conditionalFormatting sqref="N129">
    <cfRule type="cellIs" dxfId="6553" priority="2065" operator="greaterThan">
      <formula>0.9</formula>
    </cfRule>
    <cfRule type="cellIs" dxfId="6552" priority="2066" operator="greaterThan">
      <formula>0.85</formula>
    </cfRule>
  </conditionalFormatting>
  <conditionalFormatting sqref="E129">
    <cfRule type="expression" dxfId="6551" priority="2061">
      <formula>AND(IF(OR($Q129=1,$Q129=2),1,0),IF($X129&lt;=20,1,0))</formula>
    </cfRule>
    <cfRule type="expression" dxfId="6550" priority="2062">
      <formula>AND(IF($Q129=2,1,0),IF($X129&lt;30,1,0))</formula>
    </cfRule>
    <cfRule type="expression" dxfId="6549" priority="2063">
      <formula>AND(IF($Q129=3,1,0),IF($X129&lt;30,1,0))</formula>
    </cfRule>
    <cfRule type="expression" dxfId="6548" priority="2064">
      <formula>AND(IF($Q129=3,1,IF($Q129=4,1,0)),IF($F129&lt;=85,1,0))</formula>
    </cfRule>
  </conditionalFormatting>
  <conditionalFormatting sqref="X129">
    <cfRule type="expression" dxfId="6547" priority="2057">
      <formula>AND(IF(OR($Q129=1,$Q129=2),1,0),IF($X129&lt;=20,1,0))</formula>
    </cfRule>
    <cfRule type="expression" dxfId="6546" priority="2058">
      <formula>AND(IF($Q129=2,1,0),IF($X129&lt;30,1,0))</formula>
    </cfRule>
    <cfRule type="expression" dxfId="6545" priority="2059">
      <formula>AND(IF($Q129=3,1,0),IF($X129&lt;30,1,0))</formula>
    </cfRule>
    <cfRule type="expression" dxfId="6544" priority="2060">
      <formula>AND(IF($Q129=3,1,IF($Q129=4,1,0)),IF($F129&lt;=85,1,0))</formula>
    </cfRule>
  </conditionalFormatting>
  <conditionalFormatting sqref="AI129">
    <cfRule type="expression" dxfId="6543" priority="2053">
      <formula>AND(IF(OR($Q129=1,$Q129=2),1,0),IF($X129&lt;=20,1,0))</formula>
    </cfRule>
    <cfRule type="expression" dxfId="6542" priority="2054">
      <formula>AND(IF($Q129=2,1,0),IF($X129&lt;30,1,0))</formula>
    </cfRule>
    <cfRule type="expression" dxfId="6541" priority="2055">
      <formula>AND(IF($Q129=3,1,0),IF($X129&lt;30,1,0))</formula>
    </cfRule>
    <cfRule type="expression" dxfId="6540" priority="2056">
      <formula>AND(IF($Q129=3,1,IF($Q129=4,1,0)),IF($F129&lt;=85,1,0))</formula>
    </cfRule>
  </conditionalFormatting>
  <conditionalFormatting sqref="AV130">
    <cfRule type="expression" dxfId="6539" priority="2051">
      <formula>AV130="X"</formula>
    </cfRule>
    <cfRule type="expression" dxfId="6538" priority="2052">
      <formula>AV130="후보"</formula>
    </cfRule>
  </conditionalFormatting>
  <conditionalFormatting sqref="AC130">
    <cfRule type="cellIs" dxfId="6537" priority="2049" operator="greaterThan">
      <formula>0.9</formula>
    </cfRule>
    <cfRule type="cellIs" dxfId="6536" priority="2050" operator="greaterThan">
      <formula>0.85</formula>
    </cfRule>
  </conditionalFormatting>
  <conditionalFormatting sqref="N130">
    <cfRule type="cellIs" dxfId="6535" priority="2047" operator="greaterThan">
      <formula>0.9</formula>
    </cfRule>
    <cfRule type="cellIs" dxfId="6534" priority="2048" operator="greaterThan">
      <formula>0.85</formula>
    </cfRule>
  </conditionalFormatting>
  <conditionalFormatting sqref="E130">
    <cfRule type="expression" dxfId="6533" priority="2043">
      <formula>AND(IF(OR($Q130=1,$Q130=2),1,0),IF($X130&lt;=20,1,0))</formula>
    </cfRule>
    <cfRule type="expression" dxfId="6532" priority="2044">
      <formula>AND(IF($Q130=2,1,0),IF($X130&lt;30,1,0))</formula>
    </cfRule>
    <cfRule type="expression" dxfId="6531" priority="2045">
      <formula>AND(IF($Q130=3,1,0),IF($X130&lt;30,1,0))</formula>
    </cfRule>
    <cfRule type="expression" dxfId="6530" priority="2046">
      <formula>AND(IF($Q130=3,1,IF($Q130=4,1,0)),IF($F130&lt;=85,1,0))</formula>
    </cfRule>
  </conditionalFormatting>
  <conditionalFormatting sqref="X130">
    <cfRule type="expression" dxfId="6529" priority="2039">
      <formula>AND(IF(OR($Q130=1,$Q130=2),1,0),IF($X130&lt;=20,1,0))</formula>
    </cfRule>
    <cfRule type="expression" dxfId="6528" priority="2040">
      <formula>AND(IF($Q130=2,1,0),IF($X130&lt;30,1,0))</formula>
    </cfRule>
    <cfRule type="expression" dxfId="6527" priority="2041">
      <formula>AND(IF($Q130=3,1,0),IF($X130&lt;30,1,0))</formula>
    </cfRule>
    <cfRule type="expression" dxfId="6526" priority="2042">
      <formula>AND(IF($Q130=3,1,IF($Q130=4,1,0)),IF($F130&lt;=85,1,0))</formula>
    </cfRule>
  </conditionalFormatting>
  <conditionalFormatting sqref="AI130">
    <cfRule type="expression" dxfId="6525" priority="2035">
      <formula>AND(IF(OR($Q130=1,$Q130=2),1,0),IF($X130&lt;=20,1,0))</formula>
    </cfRule>
    <cfRule type="expression" dxfId="6524" priority="2036">
      <formula>AND(IF($Q130=2,1,0),IF($X130&lt;30,1,0))</formula>
    </cfRule>
    <cfRule type="expression" dxfId="6523" priority="2037">
      <formula>AND(IF($Q130=3,1,0),IF($X130&lt;30,1,0))</formula>
    </cfRule>
    <cfRule type="expression" dxfId="6522" priority="2038">
      <formula>AND(IF($Q130=3,1,IF($Q130=4,1,0)),IF($F130&lt;=85,1,0))</formula>
    </cfRule>
  </conditionalFormatting>
  <conditionalFormatting sqref="AV131">
    <cfRule type="expression" dxfId="6521" priority="2033">
      <formula>AV131="X"</formula>
    </cfRule>
    <cfRule type="expression" dxfId="6520" priority="2034">
      <formula>AV131="후보"</formula>
    </cfRule>
  </conditionalFormatting>
  <conditionalFormatting sqref="AC131">
    <cfRule type="cellIs" dxfId="6519" priority="2031" operator="greaterThan">
      <formula>0.9</formula>
    </cfRule>
    <cfRule type="cellIs" dxfId="6518" priority="2032" operator="greaterThan">
      <formula>0.85</formula>
    </cfRule>
  </conditionalFormatting>
  <conditionalFormatting sqref="N131">
    <cfRule type="cellIs" dxfId="6517" priority="2029" operator="greaterThan">
      <formula>0.9</formula>
    </cfRule>
    <cfRule type="cellIs" dxfId="6516" priority="2030" operator="greaterThan">
      <formula>0.85</formula>
    </cfRule>
  </conditionalFormatting>
  <conditionalFormatting sqref="E131">
    <cfRule type="expression" dxfId="6515" priority="2025">
      <formula>AND(IF(OR($Q131=1,$Q131=2),1,0),IF($X131&lt;=20,1,0))</formula>
    </cfRule>
    <cfRule type="expression" dxfId="6514" priority="2026">
      <formula>AND(IF($Q131=2,1,0),IF($X131&lt;30,1,0))</formula>
    </cfRule>
    <cfRule type="expression" dxfId="6513" priority="2027">
      <formula>AND(IF($Q131=3,1,0),IF($X131&lt;30,1,0))</formula>
    </cfRule>
    <cfRule type="expression" dxfId="6512" priority="2028">
      <formula>AND(IF($Q131=3,1,IF($Q131=4,1,0)),IF($F131&lt;=85,1,0))</formula>
    </cfRule>
  </conditionalFormatting>
  <conditionalFormatting sqref="X131">
    <cfRule type="expression" dxfId="6511" priority="2021">
      <formula>AND(IF(OR($Q131=1,$Q131=2),1,0),IF($X131&lt;=20,1,0))</formula>
    </cfRule>
    <cfRule type="expression" dxfId="6510" priority="2022">
      <formula>AND(IF($Q131=2,1,0),IF($X131&lt;30,1,0))</formula>
    </cfRule>
    <cfRule type="expression" dxfId="6509" priority="2023">
      <formula>AND(IF($Q131=3,1,0),IF($X131&lt;30,1,0))</formula>
    </cfRule>
    <cfRule type="expression" dxfId="6508" priority="2024">
      <formula>AND(IF($Q131=3,1,IF($Q131=4,1,0)),IF($F131&lt;=85,1,0))</formula>
    </cfRule>
  </conditionalFormatting>
  <conditionalFormatting sqref="AI131">
    <cfRule type="expression" dxfId="6507" priority="2017">
      <formula>AND(IF(OR($Q131=1,$Q131=2),1,0),IF($X131&lt;=20,1,0))</formula>
    </cfRule>
    <cfRule type="expression" dxfId="6506" priority="2018">
      <formula>AND(IF($Q131=2,1,0),IF($X131&lt;30,1,0))</formula>
    </cfRule>
    <cfRule type="expression" dxfId="6505" priority="2019">
      <formula>AND(IF($Q131=3,1,0),IF($X131&lt;30,1,0))</formula>
    </cfRule>
    <cfRule type="expression" dxfId="6504" priority="2020">
      <formula>AND(IF($Q131=3,1,IF($Q131=4,1,0)),IF($F131&lt;=85,1,0))</formula>
    </cfRule>
  </conditionalFormatting>
  <conditionalFormatting sqref="AV132">
    <cfRule type="expression" dxfId="6503" priority="2015">
      <formula>AV132="X"</formula>
    </cfRule>
    <cfRule type="expression" dxfId="6502" priority="2016">
      <formula>AV132="후보"</formula>
    </cfRule>
  </conditionalFormatting>
  <conditionalFormatting sqref="AC132">
    <cfRule type="cellIs" dxfId="6501" priority="2013" operator="greaterThan">
      <formula>0.9</formula>
    </cfRule>
    <cfRule type="cellIs" dxfId="6500" priority="2014" operator="greaterThan">
      <formula>0.85</formula>
    </cfRule>
  </conditionalFormatting>
  <conditionalFormatting sqref="N132">
    <cfRule type="cellIs" dxfId="6499" priority="2011" operator="greaterThan">
      <formula>0.9</formula>
    </cfRule>
    <cfRule type="cellIs" dxfId="6498" priority="2012" operator="greaterThan">
      <formula>0.85</formula>
    </cfRule>
  </conditionalFormatting>
  <conditionalFormatting sqref="E132">
    <cfRule type="expression" dxfId="6497" priority="2007">
      <formula>AND(IF(OR($Q132=1,$Q132=2),1,0),IF($X132&lt;=20,1,0))</formula>
    </cfRule>
    <cfRule type="expression" dxfId="6496" priority="2008">
      <formula>AND(IF($Q132=2,1,0),IF($X132&lt;30,1,0))</formula>
    </cfRule>
    <cfRule type="expression" dxfId="6495" priority="2009">
      <formula>AND(IF($Q132=3,1,0),IF($X132&lt;30,1,0))</formula>
    </cfRule>
    <cfRule type="expression" dxfId="6494" priority="2010">
      <formula>AND(IF($Q132=3,1,IF($Q132=4,1,0)),IF($F132&lt;=85,1,0))</formula>
    </cfRule>
  </conditionalFormatting>
  <conditionalFormatting sqref="X132">
    <cfRule type="expression" dxfId="6493" priority="2003">
      <formula>AND(IF(OR($Q132=1,$Q132=2),1,0),IF($X132&lt;=20,1,0))</formula>
    </cfRule>
    <cfRule type="expression" dxfId="6492" priority="2004">
      <formula>AND(IF($Q132=2,1,0),IF($X132&lt;30,1,0))</formula>
    </cfRule>
    <cfRule type="expression" dxfId="6491" priority="2005">
      <formula>AND(IF($Q132=3,1,0),IF($X132&lt;30,1,0))</formula>
    </cfRule>
    <cfRule type="expression" dxfId="6490" priority="2006">
      <formula>AND(IF($Q132=3,1,IF($Q132=4,1,0)),IF($F132&lt;=85,1,0))</formula>
    </cfRule>
  </conditionalFormatting>
  <conditionalFormatting sqref="AI132">
    <cfRule type="expression" dxfId="6489" priority="1999">
      <formula>AND(IF(OR($Q132=1,$Q132=2),1,0),IF($X132&lt;=20,1,0))</formula>
    </cfRule>
    <cfRule type="expression" dxfId="6488" priority="2000">
      <formula>AND(IF($Q132=2,1,0),IF($X132&lt;30,1,0))</formula>
    </cfRule>
    <cfRule type="expression" dxfId="6487" priority="2001">
      <formula>AND(IF($Q132=3,1,0),IF($X132&lt;30,1,0))</formula>
    </cfRule>
    <cfRule type="expression" dxfId="6486" priority="2002">
      <formula>AND(IF($Q132=3,1,IF($Q132=4,1,0)),IF($F132&lt;=85,1,0))</formula>
    </cfRule>
  </conditionalFormatting>
  <conditionalFormatting sqref="AV133">
    <cfRule type="expression" dxfId="6485" priority="1997">
      <formula>AV133="X"</formula>
    </cfRule>
    <cfRule type="expression" dxfId="6484" priority="1998">
      <formula>AV133="후보"</formula>
    </cfRule>
  </conditionalFormatting>
  <conditionalFormatting sqref="AC133">
    <cfRule type="cellIs" dxfId="6483" priority="1995" operator="greaterThan">
      <formula>0.9</formula>
    </cfRule>
    <cfRule type="cellIs" dxfId="6482" priority="1996" operator="greaterThan">
      <formula>0.85</formula>
    </cfRule>
  </conditionalFormatting>
  <conditionalFormatting sqref="N133">
    <cfRule type="cellIs" dxfId="6481" priority="1993" operator="greaterThan">
      <formula>0.9</formula>
    </cfRule>
    <cfRule type="cellIs" dxfId="6480" priority="1994" operator="greaterThan">
      <formula>0.85</formula>
    </cfRule>
  </conditionalFormatting>
  <conditionalFormatting sqref="E133">
    <cfRule type="expression" dxfId="6479" priority="1989">
      <formula>AND(IF(OR($Q133=1,$Q133=2),1,0),IF($X133&lt;=20,1,0))</formula>
    </cfRule>
    <cfRule type="expression" dxfId="6478" priority="1990">
      <formula>AND(IF($Q133=2,1,0),IF($X133&lt;30,1,0))</formula>
    </cfRule>
    <cfRule type="expression" dxfId="6477" priority="1991">
      <formula>AND(IF($Q133=3,1,0),IF($X133&lt;30,1,0))</formula>
    </cfRule>
    <cfRule type="expression" dxfId="6476" priority="1992">
      <formula>AND(IF($Q133=3,1,IF($Q133=4,1,0)),IF($F133&lt;=85,1,0))</formula>
    </cfRule>
  </conditionalFormatting>
  <conditionalFormatting sqref="X133">
    <cfRule type="expression" dxfId="6475" priority="1985">
      <formula>AND(IF(OR($Q133=1,$Q133=2),1,0),IF($X133&lt;=20,1,0))</formula>
    </cfRule>
    <cfRule type="expression" dxfId="6474" priority="1986">
      <formula>AND(IF($Q133=2,1,0),IF($X133&lt;30,1,0))</formula>
    </cfRule>
    <cfRule type="expression" dxfId="6473" priority="1987">
      <formula>AND(IF($Q133=3,1,0),IF($X133&lt;30,1,0))</formula>
    </cfRule>
    <cfRule type="expression" dxfId="6472" priority="1988">
      <formula>AND(IF($Q133=3,1,IF($Q133=4,1,0)),IF($F133&lt;=85,1,0))</formula>
    </cfRule>
  </conditionalFormatting>
  <conditionalFormatting sqref="AI133">
    <cfRule type="expression" dxfId="6471" priority="1981">
      <formula>AND(IF(OR($Q133=1,$Q133=2),1,0),IF($X133&lt;=20,1,0))</formula>
    </cfRule>
    <cfRule type="expression" dxfId="6470" priority="1982">
      <formula>AND(IF($Q133=2,1,0),IF($X133&lt;30,1,0))</formula>
    </cfRule>
    <cfRule type="expression" dxfId="6469" priority="1983">
      <formula>AND(IF($Q133=3,1,0),IF($X133&lt;30,1,0))</formula>
    </cfRule>
    <cfRule type="expression" dxfId="6468" priority="1984">
      <formula>AND(IF($Q133=3,1,IF($Q133=4,1,0)),IF($F133&lt;=85,1,0))</formula>
    </cfRule>
  </conditionalFormatting>
  <conditionalFormatting sqref="AV134">
    <cfRule type="expression" dxfId="6467" priority="1979">
      <formula>AV134="X"</formula>
    </cfRule>
    <cfRule type="expression" dxfId="6466" priority="1980">
      <formula>AV134="후보"</formula>
    </cfRule>
  </conditionalFormatting>
  <conditionalFormatting sqref="AC134">
    <cfRule type="cellIs" dxfId="6465" priority="1977" operator="greaterThan">
      <formula>0.9</formula>
    </cfRule>
    <cfRule type="cellIs" dxfId="6464" priority="1978" operator="greaterThan">
      <formula>0.85</formula>
    </cfRule>
  </conditionalFormatting>
  <conditionalFormatting sqref="N134">
    <cfRule type="cellIs" dxfId="6463" priority="1975" operator="greaterThan">
      <formula>0.9</formula>
    </cfRule>
    <cfRule type="cellIs" dxfId="6462" priority="1976" operator="greaterThan">
      <formula>0.85</formula>
    </cfRule>
  </conditionalFormatting>
  <conditionalFormatting sqref="E134">
    <cfRule type="expression" dxfId="6461" priority="1971">
      <formula>AND(IF(OR($Q134=1,$Q134=2),1,0),IF($X134&lt;=20,1,0))</formula>
    </cfRule>
    <cfRule type="expression" dxfId="6460" priority="1972">
      <formula>AND(IF($Q134=2,1,0),IF($X134&lt;30,1,0))</formula>
    </cfRule>
    <cfRule type="expression" dxfId="6459" priority="1973">
      <formula>AND(IF($Q134=3,1,0),IF($X134&lt;30,1,0))</formula>
    </cfRule>
    <cfRule type="expression" dxfId="6458" priority="1974">
      <formula>AND(IF($Q134=3,1,IF($Q134=4,1,0)),IF($F134&lt;=85,1,0))</formula>
    </cfRule>
  </conditionalFormatting>
  <conditionalFormatting sqref="X134">
    <cfRule type="expression" dxfId="6457" priority="1967">
      <formula>AND(IF(OR($Q134=1,$Q134=2),1,0),IF($X134&lt;=20,1,0))</formula>
    </cfRule>
    <cfRule type="expression" dxfId="6456" priority="1968">
      <formula>AND(IF($Q134=2,1,0),IF($X134&lt;30,1,0))</formula>
    </cfRule>
    <cfRule type="expression" dxfId="6455" priority="1969">
      <formula>AND(IF($Q134=3,1,0),IF($X134&lt;30,1,0))</formula>
    </cfRule>
    <cfRule type="expression" dxfId="6454" priority="1970">
      <formula>AND(IF($Q134=3,1,IF($Q134=4,1,0)),IF($F134&lt;=85,1,0))</formula>
    </cfRule>
  </conditionalFormatting>
  <conditionalFormatting sqref="AI134">
    <cfRule type="expression" dxfId="6453" priority="1963">
      <formula>AND(IF(OR($Q134=1,$Q134=2),1,0),IF($X134&lt;=20,1,0))</formula>
    </cfRule>
    <cfRule type="expression" dxfId="6452" priority="1964">
      <formula>AND(IF($Q134=2,1,0),IF($X134&lt;30,1,0))</formula>
    </cfRule>
    <cfRule type="expression" dxfId="6451" priority="1965">
      <formula>AND(IF($Q134=3,1,0),IF($X134&lt;30,1,0))</formula>
    </cfRule>
    <cfRule type="expression" dxfId="6450" priority="1966">
      <formula>AND(IF($Q134=3,1,IF($Q134=4,1,0)),IF($F134&lt;=85,1,0))</formula>
    </cfRule>
  </conditionalFormatting>
  <conditionalFormatting sqref="AV135">
    <cfRule type="expression" dxfId="6449" priority="1961">
      <formula>AV135="X"</formula>
    </cfRule>
    <cfRule type="expression" dxfId="6448" priority="1962">
      <formula>AV135="후보"</formula>
    </cfRule>
  </conditionalFormatting>
  <conditionalFormatting sqref="AC135">
    <cfRule type="cellIs" dxfId="6447" priority="1959" operator="greaterThan">
      <formula>0.9</formula>
    </cfRule>
    <cfRule type="cellIs" dxfId="6446" priority="1960" operator="greaterThan">
      <formula>0.85</formula>
    </cfRule>
  </conditionalFormatting>
  <conditionalFormatting sqref="N135">
    <cfRule type="cellIs" dxfId="6445" priority="1957" operator="greaterThan">
      <formula>0.9</formula>
    </cfRule>
    <cfRule type="cellIs" dxfId="6444" priority="1958" operator="greaterThan">
      <formula>0.85</formula>
    </cfRule>
  </conditionalFormatting>
  <conditionalFormatting sqref="E135">
    <cfRule type="expression" dxfId="6443" priority="1953">
      <formula>AND(IF(OR($Q135=1,$Q135=2),1,0),IF($X135&lt;=20,1,0))</formula>
    </cfRule>
    <cfRule type="expression" dxfId="6442" priority="1954">
      <formula>AND(IF($Q135=2,1,0),IF($X135&lt;30,1,0))</formula>
    </cfRule>
    <cfRule type="expression" dxfId="6441" priority="1955">
      <formula>AND(IF($Q135=3,1,0),IF($X135&lt;30,1,0))</formula>
    </cfRule>
    <cfRule type="expression" dxfId="6440" priority="1956">
      <formula>AND(IF($Q135=3,1,IF($Q135=4,1,0)),IF($F135&lt;=85,1,0))</formula>
    </cfRule>
  </conditionalFormatting>
  <conditionalFormatting sqref="X135">
    <cfRule type="expression" dxfId="6439" priority="1949">
      <formula>AND(IF(OR($Q135=1,$Q135=2),1,0),IF($X135&lt;=20,1,0))</formula>
    </cfRule>
    <cfRule type="expression" dxfId="6438" priority="1950">
      <formula>AND(IF($Q135=2,1,0),IF($X135&lt;30,1,0))</formula>
    </cfRule>
    <cfRule type="expression" dxfId="6437" priority="1951">
      <formula>AND(IF($Q135=3,1,0),IF($X135&lt;30,1,0))</formula>
    </cfRule>
    <cfRule type="expression" dxfId="6436" priority="1952">
      <formula>AND(IF($Q135=3,1,IF($Q135=4,1,0)),IF($F135&lt;=85,1,0))</formula>
    </cfRule>
  </conditionalFormatting>
  <conditionalFormatting sqref="AI135">
    <cfRule type="expression" dxfId="6435" priority="1945">
      <formula>AND(IF(OR($Q135=1,$Q135=2),1,0),IF($X135&lt;=20,1,0))</formula>
    </cfRule>
    <cfRule type="expression" dxfId="6434" priority="1946">
      <formula>AND(IF($Q135=2,1,0),IF($X135&lt;30,1,0))</formula>
    </cfRule>
    <cfRule type="expression" dxfId="6433" priority="1947">
      <formula>AND(IF($Q135=3,1,0),IF($X135&lt;30,1,0))</formula>
    </cfRule>
    <cfRule type="expression" dxfId="6432" priority="1948">
      <formula>AND(IF($Q135=3,1,IF($Q135=4,1,0)),IF($F135&lt;=85,1,0))</formula>
    </cfRule>
  </conditionalFormatting>
  <conditionalFormatting sqref="AV136">
    <cfRule type="expression" dxfId="6431" priority="1943">
      <formula>AV136="X"</formula>
    </cfRule>
    <cfRule type="expression" dxfId="6430" priority="1944">
      <formula>AV136="후보"</formula>
    </cfRule>
  </conditionalFormatting>
  <conditionalFormatting sqref="AC136">
    <cfRule type="cellIs" dxfId="6429" priority="1941" operator="greaterThan">
      <formula>0.9</formula>
    </cfRule>
    <cfRule type="cellIs" dxfId="6428" priority="1942" operator="greaterThan">
      <formula>0.85</formula>
    </cfRule>
  </conditionalFormatting>
  <conditionalFormatting sqref="N136">
    <cfRule type="cellIs" dxfId="6427" priority="1939" operator="greaterThan">
      <formula>0.9</formula>
    </cfRule>
    <cfRule type="cellIs" dxfId="6426" priority="1940" operator="greaterThan">
      <formula>0.85</formula>
    </cfRule>
  </conditionalFormatting>
  <conditionalFormatting sqref="E136">
    <cfRule type="expression" dxfId="6425" priority="1935">
      <formula>AND(IF(OR($Q136=1,$Q136=2),1,0),IF($X136&lt;=20,1,0))</formula>
    </cfRule>
    <cfRule type="expression" dxfId="6424" priority="1936">
      <formula>AND(IF($Q136=2,1,0),IF($X136&lt;30,1,0))</formula>
    </cfRule>
    <cfRule type="expression" dxfId="6423" priority="1937">
      <formula>AND(IF($Q136=3,1,0),IF($X136&lt;30,1,0))</formula>
    </cfRule>
    <cfRule type="expression" dxfId="6422" priority="1938">
      <formula>AND(IF($Q136=3,1,IF($Q136=4,1,0)),IF($F136&lt;=85,1,0))</formula>
    </cfRule>
  </conditionalFormatting>
  <conditionalFormatting sqref="X136">
    <cfRule type="expression" dxfId="6421" priority="1931">
      <formula>AND(IF(OR($Q136=1,$Q136=2),1,0),IF($X136&lt;=20,1,0))</formula>
    </cfRule>
    <cfRule type="expression" dxfId="6420" priority="1932">
      <formula>AND(IF($Q136=2,1,0),IF($X136&lt;30,1,0))</formula>
    </cfRule>
    <cfRule type="expression" dxfId="6419" priority="1933">
      <formula>AND(IF($Q136=3,1,0),IF($X136&lt;30,1,0))</formula>
    </cfRule>
    <cfRule type="expression" dxfId="6418" priority="1934">
      <formula>AND(IF($Q136=3,1,IF($Q136=4,1,0)),IF($F136&lt;=85,1,0))</formula>
    </cfRule>
  </conditionalFormatting>
  <conditionalFormatting sqref="AI136">
    <cfRule type="expression" dxfId="6417" priority="1927">
      <formula>AND(IF(OR($Q136=1,$Q136=2),1,0),IF($X136&lt;=20,1,0))</formula>
    </cfRule>
    <cfRule type="expression" dxfId="6416" priority="1928">
      <formula>AND(IF($Q136=2,1,0),IF($X136&lt;30,1,0))</formula>
    </cfRule>
    <cfRule type="expression" dxfId="6415" priority="1929">
      <formula>AND(IF($Q136=3,1,0),IF($X136&lt;30,1,0))</formula>
    </cfRule>
    <cfRule type="expression" dxfId="6414" priority="1930">
      <formula>AND(IF($Q136=3,1,IF($Q136=4,1,0)),IF($F136&lt;=85,1,0))</formula>
    </cfRule>
  </conditionalFormatting>
  <conditionalFormatting sqref="AV137">
    <cfRule type="expression" dxfId="6413" priority="1925">
      <formula>AV137="X"</formula>
    </cfRule>
    <cfRule type="expression" dxfId="6412" priority="1926">
      <formula>AV137="후보"</formula>
    </cfRule>
  </conditionalFormatting>
  <conditionalFormatting sqref="AC137">
    <cfRule type="cellIs" dxfId="6411" priority="1923" operator="greaterThan">
      <formula>0.9</formula>
    </cfRule>
    <cfRule type="cellIs" dxfId="6410" priority="1924" operator="greaterThan">
      <formula>0.85</formula>
    </cfRule>
  </conditionalFormatting>
  <conditionalFormatting sqref="N137">
    <cfRule type="cellIs" dxfId="6409" priority="1921" operator="greaterThan">
      <formula>0.9</formula>
    </cfRule>
    <cfRule type="cellIs" dxfId="6408" priority="1922" operator="greaterThan">
      <formula>0.85</formula>
    </cfRule>
  </conditionalFormatting>
  <conditionalFormatting sqref="E137">
    <cfRule type="expression" dxfId="6407" priority="1917">
      <formula>AND(IF(OR($Q137=1,$Q137=2),1,0),IF($X137&lt;=20,1,0))</formula>
    </cfRule>
    <cfRule type="expression" dxfId="6406" priority="1918">
      <formula>AND(IF($Q137=2,1,0),IF($X137&lt;30,1,0))</formula>
    </cfRule>
    <cfRule type="expression" dxfId="6405" priority="1919">
      <formula>AND(IF($Q137=3,1,0),IF($X137&lt;30,1,0))</formula>
    </cfRule>
    <cfRule type="expression" dxfId="6404" priority="1920">
      <formula>AND(IF($Q137=3,1,IF($Q137=4,1,0)),IF($F137&lt;=85,1,0))</formula>
    </cfRule>
  </conditionalFormatting>
  <conditionalFormatting sqref="X137">
    <cfRule type="expression" dxfId="6403" priority="1913">
      <formula>AND(IF(OR($Q137=1,$Q137=2),1,0),IF($X137&lt;=20,1,0))</formula>
    </cfRule>
    <cfRule type="expression" dxfId="6402" priority="1914">
      <formula>AND(IF($Q137=2,1,0),IF($X137&lt;30,1,0))</formula>
    </cfRule>
    <cfRule type="expression" dxfId="6401" priority="1915">
      <formula>AND(IF($Q137=3,1,0),IF($X137&lt;30,1,0))</formula>
    </cfRule>
    <cfRule type="expression" dxfId="6400" priority="1916">
      <formula>AND(IF($Q137=3,1,IF($Q137=4,1,0)),IF($F137&lt;=85,1,0))</formula>
    </cfRule>
  </conditionalFormatting>
  <conditionalFormatting sqref="AI137">
    <cfRule type="expression" dxfId="6399" priority="1909">
      <formula>AND(IF(OR($Q137=1,$Q137=2),1,0),IF($X137&lt;=20,1,0))</formula>
    </cfRule>
    <cfRule type="expression" dxfId="6398" priority="1910">
      <formula>AND(IF($Q137=2,1,0),IF($X137&lt;30,1,0))</formula>
    </cfRule>
    <cfRule type="expression" dxfId="6397" priority="1911">
      <formula>AND(IF($Q137=3,1,0),IF($X137&lt;30,1,0))</formula>
    </cfRule>
    <cfRule type="expression" dxfId="6396" priority="1912">
      <formula>AND(IF($Q137=3,1,IF($Q137=4,1,0)),IF($F137&lt;=85,1,0))</formula>
    </cfRule>
  </conditionalFormatting>
  <conditionalFormatting sqref="AV138">
    <cfRule type="expression" dxfId="6395" priority="1907">
      <formula>AV138="X"</formula>
    </cfRule>
    <cfRule type="expression" dxfId="6394" priority="1908">
      <formula>AV138="후보"</formula>
    </cfRule>
  </conditionalFormatting>
  <conditionalFormatting sqref="AC138">
    <cfRule type="cellIs" dxfId="6393" priority="1905" operator="greaterThan">
      <formula>0.9</formula>
    </cfRule>
    <cfRule type="cellIs" dxfId="6392" priority="1906" operator="greaterThan">
      <formula>0.85</formula>
    </cfRule>
  </conditionalFormatting>
  <conditionalFormatting sqref="N138">
    <cfRule type="cellIs" dxfId="6391" priority="1903" operator="greaterThan">
      <formula>0.9</formula>
    </cfRule>
    <cfRule type="cellIs" dxfId="6390" priority="1904" operator="greaterThan">
      <formula>0.85</formula>
    </cfRule>
  </conditionalFormatting>
  <conditionalFormatting sqref="E138">
    <cfRule type="expression" dxfId="6389" priority="1899">
      <formula>AND(IF(OR($Q138=1,$Q138=2),1,0),IF($X138&lt;=20,1,0))</formula>
    </cfRule>
    <cfRule type="expression" dxfId="6388" priority="1900">
      <formula>AND(IF($Q138=2,1,0),IF($X138&lt;30,1,0))</formula>
    </cfRule>
    <cfRule type="expression" dxfId="6387" priority="1901">
      <formula>AND(IF($Q138=3,1,0),IF($X138&lt;30,1,0))</formula>
    </cfRule>
    <cfRule type="expression" dxfId="6386" priority="1902">
      <formula>AND(IF($Q138=3,1,IF($Q138=4,1,0)),IF($F138&lt;=85,1,0))</formula>
    </cfRule>
  </conditionalFormatting>
  <conditionalFormatting sqref="X138">
    <cfRule type="expression" dxfId="6385" priority="1895">
      <formula>AND(IF(OR($Q138=1,$Q138=2),1,0),IF($X138&lt;=20,1,0))</formula>
    </cfRule>
    <cfRule type="expression" dxfId="6384" priority="1896">
      <formula>AND(IF($Q138=2,1,0),IF($X138&lt;30,1,0))</formula>
    </cfRule>
    <cfRule type="expression" dxfId="6383" priority="1897">
      <formula>AND(IF($Q138=3,1,0),IF($X138&lt;30,1,0))</formula>
    </cfRule>
    <cfRule type="expression" dxfId="6382" priority="1898">
      <formula>AND(IF($Q138=3,1,IF($Q138=4,1,0)),IF($F138&lt;=85,1,0))</formula>
    </cfRule>
  </conditionalFormatting>
  <conditionalFormatting sqref="AI138">
    <cfRule type="expression" dxfId="6381" priority="1891">
      <formula>AND(IF(OR($Q138=1,$Q138=2),1,0),IF($X138&lt;=20,1,0))</formula>
    </cfRule>
    <cfRule type="expression" dxfId="6380" priority="1892">
      <formula>AND(IF($Q138=2,1,0),IF($X138&lt;30,1,0))</formula>
    </cfRule>
    <cfRule type="expression" dxfId="6379" priority="1893">
      <formula>AND(IF($Q138=3,1,0),IF($X138&lt;30,1,0))</formula>
    </cfRule>
    <cfRule type="expression" dxfId="6378" priority="1894">
      <formula>AND(IF($Q138=3,1,IF($Q138=4,1,0)),IF($F138&lt;=85,1,0))</formula>
    </cfRule>
  </conditionalFormatting>
  <conditionalFormatting sqref="AV139">
    <cfRule type="expression" dxfId="6377" priority="1889">
      <formula>AV139="X"</formula>
    </cfRule>
    <cfRule type="expression" dxfId="6376" priority="1890">
      <formula>AV139="후보"</formula>
    </cfRule>
  </conditionalFormatting>
  <conditionalFormatting sqref="AC139">
    <cfRule type="cellIs" dxfId="6375" priority="1887" operator="greaterThan">
      <formula>0.9</formula>
    </cfRule>
    <cfRule type="cellIs" dxfId="6374" priority="1888" operator="greaterThan">
      <formula>0.85</formula>
    </cfRule>
  </conditionalFormatting>
  <conditionalFormatting sqref="N139">
    <cfRule type="cellIs" dxfId="6373" priority="1885" operator="greaterThan">
      <formula>0.9</formula>
    </cfRule>
    <cfRule type="cellIs" dxfId="6372" priority="1886" operator="greaterThan">
      <formula>0.85</formula>
    </cfRule>
  </conditionalFormatting>
  <conditionalFormatting sqref="E139">
    <cfRule type="expression" dxfId="6371" priority="1881">
      <formula>AND(IF(OR($Q139=1,$Q139=2),1,0),IF($X139&lt;=20,1,0))</formula>
    </cfRule>
    <cfRule type="expression" dxfId="6370" priority="1882">
      <formula>AND(IF($Q139=2,1,0),IF($X139&lt;30,1,0))</formula>
    </cfRule>
    <cfRule type="expression" dxfId="6369" priority="1883">
      <formula>AND(IF($Q139=3,1,0),IF($X139&lt;30,1,0))</formula>
    </cfRule>
    <cfRule type="expression" dxfId="6368" priority="1884">
      <formula>AND(IF($Q139=3,1,IF($Q139=4,1,0)),IF($F139&lt;=85,1,0))</formula>
    </cfRule>
  </conditionalFormatting>
  <conditionalFormatting sqref="X139">
    <cfRule type="expression" dxfId="6367" priority="1877">
      <formula>AND(IF(OR($Q139=1,$Q139=2),1,0),IF($X139&lt;=20,1,0))</formula>
    </cfRule>
    <cfRule type="expression" dxfId="6366" priority="1878">
      <formula>AND(IF($Q139=2,1,0),IF($X139&lt;30,1,0))</formula>
    </cfRule>
    <cfRule type="expression" dxfId="6365" priority="1879">
      <formula>AND(IF($Q139=3,1,0),IF($X139&lt;30,1,0))</formula>
    </cfRule>
    <cfRule type="expression" dxfId="6364" priority="1880">
      <formula>AND(IF($Q139=3,1,IF($Q139=4,1,0)),IF($F139&lt;=85,1,0))</formula>
    </cfRule>
  </conditionalFormatting>
  <conditionalFormatting sqref="AI139">
    <cfRule type="expression" dxfId="6363" priority="1873">
      <formula>AND(IF(OR($Q139=1,$Q139=2),1,0),IF($X139&lt;=20,1,0))</formula>
    </cfRule>
    <cfRule type="expression" dxfId="6362" priority="1874">
      <formula>AND(IF($Q139=2,1,0),IF($X139&lt;30,1,0))</formula>
    </cfRule>
    <cfRule type="expression" dxfId="6361" priority="1875">
      <formula>AND(IF($Q139=3,1,0),IF($X139&lt;30,1,0))</formula>
    </cfRule>
    <cfRule type="expression" dxfId="6360" priority="1876">
      <formula>AND(IF($Q139=3,1,IF($Q139=4,1,0)),IF($F139&lt;=85,1,0))</formula>
    </cfRule>
  </conditionalFormatting>
  <conditionalFormatting sqref="AV140">
    <cfRule type="expression" dxfId="6359" priority="1871">
      <formula>AV140="X"</formula>
    </cfRule>
    <cfRule type="expression" dxfId="6358" priority="1872">
      <formula>AV140="후보"</formula>
    </cfRule>
  </conditionalFormatting>
  <conditionalFormatting sqref="AC140">
    <cfRule type="cellIs" dxfId="6357" priority="1869" operator="greaterThan">
      <formula>0.9</formula>
    </cfRule>
    <cfRule type="cellIs" dxfId="6356" priority="1870" operator="greaterThan">
      <formula>0.85</formula>
    </cfRule>
  </conditionalFormatting>
  <conditionalFormatting sqref="N140">
    <cfRule type="cellIs" dxfId="6355" priority="1867" operator="greaterThan">
      <formula>0.9</formula>
    </cfRule>
    <cfRule type="cellIs" dxfId="6354" priority="1868" operator="greaterThan">
      <formula>0.85</formula>
    </cfRule>
  </conditionalFormatting>
  <conditionalFormatting sqref="E140">
    <cfRule type="expression" dxfId="6353" priority="1863">
      <formula>AND(IF(OR($Q140=1,$Q140=2),1,0),IF($X140&lt;=20,1,0))</formula>
    </cfRule>
    <cfRule type="expression" dxfId="6352" priority="1864">
      <formula>AND(IF($Q140=2,1,0),IF($X140&lt;30,1,0))</formula>
    </cfRule>
    <cfRule type="expression" dxfId="6351" priority="1865">
      <formula>AND(IF($Q140=3,1,0),IF($X140&lt;30,1,0))</formula>
    </cfRule>
    <cfRule type="expression" dxfId="6350" priority="1866">
      <formula>AND(IF($Q140=3,1,IF($Q140=4,1,0)),IF($F140&lt;=85,1,0))</formula>
    </cfRule>
  </conditionalFormatting>
  <conditionalFormatting sqref="X140">
    <cfRule type="expression" dxfId="6349" priority="1859">
      <formula>AND(IF(OR($Q140=1,$Q140=2),1,0),IF($X140&lt;=20,1,0))</formula>
    </cfRule>
    <cfRule type="expression" dxfId="6348" priority="1860">
      <formula>AND(IF($Q140=2,1,0),IF($X140&lt;30,1,0))</formula>
    </cfRule>
    <cfRule type="expression" dxfId="6347" priority="1861">
      <formula>AND(IF($Q140=3,1,0),IF($X140&lt;30,1,0))</formula>
    </cfRule>
    <cfRule type="expression" dxfId="6346" priority="1862">
      <formula>AND(IF($Q140=3,1,IF($Q140=4,1,0)),IF($F140&lt;=85,1,0))</formula>
    </cfRule>
  </conditionalFormatting>
  <conditionalFormatting sqref="AI140">
    <cfRule type="expression" dxfId="6345" priority="1855">
      <formula>AND(IF(OR($Q140=1,$Q140=2),1,0),IF($X140&lt;=20,1,0))</formula>
    </cfRule>
    <cfRule type="expression" dxfId="6344" priority="1856">
      <formula>AND(IF($Q140=2,1,0),IF($X140&lt;30,1,0))</formula>
    </cfRule>
    <cfRule type="expression" dxfId="6343" priority="1857">
      <formula>AND(IF($Q140=3,1,0),IF($X140&lt;30,1,0))</formula>
    </cfRule>
    <cfRule type="expression" dxfId="6342" priority="1858">
      <formula>AND(IF($Q140=3,1,IF($Q140=4,1,0)),IF($F140&lt;=85,1,0))</formula>
    </cfRule>
  </conditionalFormatting>
  <conditionalFormatting sqref="AV141">
    <cfRule type="expression" dxfId="6341" priority="1853">
      <formula>AV141="X"</formula>
    </cfRule>
    <cfRule type="expression" dxfId="6340" priority="1854">
      <formula>AV141="후보"</formula>
    </cfRule>
  </conditionalFormatting>
  <conditionalFormatting sqref="AC141">
    <cfRule type="cellIs" dxfId="6339" priority="1851" operator="greaterThan">
      <formula>0.9</formula>
    </cfRule>
    <cfRule type="cellIs" dxfId="6338" priority="1852" operator="greaterThan">
      <formula>0.85</formula>
    </cfRule>
  </conditionalFormatting>
  <conditionalFormatting sqref="N141">
    <cfRule type="cellIs" dxfId="6337" priority="1849" operator="greaterThan">
      <formula>0.9</formula>
    </cfRule>
    <cfRule type="cellIs" dxfId="6336" priority="1850" operator="greaterThan">
      <formula>0.85</formula>
    </cfRule>
  </conditionalFormatting>
  <conditionalFormatting sqref="E141">
    <cfRule type="expression" dxfId="6335" priority="1845">
      <formula>AND(IF(OR($Q141=1,$Q141=2),1,0),IF($X141&lt;=20,1,0))</formula>
    </cfRule>
    <cfRule type="expression" dxfId="6334" priority="1846">
      <formula>AND(IF($Q141=2,1,0),IF($X141&lt;30,1,0))</formula>
    </cfRule>
    <cfRule type="expression" dxfId="6333" priority="1847">
      <formula>AND(IF($Q141=3,1,0),IF($X141&lt;30,1,0))</formula>
    </cfRule>
    <cfRule type="expression" dxfId="6332" priority="1848">
      <formula>AND(IF($Q141=3,1,IF($Q141=4,1,0)),IF($F141&lt;=85,1,0))</formula>
    </cfRule>
  </conditionalFormatting>
  <conditionalFormatting sqref="X141">
    <cfRule type="expression" dxfId="6331" priority="1841">
      <formula>AND(IF(OR($Q141=1,$Q141=2),1,0),IF($X141&lt;=20,1,0))</formula>
    </cfRule>
    <cfRule type="expression" dxfId="6330" priority="1842">
      <formula>AND(IF($Q141=2,1,0),IF($X141&lt;30,1,0))</formula>
    </cfRule>
    <cfRule type="expression" dxfId="6329" priority="1843">
      <formula>AND(IF($Q141=3,1,0),IF($X141&lt;30,1,0))</formula>
    </cfRule>
    <cfRule type="expression" dxfId="6328" priority="1844">
      <formula>AND(IF($Q141=3,1,IF($Q141=4,1,0)),IF($F141&lt;=85,1,0))</formula>
    </cfRule>
  </conditionalFormatting>
  <conditionalFormatting sqref="AI141">
    <cfRule type="expression" dxfId="6327" priority="1837">
      <formula>AND(IF(OR($Q141=1,$Q141=2),1,0),IF($X141&lt;=20,1,0))</formula>
    </cfRule>
    <cfRule type="expression" dxfId="6326" priority="1838">
      <formula>AND(IF($Q141=2,1,0),IF($X141&lt;30,1,0))</formula>
    </cfRule>
    <cfRule type="expression" dxfId="6325" priority="1839">
      <formula>AND(IF($Q141=3,1,0),IF($X141&lt;30,1,0))</formula>
    </cfRule>
    <cfRule type="expression" dxfId="6324" priority="1840">
      <formula>AND(IF($Q141=3,1,IF($Q141=4,1,0)),IF($F141&lt;=85,1,0))</formula>
    </cfRule>
  </conditionalFormatting>
  <conditionalFormatting sqref="AV142">
    <cfRule type="expression" dxfId="6323" priority="1835">
      <formula>AV142="X"</formula>
    </cfRule>
    <cfRule type="expression" dxfId="6322" priority="1836">
      <formula>AV142="후보"</formula>
    </cfRule>
  </conditionalFormatting>
  <conditionalFormatting sqref="AC142">
    <cfRule type="cellIs" dxfId="6321" priority="1833" operator="greaterThan">
      <formula>0.9</formula>
    </cfRule>
    <cfRule type="cellIs" dxfId="6320" priority="1834" operator="greaterThan">
      <formula>0.85</formula>
    </cfRule>
  </conditionalFormatting>
  <conditionalFormatting sqref="N142">
    <cfRule type="cellIs" dxfId="6319" priority="1831" operator="greaterThan">
      <formula>0.9</formula>
    </cfRule>
    <cfRule type="cellIs" dxfId="6318" priority="1832" operator="greaterThan">
      <formula>0.85</formula>
    </cfRule>
  </conditionalFormatting>
  <conditionalFormatting sqref="E142">
    <cfRule type="expression" dxfId="6317" priority="1827">
      <formula>AND(IF(OR($Q142=1,$Q142=2),1,0),IF($X142&lt;=20,1,0))</formula>
    </cfRule>
    <cfRule type="expression" dxfId="6316" priority="1828">
      <formula>AND(IF($Q142=2,1,0),IF($X142&lt;30,1,0))</formula>
    </cfRule>
    <cfRule type="expression" dxfId="6315" priority="1829">
      <formula>AND(IF($Q142=3,1,0),IF($X142&lt;30,1,0))</formula>
    </cfRule>
    <cfRule type="expression" dxfId="6314" priority="1830">
      <formula>AND(IF($Q142=3,1,IF($Q142=4,1,0)),IF($F142&lt;=85,1,0))</formula>
    </cfRule>
  </conditionalFormatting>
  <conditionalFormatting sqref="X142">
    <cfRule type="expression" dxfId="6313" priority="1823">
      <formula>AND(IF(OR($Q142=1,$Q142=2),1,0),IF($X142&lt;=20,1,0))</formula>
    </cfRule>
    <cfRule type="expression" dxfId="6312" priority="1824">
      <formula>AND(IF($Q142=2,1,0),IF($X142&lt;30,1,0))</formula>
    </cfRule>
    <cfRule type="expression" dxfId="6311" priority="1825">
      <formula>AND(IF($Q142=3,1,0),IF($X142&lt;30,1,0))</formula>
    </cfRule>
    <cfRule type="expression" dxfId="6310" priority="1826">
      <formula>AND(IF($Q142=3,1,IF($Q142=4,1,0)),IF($F142&lt;=85,1,0))</formula>
    </cfRule>
  </conditionalFormatting>
  <conditionalFormatting sqref="AI142">
    <cfRule type="expression" dxfId="6309" priority="1819">
      <formula>AND(IF(OR($Q142=1,$Q142=2),1,0),IF($X142&lt;=20,1,0))</formula>
    </cfRule>
    <cfRule type="expression" dxfId="6308" priority="1820">
      <formula>AND(IF($Q142=2,1,0),IF($X142&lt;30,1,0))</formula>
    </cfRule>
    <cfRule type="expression" dxfId="6307" priority="1821">
      <formula>AND(IF($Q142=3,1,0),IF($X142&lt;30,1,0))</formula>
    </cfRule>
    <cfRule type="expression" dxfId="6306" priority="1822">
      <formula>AND(IF($Q142=3,1,IF($Q142=4,1,0)),IF($F142&lt;=85,1,0))</formula>
    </cfRule>
  </conditionalFormatting>
  <conditionalFormatting sqref="AV143">
    <cfRule type="expression" dxfId="6305" priority="1817">
      <formula>AV143="X"</formula>
    </cfRule>
    <cfRule type="expression" dxfId="6304" priority="1818">
      <formula>AV143="후보"</formula>
    </cfRule>
  </conditionalFormatting>
  <conditionalFormatting sqref="AC143">
    <cfRule type="cellIs" dxfId="6303" priority="1815" operator="greaterThan">
      <formula>0.9</formula>
    </cfRule>
    <cfRule type="cellIs" dxfId="6302" priority="1816" operator="greaterThan">
      <formula>0.85</formula>
    </cfRule>
  </conditionalFormatting>
  <conditionalFormatting sqref="N143">
    <cfRule type="cellIs" dxfId="6301" priority="1813" operator="greaterThan">
      <formula>0.9</formula>
    </cfRule>
    <cfRule type="cellIs" dxfId="6300" priority="1814" operator="greaterThan">
      <formula>0.85</formula>
    </cfRule>
  </conditionalFormatting>
  <conditionalFormatting sqref="E143">
    <cfRule type="expression" dxfId="6299" priority="1809">
      <formula>AND(IF(OR($Q143=1,$Q143=2),1,0),IF($X143&lt;=20,1,0))</formula>
    </cfRule>
    <cfRule type="expression" dxfId="6298" priority="1810">
      <formula>AND(IF($Q143=2,1,0),IF($X143&lt;30,1,0))</formula>
    </cfRule>
    <cfRule type="expression" dxfId="6297" priority="1811">
      <formula>AND(IF($Q143=3,1,0),IF($X143&lt;30,1,0))</formula>
    </cfRule>
    <cfRule type="expression" dxfId="6296" priority="1812">
      <formula>AND(IF($Q143=3,1,IF($Q143=4,1,0)),IF($F143&lt;=85,1,0))</formula>
    </cfRule>
  </conditionalFormatting>
  <conditionalFormatting sqref="X143">
    <cfRule type="expression" dxfId="6295" priority="1805">
      <formula>AND(IF(OR($Q143=1,$Q143=2),1,0),IF($X143&lt;=20,1,0))</formula>
    </cfRule>
    <cfRule type="expression" dxfId="6294" priority="1806">
      <formula>AND(IF($Q143=2,1,0),IF($X143&lt;30,1,0))</formula>
    </cfRule>
    <cfRule type="expression" dxfId="6293" priority="1807">
      <formula>AND(IF($Q143=3,1,0),IF($X143&lt;30,1,0))</formula>
    </cfRule>
    <cfRule type="expression" dxfId="6292" priority="1808">
      <formula>AND(IF($Q143=3,1,IF($Q143=4,1,0)),IF($F143&lt;=85,1,0))</formula>
    </cfRule>
  </conditionalFormatting>
  <conditionalFormatting sqref="AI143">
    <cfRule type="expression" dxfId="6291" priority="1801">
      <formula>AND(IF(OR($Q143=1,$Q143=2),1,0),IF($X143&lt;=20,1,0))</formula>
    </cfRule>
    <cfRule type="expression" dxfId="6290" priority="1802">
      <formula>AND(IF($Q143=2,1,0),IF($X143&lt;30,1,0))</formula>
    </cfRule>
    <cfRule type="expression" dxfId="6289" priority="1803">
      <formula>AND(IF($Q143=3,1,0),IF($X143&lt;30,1,0))</formula>
    </cfRule>
    <cfRule type="expression" dxfId="6288" priority="1804">
      <formula>AND(IF($Q143=3,1,IF($Q143=4,1,0)),IF($F143&lt;=85,1,0))</formula>
    </cfRule>
  </conditionalFormatting>
  <conditionalFormatting sqref="AV144">
    <cfRule type="expression" dxfId="6287" priority="1799">
      <formula>AV144="X"</formula>
    </cfRule>
    <cfRule type="expression" dxfId="6286" priority="1800">
      <formula>AV144="후보"</formula>
    </cfRule>
  </conditionalFormatting>
  <conditionalFormatting sqref="AC144">
    <cfRule type="cellIs" dxfId="6285" priority="1797" operator="greaterThan">
      <formula>0.9</formula>
    </cfRule>
    <cfRule type="cellIs" dxfId="6284" priority="1798" operator="greaterThan">
      <formula>0.85</formula>
    </cfRule>
  </conditionalFormatting>
  <conditionalFormatting sqref="N144">
    <cfRule type="cellIs" dxfId="6283" priority="1795" operator="greaterThan">
      <formula>0.9</formula>
    </cfRule>
    <cfRule type="cellIs" dxfId="6282" priority="1796" operator="greaterThan">
      <formula>0.85</formula>
    </cfRule>
  </conditionalFormatting>
  <conditionalFormatting sqref="E144">
    <cfRule type="expression" dxfId="6281" priority="1791">
      <formula>AND(IF(OR($Q144=1,$Q144=2),1,0),IF($X144&lt;=20,1,0))</formula>
    </cfRule>
    <cfRule type="expression" dxfId="6280" priority="1792">
      <formula>AND(IF($Q144=2,1,0),IF($X144&lt;30,1,0))</formula>
    </cfRule>
    <cfRule type="expression" dxfId="6279" priority="1793">
      <formula>AND(IF($Q144=3,1,0),IF($X144&lt;30,1,0))</formula>
    </cfRule>
    <cfRule type="expression" dxfId="6278" priority="1794">
      <formula>AND(IF($Q144=3,1,IF($Q144=4,1,0)),IF($F144&lt;=85,1,0))</formula>
    </cfRule>
  </conditionalFormatting>
  <conditionalFormatting sqref="X144">
    <cfRule type="expression" dxfId="6277" priority="1787">
      <formula>AND(IF(OR($Q144=1,$Q144=2),1,0),IF($X144&lt;=20,1,0))</formula>
    </cfRule>
    <cfRule type="expression" dxfId="6276" priority="1788">
      <formula>AND(IF($Q144=2,1,0),IF($X144&lt;30,1,0))</formula>
    </cfRule>
    <cfRule type="expression" dxfId="6275" priority="1789">
      <formula>AND(IF($Q144=3,1,0),IF($X144&lt;30,1,0))</formula>
    </cfRule>
    <cfRule type="expression" dxfId="6274" priority="1790">
      <formula>AND(IF($Q144=3,1,IF($Q144=4,1,0)),IF($F144&lt;=85,1,0))</formula>
    </cfRule>
  </conditionalFormatting>
  <conditionalFormatting sqref="AI144">
    <cfRule type="expression" dxfId="6273" priority="1783">
      <formula>AND(IF(OR($Q144=1,$Q144=2),1,0),IF($X144&lt;=20,1,0))</formula>
    </cfRule>
    <cfRule type="expression" dxfId="6272" priority="1784">
      <formula>AND(IF($Q144=2,1,0),IF($X144&lt;30,1,0))</formula>
    </cfRule>
    <cfRule type="expression" dxfId="6271" priority="1785">
      <formula>AND(IF($Q144=3,1,0),IF($X144&lt;30,1,0))</formula>
    </cfRule>
    <cfRule type="expression" dxfId="6270" priority="1786">
      <formula>AND(IF($Q144=3,1,IF($Q144=4,1,0)),IF($F144&lt;=85,1,0))</formula>
    </cfRule>
  </conditionalFormatting>
  <conditionalFormatting sqref="AV145">
    <cfRule type="expression" dxfId="6269" priority="1781">
      <formula>AV145="X"</formula>
    </cfRule>
    <cfRule type="expression" dxfId="6268" priority="1782">
      <formula>AV145="후보"</formula>
    </cfRule>
  </conditionalFormatting>
  <conditionalFormatting sqref="AC145">
    <cfRule type="cellIs" dxfId="6267" priority="1779" operator="greaterThan">
      <formula>0.9</formula>
    </cfRule>
    <cfRule type="cellIs" dxfId="6266" priority="1780" operator="greaterThan">
      <formula>0.85</formula>
    </cfRule>
  </conditionalFormatting>
  <conditionalFormatting sqref="N145">
    <cfRule type="cellIs" dxfId="6265" priority="1777" operator="greaterThan">
      <formula>0.9</formula>
    </cfRule>
    <cfRule type="cellIs" dxfId="6264" priority="1778" operator="greaterThan">
      <formula>0.85</formula>
    </cfRule>
  </conditionalFormatting>
  <conditionalFormatting sqref="E145">
    <cfRule type="expression" dxfId="6263" priority="1773">
      <formula>AND(IF(OR($Q145=1,$Q145=2),1,0),IF($X145&lt;=20,1,0))</formula>
    </cfRule>
    <cfRule type="expression" dxfId="6262" priority="1774">
      <formula>AND(IF($Q145=2,1,0),IF($X145&lt;30,1,0))</formula>
    </cfRule>
    <cfRule type="expression" dxfId="6261" priority="1775">
      <formula>AND(IF($Q145=3,1,0),IF($X145&lt;30,1,0))</formula>
    </cfRule>
    <cfRule type="expression" dxfId="6260" priority="1776">
      <formula>AND(IF($Q145=3,1,IF($Q145=4,1,0)),IF($F145&lt;=85,1,0))</formula>
    </cfRule>
  </conditionalFormatting>
  <conditionalFormatting sqref="X145">
    <cfRule type="expression" dxfId="6259" priority="1769">
      <formula>AND(IF(OR($Q145=1,$Q145=2),1,0),IF($X145&lt;=20,1,0))</formula>
    </cfRule>
    <cfRule type="expression" dxfId="6258" priority="1770">
      <formula>AND(IF($Q145=2,1,0),IF($X145&lt;30,1,0))</formula>
    </cfRule>
    <cfRule type="expression" dxfId="6257" priority="1771">
      <formula>AND(IF($Q145=3,1,0),IF($X145&lt;30,1,0))</formula>
    </cfRule>
    <cfRule type="expression" dxfId="6256" priority="1772">
      <formula>AND(IF($Q145=3,1,IF($Q145=4,1,0)),IF($F145&lt;=85,1,0))</formula>
    </cfRule>
  </conditionalFormatting>
  <conditionalFormatting sqref="AI145">
    <cfRule type="expression" dxfId="6255" priority="1765">
      <formula>AND(IF(OR($Q145=1,$Q145=2),1,0),IF($X145&lt;=20,1,0))</formula>
    </cfRule>
    <cfRule type="expression" dxfId="6254" priority="1766">
      <formula>AND(IF($Q145=2,1,0),IF($X145&lt;30,1,0))</formula>
    </cfRule>
    <cfRule type="expression" dxfId="6253" priority="1767">
      <formula>AND(IF($Q145=3,1,0),IF($X145&lt;30,1,0))</formula>
    </cfRule>
    <cfRule type="expression" dxfId="6252" priority="1768">
      <formula>AND(IF($Q145=3,1,IF($Q145=4,1,0)),IF($F145&lt;=85,1,0))</formula>
    </cfRule>
  </conditionalFormatting>
  <conditionalFormatting sqref="AV146">
    <cfRule type="expression" dxfId="6251" priority="1763">
      <formula>AV146="X"</formula>
    </cfRule>
    <cfRule type="expression" dxfId="6250" priority="1764">
      <formula>AV146="후보"</formula>
    </cfRule>
  </conditionalFormatting>
  <conditionalFormatting sqref="AC146">
    <cfRule type="cellIs" dxfId="6249" priority="1761" operator="greaterThan">
      <formula>0.9</formula>
    </cfRule>
    <cfRule type="cellIs" dxfId="6248" priority="1762" operator="greaterThan">
      <formula>0.85</formula>
    </cfRule>
  </conditionalFormatting>
  <conditionalFormatting sqref="N146">
    <cfRule type="cellIs" dxfId="6247" priority="1759" operator="greaterThan">
      <formula>0.9</formula>
    </cfRule>
    <cfRule type="cellIs" dxfId="6246" priority="1760" operator="greaterThan">
      <formula>0.85</formula>
    </cfRule>
  </conditionalFormatting>
  <conditionalFormatting sqref="E146">
    <cfRule type="expression" dxfId="6245" priority="1755">
      <formula>AND(IF(OR($Q146=1,$Q146=2),1,0),IF($X146&lt;=20,1,0))</formula>
    </cfRule>
    <cfRule type="expression" dxfId="6244" priority="1756">
      <formula>AND(IF($Q146=2,1,0),IF($X146&lt;30,1,0))</formula>
    </cfRule>
    <cfRule type="expression" dxfId="6243" priority="1757">
      <formula>AND(IF($Q146=3,1,0),IF($X146&lt;30,1,0))</formula>
    </cfRule>
    <cfRule type="expression" dxfId="6242" priority="1758">
      <formula>AND(IF($Q146=3,1,IF($Q146=4,1,0)),IF($F146&lt;=85,1,0))</formula>
    </cfRule>
  </conditionalFormatting>
  <conditionalFormatting sqref="X146">
    <cfRule type="expression" dxfId="6241" priority="1751">
      <formula>AND(IF(OR($Q146=1,$Q146=2),1,0),IF($X146&lt;=20,1,0))</formula>
    </cfRule>
    <cfRule type="expression" dxfId="6240" priority="1752">
      <formula>AND(IF($Q146=2,1,0),IF($X146&lt;30,1,0))</formula>
    </cfRule>
    <cfRule type="expression" dxfId="6239" priority="1753">
      <formula>AND(IF($Q146=3,1,0),IF($X146&lt;30,1,0))</formula>
    </cfRule>
    <cfRule type="expression" dxfId="6238" priority="1754">
      <formula>AND(IF($Q146=3,1,IF($Q146=4,1,0)),IF($F146&lt;=85,1,0))</formula>
    </cfRule>
  </conditionalFormatting>
  <conditionalFormatting sqref="AI146">
    <cfRule type="expression" dxfId="6237" priority="1747">
      <formula>AND(IF(OR($Q146=1,$Q146=2),1,0),IF($X146&lt;=20,1,0))</formula>
    </cfRule>
    <cfRule type="expression" dxfId="6236" priority="1748">
      <formula>AND(IF($Q146=2,1,0),IF($X146&lt;30,1,0))</formula>
    </cfRule>
    <cfRule type="expression" dxfId="6235" priority="1749">
      <formula>AND(IF($Q146=3,1,0),IF($X146&lt;30,1,0))</formula>
    </cfRule>
    <cfRule type="expression" dxfId="6234" priority="1750">
      <formula>AND(IF($Q146=3,1,IF($Q146=4,1,0)),IF($F146&lt;=85,1,0))</formula>
    </cfRule>
  </conditionalFormatting>
  <conditionalFormatting sqref="AV147">
    <cfRule type="expression" dxfId="6233" priority="1745">
      <formula>AV147="X"</formula>
    </cfRule>
    <cfRule type="expression" dxfId="6232" priority="1746">
      <formula>AV147="후보"</formula>
    </cfRule>
  </conditionalFormatting>
  <conditionalFormatting sqref="AC147">
    <cfRule type="cellIs" dxfId="6231" priority="1743" operator="greaterThan">
      <formula>0.9</formula>
    </cfRule>
    <cfRule type="cellIs" dxfId="6230" priority="1744" operator="greaterThan">
      <formula>0.85</formula>
    </cfRule>
  </conditionalFormatting>
  <conditionalFormatting sqref="N147">
    <cfRule type="cellIs" dxfId="6229" priority="1741" operator="greaterThan">
      <formula>0.9</formula>
    </cfRule>
    <cfRule type="cellIs" dxfId="6228" priority="1742" operator="greaterThan">
      <formula>0.85</formula>
    </cfRule>
  </conditionalFormatting>
  <conditionalFormatting sqref="E147">
    <cfRule type="expression" dxfId="6227" priority="1737">
      <formula>AND(IF(OR($Q147=1,$Q147=2),1,0),IF($X147&lt;=20,1,0))</formula>
    </cfRule>
    <cfRule type="expression" dxfId="6226" priority="1738">
      <formula>AND(IF($Q147=2,1,0),IF($X147&lt;30,1,0))</formula>
    </cfRule>
    <cfRule type="expression" dxfId="6225" priority="1739">
      <formula>AND(IF($Q147=3,1,0),IF($X147&lt;30,1,0))</formula>
    </cfRule>
    <cfRule type="expression" dxfId="6224" priority="1740">
      <formula>AND(IF($Q147=3,1,IF($Q147=4,1,0)),IF($F147&lt;=85,1,0))</formula>
    </cfRule>
  </conditionalFormatting>
  <conditionalFormatting sqref="X147">
    <cfRule type="expression" dxfId="6223" priority="1733">
      <formula>AND(IF(OR($Q147=1,$Q147=2),1,0),IF($X147&lt;=20,1,0))</formula>
    </cfRule>
    <cfRule type="expression" dxfId="6222" priority="1734">
      <formula>AND(IF($Q147=2,1,0),IF($X147&lt;30,1,0))</formula>
    </cfRule>
    <cfRule type="expression" dxfId="6221" priority="1735">
      <formula>AND(IF($Q147=3,1,0),IF($X147&lt;30,1,0))</formula>
    </cfRule>
    <cfRule type="expression" dxfId="6220" priority="1736">
      <formula>AND(IF($Q147=3,1,IF($Q147=4,1,0)),IF($F147&lt;=85,1,0))</formula>
    </cfRule>
  </conditionalFormatting>
  <conditionalFormatting sqref="AI147">
    <cfRule type="expression" dxfId="6219" priority="1729">
      <formula>AND(IF(OR($Q147=1,$Q147=2),1,0),IF($X147&lt;=20,1,0))</formula>
    </cfRule>
    <cfRule type="expression" dxfId="6218" priority="1730">
      <formula>AND(IF($Q147=2,1,0),IF($X147&lt;30,1,0))</formula>
    </cfRule>
    <cfRule type="expression" dxfId="6217" priority="1731">
      <formula>AND(IF($Q147=3,1,0),IF($X147&lt;30,1,0))</formula>
    </cfRule>
    <cfRule type="expression" dxfId="6216" priority="1732">
      <formula>AND(IF($Q147=3,1,IF($Q147=4,1,0)),IF($F147&lt;=85,1,0))</formula>
    </cfRule>
  </conditionalFormatting>
  <conditionalFormatting sqref="AV148">
    <cfRule type="expression" dxfId="6215" priority="1727">
      <formula>AV148="X"</formula>
    </cfRule>
    <cfRule type="expression" dxfId="6214" priority="1728">
      <formula>AV148="후보"</formula>
    </cfRule>
  </conditionalFormatting>
  <conditionalFormatting sqref="AC148">
    <cfRule type="cellIs" dxfId="6213" priority="1725" operator="greaterThan">
      <formula>0.9</formula>
    </cfRule>
    <cfRule type="cellIs" dxfId="6212" priority="1726" operator="greaterThan">
      <formula>0.85</formula>
    </cfRule>
  </conditionalFormatting>
  <conditionalFormatting sqref="N148">
    <cfRule type="cellIs" dxfId="6211" priority="1723" operator="greaterThan">
      <formula>0.9</formula>
    </cfRule>
    <cfRule type="cellIs" dxfId="6210" priority="1724" operator="greaterThan">
      <formula>0.85</formula>
    </cfRule>
  </conditionalFormatting>
  <conditionalFormatting sqref="E148">
    <cfRule type="expression" dxfId="6209" priority="1719">
      <formula>AND(IF(OR($Q148=1,$Q148=2),1,0),IF($X148&lt;=20,1,0))</formula>
    </cfRule>
    <cfRule type="expression" dxfId="6208" priority="1720">
      <formula>AND(IF($Q148=2,1,0),IF($X148&lt;30,1,0))</formula>
    </cfRule>
    <cfRule type="expression" dxfId="6207" priority="1721">
      <formula>AND(IF($Q148=3,1,0),IF($X148&lt;30,1,0))</formula>
    </cfRule>
    <cfRule type="expression" dxfId="6206" priority="1722">
      <formula>AND(IF($Q148=3,1,IF($Q148=4,1,0)),IF($F148&lt;=85,1,0))</formula>
    </cfRule>
  </conditionalFormatting>
  <conditionalFormatting sqref="X148">
    <cfRule type="expression" dxfId="6205" priority="1715">
      <formula>AND(IF(OR($Q148=1,$Q148=2),1,0),IF($X148&lt;=20,1,0))</formula>
    </cfRule>
    <cfRule type="expression" dxfId="6204" priority="1716">
      <formula>AND(IF($Q148=2,1,0),IF($X148&lt;30,1,0))</formula>
    </cfRule>
    <cfRule type="expression" dxfId="6203" priority="1717">
      <formula>AND(IF($Q148=3,1,0),IF($X148&lt;30,1,0))</formula>
    </cfRule>
    <cfRule type="expression" dxfId="6202" priority="1718">
      <formula>AND(IF($Q148=3,1,IF($Q148=4,1,0)),IF($F148&lt;=85,1,0))</formula>
    </cfRule>
  </conditionalFormatting>
  <conditionalFormatting sqref="AI148">
    <cfRule type="expression" dxfId="6201" priority="1711">
      <formula>AND(IF(OR($Q148=1,$Q148=2),1,0),IF($X148&lt;=20,1,0))</formula>
    </cfRule>
    <cfRule type="expression" dxfId="6200" priority="1712">
      <formula>AND(IF($Q148=2,1,0),IF($X148&lt;30,1,0))</formula>
    </cfRule>
    <cfRule type="expression" dxfId="6199" priority="1713">
      <formula>AND(IF($Q148=3,1,0),IF($X148&lt;30,1,0))</formula>
    </cfRule>
    <cfRule type="expression" dxfId="6198" priority="1714">
      <formula>AND(IF($Q148=3,1,IF($Q148=4,1,0)),IF($F148&lt;=85,1,0))</formula>
    </cfRule>
  </conditionalFormatting>
  <conditionalFormatting sqref="AV149">
    <cfRule type="expression" dxfId="6197" priority="1709">
      <formula>AV149="X"</formula>
    </cfRule>
    <cfRule type="expression" dxfId="6196" priority="1710">
      <formula>AV149="후보"</formula>
    </cfRule>
  </conditionalFormatting>
  <conditionalFormatting sqref="AC149">
    <cfRule type="cellIs" dxfId="6195" priority="1707" operator="greaterThan">
      <formula>0.9</formula>
    </cfRule>
    <cfRule type="cellIs" dxfId="6194" priority="1708" operator="greaterThan">
      <formula>0.85</formula>
    </cfRule>
  </conditionalFormatting>
  <conditionalFormatting sqref="N149">
    <cfRule type="cellIs" dxfId="6193" priority="1705" operator="greaterThan">
      <formula>0.9</formula>
    </cfRule>
    <cfRule type="cellIs" dxfId="6192" priority="1706" operator="greaterThan">
      <formula>0.85</formula>
    </cfRule>
  </conditionalFormatting>
  <conditionalFormatting sqref="E149">
    <cfRule type="expression" dxfId="6191" priority="1701">
      <formula>AND(IF(OR($Q149=1,$Q149=2),1,0),IF($X149&lt;=20,1,0))</formula>
    </cfRule>
    <cfRule type="expression" dxfId="6190" priority="1702">
      <formula>AND(IF($Q149=2,1,0),IF($X149&lt;30,1,0))</formula>
    </cfRule>
    <cfRule type="expression" dxfId="6189" priority="1703">
      <formula>AND(IF($Q149=3,1,0),IF($X149&lt;30,1,0))</formula>
    </cfRule>
    <cfRule type="expression" dxfId="6188" priority="1704">
      <formula>AND(IF($Q149=3,1,IF($Q149=4,1,0)),IF($F149&lt;=85,1,0))</formula>
    </cfRule>
  </conditionalFormatting>
  <conditionalFormatting sqref="X149">
    <cfRule type="expression" dxfId="6187" priority="1697">
      <formula>AND(IF(OR($Q149=1,$Q149=2),1,0),IF($X149&lt;=20,1,0))</formula>
    </cfRule>
    <cfRule type="expression" dxfId="6186" priority="1698">
      <formula>AND(IF($Q149=2,1,0),IF($X149&lt;30,1,0))</formula>
    </cfRule>
    <cfRule type="expression" dxfId="6185" priority="1699">
      <formula>AND(IF($Q149=3,1,0),IF($X149&lt;30,1,0))</formula>
    </cfRule>
    <cfRule type="expression" dxfId="6184" priority="1700">
      <formula>AND(IF($Q149=3,1,IF($Q149=4,1,0)),IF($F149&lt;=85,1,0))</formula>
    </cfRule>
  </conditionalFormatting>
  <conditionalFormatting sqref="AI149">
    <cfRule type="expression" dxfId="6183" priority="1693">
      <formula>AND(IF(OR($Q149=1,$Q149=2),1,0),IF($X149&lt;=20,1,0))</formula>
    </cfRule>
    <cfRule type="expression" dxfId="6182" priority="1694">
      <formula>AND(IF($Q149=2,1,0),IF($X149&lt;30,1,0))</formula>
    </cfRule>
    <cfRule type="expression" dxfId="6181" priority="1695">
      <formula>AND(IF($Q149=3,1,0),IF($X149&lt;30,1,0))</formula>
    </cfRule>
    <cfRule type="expression" dxfId="6180" priority="1696">
      <formula>AND(IF($Q149=3,1,IF($Q149=4,1,0)),IF($F149&lt;=85,1,0))</formula>
    </cfRule>
  </conditionalFormatting>
  <conditionalFormatting sqref="AV150">
    <cfRule type="expression" dxfId="6179" priority="1691">
      <formula>AV150="X"</formula>
    </cfRule>
    <cfRule type="expression" dxfId="6178" priority="1692">
      <formula>AV150="후보"</formula>
    </cfRule>
  </conditionalFormatting>
  <conditionalFormatting sqref="AC150">
    <cfRule type="cellIs" dxfId="6177" priority="1689" operator="greaterThan">
      <formula>0.9</formula>
    </cfRule>
    <cfRule type="cellIs" dxfId="6176" priority="1690" operator="greaterThan">
      <formula>0.85</formula>
    </cfRule>
  </conditionalFormatting>
  <conditionalFormatting sqref="N150">
    <cfRule type="cellIs" dxfId="6175" priority="1687" operator="greaterThan">
      <formula>0.9</formula>
    </cfRule>
    <cfRule type="cellIs" dxfId="6174" priority="1688" operator="greaterThan">
      <formula>0.85</formula>
    </cfRule>
  </conditionalFormatting>
  <conditionalFormatting sqref="E150">
    <cfRule type="expression" dxfId="6173" priority="1683">
      <formula>AND(IF(OR($Q150=1,$Q150=2),1,0),IF($X150&lt;=20,1,0))</formula>
    </cfRule>
    <cfRule type="expression" dxfId="6172" priority="1684">
      <formula>AND(IF($Q150=2,1,0),IF($X150&lt;30,1,0))</formula>
    </cfRule>
    <cfRule type="expression" dxfId="6171" priority="1685">
      <formula>AND(IF($Q150=3,1,0),IF($X150&lt;30,1,0))</formula>
    </cfRule>
    <cfRule type="expression" dxfId="6170" priority="1686">
      <formula>AND(IF($Q150=3,1,IF($Q150=4,1,0)),IF($F150&lt;=85,1,0))</formula>
    </cfRule>
  </conditionalFormatting>
  <conditionalFormatting sqref="X150">
    <cfRule type="expression" dxfId="6169" priority="1679">
      <formula>AND(IF(OR($Q150=1,$Q150=2),1,0),IF($X150&lt;=20,1,0))</formula>
    </cfRule>
    <cfRule type="expression" dxfId="6168" priority="1680">
      <formula>AND(IF($Q150=2,1,0),IF($X150&lt;30,1,0))</formula>
    </cfRule>
    <cfRule type="expression" dxfId="6167" priority="1681">
      <formula>AND(IF($Q150=3,1,0),IF($X150&lt;30,1,0))</formula>
    </cfRule>
    <cfRule type="expression" dxfId="6166" priority="1682">
      <formula>AND(IF($Q150=3,1,IF($Q150=4,1,0)),IF($F150&lt;=85,1,0))</formula>
    </cfRule>
  </conditionalFormatting>
  <conditionalFormatting sqref="AI150">
    <cfRule type="expression" dxfId="6165" priority="1675">
      <formula>AND(IF(OR($Q150=1,$Q150=2),1,0),IF($X150&lt;=20,1,0))</formula>
    </cfRule>
    <cfRule type="expression" dxfId="6164" priority="1676">
      <formula>AND(IF($Q150=2,1,0),IF($X150&lt;30,1,0))</formula>
    </cfRule>
    <cfRule type="expression" dxfId="6163" priority="1677">
      <formula>AND(IF($Q150=3,1,0),IF($X150&lt;30,1,0))</formula>
    </cfRule>
    <cfRule type="expression" dxfId="6162" priority="1678">
      <formula>AND(IF($Q150=3,1,IF($Q150=4,1,0)),IF($F150&lt;=85,1,0))</formula>
    </cfRule>
  </conditionalFormatting>
  <conditionalFormatting sqref="AV151">
    <cfRule type="expression" dxfId="6161" priority="1673">
      <formula>AV151="X"</formula>
    </cfRule>
    <cfRule type="expression" dxfId="6160" priority="1674">
      <formula>AV151="후보"</formula>
    </cfRule>
  </conditionalFormatting>
  <conditionalFormatting sqref="AC151">
    <cfRule type="cellIs" dxfId="6159" priority="1671" operator="greaterThan">
      <formula>0.9</formula>
    </cfRule>
    <cfRule type="cellIs" dxfId="6158" priority="1672" operator="greaterThan">
      <formula>0.85</formula>
    </cfRule>
  </conditionalFormatting>
  <conditionalFormatting sqref="N151">
    <cfRule type="cellIs" dxfId="6157" priority="1669" operator="greaterThan">
      <formula>0.9</formula>
    </cfRule>
    <cfRule type="cellIs" dxfId="6156" priority="1670" operator="greaterThan">
      <formula>0.85</formula>
    </cfRule>
  </conditionalFormatting>
  <conditionalFormatting sqref="E151">
    <cfRule type="expression" dxfId="6155" priority="1665">
      <formula>AND(IF(OR($Q151=1,$Q151=2),1,0),IF($X151&lt;=20,1,0))</formula>
    </cfRule>
    <cfRule type="expression" dxfId="6154" priority="1666">
      <formula>AND(IF($Q151=2,1,0),IF($X151&lt;30,1,0))</formula>
    </cfRule>
    <cfRule type="expression" dxfId="6153" priority="1667">
      <formula>AND(IF($Q151=3,1,0),IF($X151&lt;30,1,0))</formula>
    </cfRule>
    <cfRule type="expression" dxfId="6152" priority="1668">
      <formula>AND(IF($Q151=3,1,IF($Q151=4,1,0)),IF($F151&lt;=85,1,0))</formula>
    </cfRule>
  </conditionalFormatting>
  <conditionalFormatting sqref="X151">
    <cfRule type="expression" dxfId="6151" priority="1661">
      <formula>AND(IF(OR($Q151=1,$Q151=2),1,0),IF($X151&lt;=20,1,0))</formula>
    </cfRule>
    <cfRule type="expression" dxfId="6150" priority="1662">
      <formula>AND(IF($Q151=2,1,0),IF($X151&lt;30,1,0))</formula>
    </cfRule>
    <cfRule type="expression" dxfId="6149" priority="1663">
      <formula>AND(IF($Q151=3,1,0),IF($X151&lt;30,1,0))</formula>
    </cfRule>
    <cfRule type="expression" dxfId="6148" priority="1664">
      <formula>AND(IF($Q151=3,1,IF($Q151=4,1,0)),IF($F151&lt;=85,1,0))</formula>
    </cfRule>
  </conditionalFormatting>
  <conditionalFormatting sqref="AI151">
    <cfRule type="expression" dxfId="6147" priority="1657">
      <formula>AND(IF(OR($Q151=1,$Q151=2),1,0),IF($X151&lt;=20,1,0))</formula>
    </cfRule>
    <cfRule type="expression" dxfId="6146" priority="1658">
      <formula>AND(IF($Q151=2,1,0),IF($X151&lt;30,1,0))</formula>
    </cfRule>
    <cfRule type="expression" dxfId="6145" priority="1659">
      <formula>AND(IF($Q151=3,1,0),IF($X151&lt;30,1,0))</formula>
    </cfRule>
    <cfRule type="expression" dxfId="6144" priority="1660">
      <formula>AND(IF($Q151=3,1,IF($Q151=4,1,0)),IF($F151&lt;=85,1,0))</formula>
    </cfRule>
  </conditionalFormatting>
  <conditionalFormatting sqref="AV152">
    <cfRule type="expression" dxfId="6143" priority="1655">
      <formula>AV152="X"</formula>
    </cfRule>
    <cfRule type="expression" dxfId="6142" priority="1656">
      <formula>AV152="후보"</formula>
    </cfRule>
  </conditionalFormatting>
  <conditionalFormatting sqref="AC152">
    <cfRule type="cellIs" dxfId="6141" priority="1653" operator="greaterThan">
      <formula>0.9</formula>
    </cfRule>
    <cfRule type="cellIs" dxfId="6140" priority="1654" operator="greaterThan">
      <formula>0.85</formula>
    </cfRule>
  </conditionalFormatting>
  <conditionalFormatting sqref="N152">
    <cfRule type="cellIs" dxfId="6139" priority="1651" operator="greaterThan">
      <formula>0.9</formula>
    </cfRule>
    <cfRule type="cellIs" dxfId="6138" priority="1652" operator="greaterThan">
      <formula>0.85</formula>
    </cfRule>
  </conditionalFormatting>
  <conditionalFormatting sqref="E152">
    <cfRule type="expression" dxfId="6137" priority="1647">
      <formula>AND(IF(OR($Q152=1,$Q152=2),1,0),IF($X152&lt;=20,1,0))</formula>
    </cfRule>
    <cfRule type="expression" dxfId="6136" priority="1648">
      <formula>AND(IF($Q152=2,1,0),IF($X152&lt;30,1,0))</formula>
    </cfRule>
    <cfRule type="expression" dxfId="6135" priority="1649">
      <formula>AND(IF($Q152=3,1,0),IF($X152&lt;30,1,0))</formula>
    </cfRule>
    <cfRule type="expression" dxfId="6134" priority="1650">
      <formula>AND(IF($Q152=3,1,IF($Q152=4,1,0)),IF($F152&lt;=85,1,0))</formula>
    </cfRule>
  </conditionalFormatting>
  <conditionalFormatting sqref="X152">
    <cfRule type="expression" dxfId="6133" priority="1643">
      <formula>AND(IF(OR($Q152=1,$Q152=2),1,0),IF($X152&lt;=20,1,0))</formula>
    </cfRule>
    <cfRule type="expression" dxfId="6132" priority="1644">
      <formula>AND(IF($Q152=2,1,0),IF($X152&lt;30,1,0))</formula>
    </cfRule>
    <cfRule type="expression" dxfId="6131" priority="1645">
      <formula>AND(IF($Q152=3,1,0),IF($X152&lt;30,1,0))</formula>
    </cfRule>
    <cfRule type="expression" dxfId="6130" priority="1646">
      <formula>AND(IF($Q152=3,1,IF($Q152=4,1,0)),IF($F152&lt;=85,1,0))</formula>
    </cfRule>
  </conditionalFormatting>
  <conditionalFormatting sqref="AI152">
    <cfRule type="expression" dxfId="6129" priority="1639">
      <formula>AND(IF(OR($Q152=1,$Q152=2),1,0),IF($X152&lt;=20,1,0))</formula>
    </cfRule>
    <cfRule type="expression" dxfId="6128" priority="1640">
      <formula>AND(IF($Q152=2,1,0),IF($X152&lt;30,1,0))</formula>
    </cfRule>
    <cfRule type="expression" dxfId="6127" priority="1641">
      <formula>AND(IF($Q152=3,1,0),IF($X152&lt;30,1,0))</formula>
    </cfRule>
    <cfRule type="expression" dxfId="6126" priority="1642">
      <formula>AND(IF($Q152=3,1,IF($Q152=4,1,0)),IF($F152&lt;=85,1,0))</formula>
    </cfRule>
  </conditionalFormatting>
  <conditionalFormatting sqref="AV153">
    <cfRule type="expression" dxfId="6125" priority="1637">
      <formula>AV153="X"</formula>
    </cfRule>
    <cfRule type="expression" dxfId="6124" priority="1638">
      <formula>AV153="후보"</formula>
    </cfRule>
  </conditionalFormatting>
  <conditionalFormatting sqref="AC153">
    <cfRule type="cellIs" dxfId="6123" priority="1635" operator="greaterThan">
      <formula>0.9</formula>
    </cfRule>
    <cfRule type="cellIs" dxfId="6122" priority="1636" operator="greaterThan">
      <formula>0.85</formula>
    </cfRule>
  </conditionalFormatting>
  <conditionalFormatting sqref="N153">
    <cfRule type="cellIs" dxfId="6121" priority="1633" operator="greaterThan">
      <formula>0.9</formula>
    </cfRule>
    <cfRule type="cellIs" dxfId="6120" priority="1634" operator="greaterThan">
      <formula>0.85</formula>
    </cfRule>
  </conditionalFormatting>
  <conditionalFormatting sqref="E153">
    <cfRule type="expression" dxfId="6119" priority="1629">
      <formula>AND(IF(OR($Q153=1,$Q153=2),1,0),IF($X153&lt;=20,1,0))</formula>
    </cfRule>
    <cfRule type="expression" dxfId="6118" priority="1630">
      <formula>AND(IF($Q153=2,1,0),IF($X153&lt;30,1,0))</formula>
    </cfRule>
    <cfRule type="expression" dxfId="6117" priority="1631">
      <formula>AND(IF($Q153=3,1,0),IF($X153&lt;30,1,0))</formula>
    </cfRule>
    <cfRule type="expression" dxfId="6116" priority="1632">
      <formula>AND(IF($Q153=3,1,IF($Q153=4,1,0)),IF($F153&lt;=85,1,0))</formula>
    </cfRule>
  </conditionalFormatting>
  <conditionalFormatting sqref="X153">
    <cfRule type="expression" dxfId="6115" priority="1625">
      <formula>AND(IF(OR($Q153=1,$Q153=2),1,0),IF($X153&lt;=20,1,0))</formula>
    </cfRule>
    <cfRule type="expression" dxfId="6114" priority="1626">
      <formula>AND(IF($Q153=2,1,0),IF($X153&lt;30,1,0))</formula>
    </cfRule>
    <cfRule type="expression" dxfId="6113" priority="1627">
      <formula>AND(IF($Q153=3,1,0),IF($X153&lt;30,1,0))</formula>
    </cfRule>
    <cfRule type="expression" dxfId="6112" priority="1628">
      <formula>AND(IF($Q153=3,1,IF($Q153=4,1,0)),IF($F153&lt;=85,1,0))</formula>
    </cfRule>
  </conditionalFormatting>
  <conditionalFormatting sqref="AI153">
    <cfRule type="expression" dxfId="6111" priority="1621">
      <formula>AND(IF(OR($Q153=1,$Q153=2),1,0),IF($X153&lt;=20,1,0))</formula>
    </cfRule>
    <cfRule type="expression" dxfId="6110" priority="1622">
      <formula>AND(IF($Q153=2,1,0),IF($X153&lt;30,1,0))</formula>
    </cfRule>
    <cfRule type="expression" dxfId="6109" priority="1623">
      <formula>AND(IF($Q153=3,1,0),IF($X153&lt;30,1,0))</formula>
    </cfRule>
    <cfRule type="expression" dxfId="6108" priority="1624">
      <formula>AND(IF($Q153=3,1,IF($Q153=4,1,0)),IF($F153&lt;=85,1,0))</formula>
    </cfRule>
  </conditionalFormatting>
  <conditionalFormatting sqref="AV154">
    <cfRule type="expression" dxfId="6107" priority="1619">
      <formula>AV154="X"</formula>
    </cfRule>
    <cfRule type="expression" dxfId="6106" priority="1620">
      <formula>AV154="후보"</formula>
    </cfRule>
  </conditionalFormatting>
  <conditionalFormatting sqref="AC154">
    <cfRule type="cellIs" dxfId="6105" priority="1617" operator="greaterThan">
      <formula>0.9</formula>
    </cfRule>
    <cfRule type="cellIs" dxfId="6104" priority="1618" operator="greaterThan">
      <formula>0.85</formula>
    </cfRule>
  </conditionalFormatting>
  <conditionalFormatting sqref="N154">
    <cfRule type="cellIs" dxfId="6103" priority="1615" operator="greaterThan">
      <formula>0.9</formula>
    </cfRule>
    <cfRule type="cellIs" dxfId="6102" priority="1616" operator="greaterThan">
      <formula>0.85</formula>
    </cfRule>
  </conditionalFormatting>
  <conditionalFormatting sqref="E154">
    <cfRule type="expression" dxfId="6101" priority="1611">
      <formula>AND(IF(OR($Q154=1,$Q154=2),1,0),IF($X154&lt;=20,1,0))</formula>
    </cfRule>
    <cfRule type="expression" dxfId="6100" priority="1612">
      <formula>AND(IF($Q154=2,1,0),IF($X154&lt;30,1,0))</formula>
    </cfRule>
    <cfRule type="expression" dxfId="6099" priority="1613">
      <formula>AND(IF($Q154=3,1,0),IF($X154&lt;30,1,0))</formula>
    </cfRule>
    <cfRule type="expression" dxfId="6098" priority="1614">
      <formula>AND(IF($Q154=3,1,IF($Q154=4,1,0)),IF($F154&lt;=85,1,0))</formula>
    </cfRule>
  </conditionalFormatting>
  <conditionalFormatting sqref="X154">
    <cfRule type="expression" dxfId="6097" priority="1607">
      <formula>AND(IF(OR($Q154=1,$Q154=2),1,0),IF($X154&lt;=20,1,0))</formula>
    </cfRule>
    <cfRule type="expression" dxfId="6096" priority="1608">
      <formula>AND(IF($Q154=2,1,0),IF($X154&lt;30,1,0))</formula>
    </cfRule>
    <cfRule type="expression" dxfId="6095" priority="1609">
      <formula>AND(IF($Q154=3,1,0),IF($X154&lt;30,1,0))</formula>
    </cfRule>
    <cfRule type="expression" dxfId="6094" priority="1610">
      <formula>AND(IF($Q154=3,1,IF($Q154=4,1,0)),IF($F154&lt;=85,1,0))</formula>
    </cfRule>
  </conditionalFormatting>
  <conditionalFormatting sqref="AI154">
    <cfRule type="expression" dxfId="6093" priority="1603">
      <formula>AND(IF(OR($Q154=1,$Q154=2),1,0),IF($X154&lt;=20,1,0))</formula>
    </cfRule>
    <cfRule type="expression" dxfId="6092" priority="1604">
      <formula>AND(IF($Q154=2,1,0),IF($X154&lt;30,1,0))</formula>
    </cfRule>
    <cfRule type="expression" dxfId="6091" priority="1605">
      <formula>AND(IF($Q154=3,1,0),IF($X154&lt;30,1,0))</formula>
    </cfRule>
    <cfRule type="expression" dxfId="6090" priority="1606">
      <formula>AND(IF($Q154=3,1,IF($Q154=4,1,0)),IF($F154&lt;=85,1,0))</formula>
    </cfRule>
  </conditionalFormatting>
  <conditionalFormatting sqref="AV155">
    <cfRule type="expression" dxfId="6089" priority="1601">
      <formula>AV155="X"</formula>
    </cfRule>
    <cfRule type="expression" dxfId="6088" priority="1602">
      <formula>AV155="후보"</formula>
    </cfRule>
  </conditionalFormatting>
  <conditionalFormatting sqref="AC155">
    <cfRule type="cellIs" dxfId="6087" priority="1599" operator="greaterThan">
      <formula>0.9</formula>
    </cfRule>
    <cfRule type="cellIs" dxfId="6086" priority="1600" operator="greaterThan">
      <formula>0.85</formula>
    </cfRule>
  </conditionalFormatting>
  <conditionalFormatting sqref="N155">
    <cfRule type="cellIs" dxfId="6085" priority="1597" operator="greaterThan">
      <formula>0.9</formula>
    </cfRule>
    <cfRule type="cellIs" dxfId="6084" priority="1598" operator="greaterThan">
      <formula>0.85</formula>
    </cfRule>
  </conditionalFormatting>
  <conditionalFormatting sqref="E155">
    <cfRule type="expression" dxfId="6083" priority="1593">
      <formula>AND(IF(OR($Q155=1,$Q155=2),1,0),IF($X155&lt;=20,1,0))</formula>
    </cfRule>
    <cfRule type="expression" dxfId="6082" priority="1594">
      <formula>AND(IF($Q155=2,1,0),IF($X155&lt;30,1,0))</formula>
    </cfRule>
    <cfRule type="expression" dxfId="6081" priority="1595">
      <formula>AND(IF($Q155=3,1,0),IF($X155&lt;30,1,0))</formula>
    </cfRule>
    <cfRule type="expression" dxfId="6080" priority="1596">
      <formula>AND(IF($Q155=3,1,IF($Q155=4,1,0)),IF($F155&lt;=85,1,0))</formula>
    </cfRule>
  </conditionalFormatting>
  <conditionalFormatting sqref="X155">
    <cfRule type="expression" dxfId="6079" priority="1589">
      <formula>AND(IF(OR($Q155=1,$Q155=2),1,0),IF($X155&lt;=20,1,0))</formula>
    </cfRule>
    <cfRule type="expression" dxfId="6078" priority="1590">
      <formula>AND(IF($Q155=2,1,0),IF($X155&lt;30,1,0))</formula>
    </cfRule>
    <cfRule type="expression" dxfId="6077" priority="1591">
      <formula>AND(IF($Q155=3,1,0),IF($X155&lt;30,1,0))</formula>
    </cfRule>
    <cfRule type="expression" dxfId="6076" priority="1592">
      <formula>AND(IF($Q155=3,1,IF($Q155=4,1,0)),IF($F155&lt;=85,1,0))</formula>
    </cfRule>
  </conditionalFormatting>
  <conditionalFormatting sqref="AI155">
    <cfRule type="expression" dxfId="6075" priority="1585">
      <formula>AND(IF(OR($Q155=1,$Q155=2),1,0),IF($X155&lt;=20,1,0))</formula>
    </cfRule>
    <cfRule type="expression" dxfId="6074" priority="1586">
      <formula>AND(IF($Q155=2,1,0),IF($X155&lt;30,1,0))</formula>
    </cfRule>
    <cfRule type="expression" dxfId="6073" priority="1587">
      <formula>AND(IF($Q155=3,1,0),IF($X155&lt;30,1,0))</formula>
    </cfRule>
    <cfRule type="expression" dxfId="6072" priority="1588">
      <formula>AND(IF($Q155=3,1,IF($Q155=4,1,0)),IF($F155&lt;=85,1,0))</formula>
    </cfRule>
  </conditionalFormatting>
  <conditionalFormatting sqref="AV156">
    <cfRule type="expression" dxfId="6071" priority="1583">
      <formula>AV156="X"</formula>
    </cfRule>
    <cfRule type="expression" dxfId="6070" priority="1584">
      <formula>AV156="후보"</formula>
    </cfRule>
  </conditionalFormatting>
  <conditionalFormatting sqref="AC156">
    <cfRule type="cellIs" dxfId="6069" priority="1581" operator="greaterThan">
      <formula>0.9</formula>
    </cfRule>
    <cfRule type="cellIs" dxfId="6068" priority="1582" operator="greaterThan">
      <formula>0.85</formula>
    </cfRule>
  </conditionalFormatting>
  <conditionalFormatting sqref="N156">
    <cfRule type="cellIs" dxfId="6067" priority="1579" operator="greaterThan">
      <formula>0.9</formula>
    </cfRule>
    <cfRule type="cellIs" dxfId="6066" priority="1580" operator="greaterThan">
      <formula>0.85</formula>
    </cfRule>
  </conditionalFormatting>
  <conditionalFormatting sqref="E156">
    <cfRule type="expression" dxfId="6065" priority="1575">
      <formula>AND(IF(OR($Q156=1,$Q156=2),1,0),IF($X156&lt;=20,1,0))</formula>
    </cfRule>
    <cfRule type="expression" dxfId="6064" priority="1576">
      <formula>AND(IF($Q156=2,1,0),IF($X156&lt;30,1,0))</formula>
    </cfRule>
    <cfRule type="expression" dxfId="6063" priority="1577">
      <formula>AND(IF($Q156=3,1,0),IF($X156&lt;30,1,0))</formula>
    </cfRule>
    <cfRule type="expression" dxfId="6062" priority="1578">
      <formula>AND(IF($Q156=3,1,IF($Q156=4,1,0)),IF($F156&lt;=85,1,0))</formula>
    </cfRule>
  </conditionalFormatting>
  <conditionalFormatting sqref="X156">
    <cfRule type="expression" dxfId="6061" priority="1571">
      <formula>AND(IF(OR($Q156=1,$Q156=2),1,0),IF($X156&lt;=20,1,0))</formula>
    </cfRule>
    <cfRule type="expression" dxfId="6060" priority="1572">
      <formula>AND(IF($Q156=2,1,0),IF($X156&lt;30,1,0))</formula>
    </cfRule>
    <cfRule type="expression" dxfId="6059" priority="1573">
      <formula>AND(IF($Q156=3,1,0),IF($X156&lt;30,1,0))</formula>
    </cfRule>
    <cfRule type="expression" dxfId="6058" priority="1574">
      <formula>AND(IF($Q156=3,1,IF($Q156=4,1,0)),IF($F156&lt;=85,1,0))</formula>
    </cfRule>
  </conditionalFormatting>
  <conditionalFormatting sqref="AI156">
    <cfRule type="expression" dxfId="6057" priority="1567">
      <formula>AND(IF(OR($Q156=1,$Q156=2),1,0),IF($X156&lt;=20,1,0))</formula>
    </cfRule>
    <cfRule type="expression" dxfId="6056" priority="1568">
      <formula>AND(IF($Q156=2,1,0),IF($X156&lt;30,1,0))</formula>
    </cfRule>
    <cfRule type="expression" dxfId="6055" priority="1569">
      <formula>AND(IF($Q156=3,1,0),IF($X156&lt;30,1,0))</formula>
    </cfRule>
    <cfRule type="expression" dxfId="6054" priority="1570">
      <formula>AND(IF($Q156=3,1,IF($Q156=4,1,0)),IF($F156&lt;=85,1,0))</formula>
    </cfRule>
  </conditionalFormatting>
  <conditionalFormatting sqref="AV157">
    <cfRule type="expression" dxfId="6053" priority="1565">
      <formula>AV157="X"</formula>
    </cfRule>
    <cfRule type="expression" dxfId="6052" priority="1566">
      <formula>AV157="후보"</formula>
    </cfRule>
  </conditionalFormatting>
  <conditionalFormatting sqref="AC157">
    <cfRule type="cellIs" dxfId="6051" priority="1563" operator="greaterThan">
      <formula>0.9</formula>
    </cfRule>
    <cfRule type="cellIs" dxfId="6050" priority="1564" operator="greaterThan">
      <formula>0.85</formula>
    </cfRule>
  </conditionalFormatting>
  <conditionalFormatting sqref="N157">
    <cfRule type="cellIs" dxfId="6049" priority="1561" operator="greaterThan">
      <formula>0.9</formula>
    </cfRule>
    <cfRule type="cellIs" dxfId="6048" priority="1562" operator="greaterThan">
      <formula>0.85</formula>
    </cfRule>
  </conditionalFormatting>
  <conditionalFormatting sqref="E157">
    <cfRule type="expression" dxfId="6047" priority="1557">
      <formula>AND(IF(OR($Q157=1,$Q157=2),1,0),IF($X157&lt;=20,1,0))</formula>
    </cfRule>
    <cfRule type="expression" dxfId="6046" priority="1558">
      <formula>AND(IF($Q157=2,1,0),IF($X157&lt;30,1,0))</formula>
    </cfRule>
    <cfRule type="expression" dxfId="6045" priority="1559">
      <formula>AND(IF($Q157=3,1,0),IF($X157&lt;30,1,0))</formula>
    </cfRule>
    <cfRule type="expression" dxfId="6044" priority="1560">
      <formula>AND(IF($Q157=3,1,IF($Q157=4,1,0)),IF($F157&lt;=85,1,0))</formula>
    </cfRule>
  </conditionalFormatting>
  <conditionalFormatting sqref="X157">
    <cfRule type="expression" dxfId="6043" priority="1553">
      <formula>AND(IF(OR($Q157=1,$Q157=2),1,0),IF($X157&lt;=20,1,0))</formula>
    </cfRule>
    <cfRule type="expression" dxfId="6042" priority="1554">
      <formula>AND(IF($Q157=2,1,0),IF($X157&lt;30,1,0))</formula>
    </cfRule>
    <cfRule type="expression" dxfId="6041" priority="1555">
      <formula>AND(IF($Q157=3,1,0),IF($X157&lt;30,1,0))</formula>
    </cfRule>
    <cfRule type="expression" dxfId="6040" priority="1556">
      <formula>AND(IF($Q157=3,1,IF($Q157=4,1,0)),IF($F157&lt;=85,1,0))</formula>
    </cfRule>
  </conditionalFormatting>
  <conditionalFormatting sqref="AI157">
    <cfRule type="expression" dxfId="6039" priority="1549">
      <formula>AND(IF(OR($Q157=1,$Q157=2),1,0),IF($X157&lt;=20,1,0))</formula>
    </cfRule>
    <cfRule type="expression" dxfId="6038" priority="1550">
      <formula>AND(IF($Q157=2,1,0),IF($X157&lt;30,1,0))</formula>
    </cfRule>
    <cfRule type="expression" dxfId="6037" priority="1551">
      <formula>AND(IF($Q157=3,1,0),IF($X157&lt;30,1,0))</formula>
    </cfRule>
    <cfRule type="expression" dxfId="6036" priority="1552">
      <formula>AND(IF($Q157=3,1,IF($Q157=4,1,0)),IF($F157&lt;=85,1,0))</formula>
    </cfRule>
  </conditionalFormatting>
  <conditionalFormatting sqref="AV158">
    <cfRule type="expression" dxfId="6035" priority="1547">
      <formula>AV158="X"</formula>
    </cfRule>
    <cfRule type="expression" dxfId="6034" priority="1548">
      <formula>AV158="후보"</formula>
    </cfRule>
  </conditionalFormatting>
  <conditionalFormatting sqref="AC158">
    <cfRule type="cellIs" dxfId="6033" priority="1545" operator="greaterThan">
      <formula>0.9</formula>
    </cfRule>
    <cfRule type="cellIs" dxfId="6032" priority="1546" operator="greaterThan">
      <formula>0.85</formula>
    </cfRule>
  </conditionalFormatting>
  <conditionalFormatting sqref="N158">
    <cfRule type="cellIs" dxfId="6031" priority="1543" operator="greaterThan">
      <formula>0.9</formula>
    </cfRule>
    <cfRule type="cellIs" dxfId="6030" priority="1544" operator="greaterThan">
      <formula>0.85</formula>
    </cfRule>
  </conditionalFormatting>
  <conditionalFormatting sqref="E158">
    <cfRule type="expression" dxfId="6029" priority="1539">
      <formula>AND(IF(OR($Q158=1,$Q158=2),1,0),IF($X158&lt;=20,1,0))</formula>
    </cfRule>
    <cfRule type="expression" dxfId="6028" priority="1540">
      <formula>AND(IF($Q158=2,1,0),IF($X158&lt;30,1,0))</formula>
    </cfRule>
    <cfRule type="expression" dxfId="6027" priority="1541">
      <formula>AND(IF($Q158=3,1,0),IF($X158&lt;30,1,0))</formula>
    </cfRule>
    <cfRule type="expression" dxfId="6026" priority="1542">
      <formula>AND(IF($Q158=3,1,IF($Q158=4,1,0)),IF($F158&lt;=85,1,0))</formula>
    </cfRule>
  </conditionalFormatting>
  <conditionalFormatting sqref="X158">
    <cfRule type="expression" dxfId="6025" priority="1535">
      <formula>AND(IF(OR($Q158=1,$Q158=2),1,0),IF($X158&lt;=20,1,0))</formula>
    </cfRule>
    <cfRule type="expression" dxfId="6024" priority="1536">
      <formula>AND(IF($Q158=2,1,0),IF($X158&lt;30,1,0))</formula>
    </cfRule>
    <cfRule type="expression" dxfId="6023" priority="1537">
      <formula>AND(IF($Q158=3,1,0),IF($X158&lt;30,1,0))</formula>
    </cfRule>
    <cfRule type="expression" dxfId="6022" priority="1538">
      <formula>AND(IF($Q158=3,1,IF($Q158=4,1,0)),IF($F158&lt;=85,1,0))</formula>
    </cfRule>
  </conditionalFormatting>
  <conditionalFormatting sqref="AI158">
    <cfRule type="expression" dxfId="6021" priority="1531">
      <formula>AND(IF(OR($Q158=1,$Q158=2),1,0),IF($X158&lt;=20,1,0))</formula>
    </cfRule>
    <cfRule type="expression" dxfId="6020" priority="1532">
      <formula>AND(IF($Q158=2,1,0),IF($X158&lt;30,1,0))</formula>
    </cfRule>
    <cfRule type="expression" dxfId="6019" priority="1533">
      <formula>AND(IF($Q158=3,1,0),IF($X158&lt;30,1,0))</formula>
    </cfRule>
    <cfRule type="expression" dxfId="6018" priority="1534">
      <formula>AND(IF($Q158=3,1,IF($Q158=4,1,0)),IF($F158&lt;=85,1,0))</formula>
    </cfRule>
  </conditionalFormatting>
  <conditionalFormatting sqref="AV159">
    <cfRule type="expression" dxfId="6017" priority="1529">
      <formula>AV159="X"</formula>
    </cfRule>
    <cfRule type="expression" dxfId="6016" priority="1530">
      <formula>AV159="후보"</formula>
    </cfRule>
  </conditionalFormatting>
  <conditionalFormatting sqref="AC159">
    <cfRule type="cellIs" dxfId="6015" priority="1527" operator="greaterThan">
      <formula>0.9</formula>
    </cfRule>
    <cfRule type="cellIs" dxfId="6014" priority="1528" operator="greaterThan">
      <formula>0.85</formula>
    </cfRule>
  </conditionalFormatting>
  <conditionalFormatting sqref="N159">
    <cfRule type="cellIs" dxfId="6013" priority="1525" operator="greaterThan">
      <formula>0.9</formula>
    </cfRule>
    <cfRule type="cellIs" dxfId="6012" priority="1526" operator="greaterThan">
      <formula>0.85</formula>
    </cfRule>
  </conditionalFormatting>
  <conditionalFormatting sqref="E159">
    <cfRule type="expression" dxfId="6011" priority="1521">
      <formula>AND(IF(OR($Q159=1,$Q159=2),1,0),IF($X159&lt;=20,1,0))</formula>
    </cfRule>
    <cfRule type="expression" dxfId="6010" priority="1522">
      <formula>AND(IF($Q159=2,1,0),IF($X159&lt;30,1,0))</formula>
    </cfRule>
    <cfRule type="expression" dxfId="6009" priority="1523">
      <formula>AND(IF($Q159=3,1,0),IF($X159&lt;30,1,0))</formula>
    </cfRule>
    <cfRule type="expression" dxfId="6008" priority="1524">
      <formula>AND(IF($Q159=3,1,IF($Q159=4,1,0)),IF($F159&lt;=85,1,0))</formula>
    </cfRule>
  </conditionalFormatting>
  <conditionalFormatting sqref="X159">
    <cfRule type="expression" dxfId="6007" priority="1517">
      <formula>AND(IF(OR($Q159=1,$Q159=2),1,0),IF($X159&lt;=20,1,0))</formula>
    </cfRule>
    <cfRule type="expression" dxfId="6006" priority="1518">
      <formula>AND(IF($Q159=2,1,0),IF($X159&lt;30,1,0))</formula>
    </cfRule>
    <cfRule type="expression" dxfId="6005" priority="1519">
      <formula>AND(IF($Q159=3,1,0),IF($X159&lt;30,1,0))</formula>
    </cfRule>
    <cfRule type="expression" dxfId="6004" priority="1520">
      <formula>AND(IF($Q159=3,1,IF($Q159=4,1,0)),IF($F159&lt;=85,1,0))</formula>
    </cfRule>
  </conditionalFormatting>
  <conditionalFormatting sqref="AI159">
    <cfRule type="expression" dxfId="6003" priority="1513">
      <formula>AND(IF(OR($Q159=1,$Q159=2),1,0),IF($X159&lt;=20,1,0))</formula>
    </cfRule>
    <cfRule type="expression" dxfId="6002" priority="1514">
      <formula>AND(IF($Q159=2,1,0),IF($X159&lt;30,1,0))</formula>
    </cfRule>
    <cfRule type="expression" dxfId="6001" priority="1515">
      <formula>AND(IF($Q159=3,1,0),IF($X159&lt;30,1,0))</formula>
    </cfRule>
    <cfRule type="expression" dxfId="6000" priority="1516">
      <formula>AND(IF($Q159=3,1,IF($Q159=4,1,0)),IF($F159&lt;=85,1,0))</formula>
    </cfRule>
  </conditionalFormatting>
  <conditionalFormatting sqref="AV160">
    <cfRule type="expression" dxfId="5999" priority="1511">
      <formula>AV160="X"</formula>
    </cfRule>
    <cfRule type="expression" dxfId="5998" priority="1512">
      <formula>AV160="후보"</formula>
    </cfRule>
  </conditionalFormatting>
  <conditionalFormatting sqref="AC160">
    <cfRule type="cellIs" dxfId="5997" priority="1509" operator="greaterThan">
      <formula>0.9</formula>
    </cfRule>
    <cfRule type="cellIs" dxfId="5996" priority="1510" operator="greaterThan">
      <formula>0.85</formula>
    </cfRule>
  </conditionalFormatting>
  <conditionalFormatting sqref="N160">
    <cfRule type="cellIs" dxfId="5995" priority="1507" operator="greaterThan">
      <formula>0.9</formula>
    </cfRule>
    <cfRule type="cellIs" dxfId="5994" priority="1508" operator="greaterThan">
      <formula>0.85</formula>
    </cfRule>
  </conditionalFormatting>
  <conditionalFormatting sqref="E160">
    <cfRule type="expression" dxfId="5993" priority="1503">
      <formula>AND(IF(OR($Q160=1,$Q160=2),1,0),IF($X160&lt;=20,1,0))</formula>
    </cfRule>
    <cfRule type="expression" dxfId="5992" priority="1504">
      <formula>AND(IF($Q160=2,1,0),IF($X160&lt;30,1,0))</formula>
    </cfRule>
    <cfRule type="expression" dxfId="5991" priority="1505">
      <formula>AND(IF($Q160=3,1,0),IF($X160&lt;30,1,0))</formula>
    </cfRule>
    <cfRule type="expression" dxfId="5990" priority="1506">
      <formula>AND(IF($Q160=3,1,IF($Q160=4,1,0)),IF($F160&lt;=85,1,0))</formula>
    </cfRule>
  </conditionalFormatting>
  <conditionalFormatting sqref="X160">
    <cfRule type="expression" dxfId="5989" priority="1499">
      <formula>AND(IF(OR($Q160=1,$Q160=2),1,0),IF($X160&lt;=20,1,0))</formula>
    </cfRule>
    <cfRule type="expression" dxfId="5988" priority="1500">
      <formula>AND(IF($Q160=2,1,0),IF($X160&lt;30,1,0))</formula>
    </cfRule>
    <cfRule type="expression" dxfId="5987" priority="1501">
      <formula>AND(IF($Q160=3,1,0),IF($X160&lt;30,1,0))</formula>
    </cfRule>
    <cfRule type="expression" dxfId="5986" priority="1502">
      <formula>AND(IF($Q160=3,1,IF($Q160=4,1,0)),IF($F160&lt;=85,1,0))</formula>
    </cfRule>
  </conditionalFormatting>
  <conditionalFormatting sqref="AI160">
    <cfRule type="expression" dxfId="5985" priority="1495">
      <formula>AND(IF(OR($Q160=1,$Q160=2),1,0),IF($X160&lt;=20,1,0))</formula>
    </cfRule>
    <cfRule type="expression" dxfId="5984" priority="1496">
      <formula>AND(IF($Q160=2,1,0),IF($X160&lt;30,1,0))</formula>
    </cfRule>
    <cfRule type="expression" dxfId="5983" priority="1497">
      <formula>AND(IF($Q160=3,1,0),IF($X160&lt;30,1,0))</formula>
    </cfRule>
    <cfRule type="expression" dxfId="5982" priority="1498">
      <formula>AND(IF($Q160=3,1,IF($Q160=4,1,0)),IF($F160&lt;=85,1,0))</formula>
    </cfRule>
  </conditionalFormatting>
  <conditionalFormatting sqref="AV161">
    <cfRule type="expression" dxfId="5981" priority="1493">
      <formula>AV161="X"</formula>
    </cfRule>
    <cfRule type="expression" dxfId="5980" priority="1494">
      <formula>AV161="후보"</formula>
    </cfRule>
  </conditionalFormatting>
  <conditionalFormatting sqref="AC161">
    <cfRule type="cellIs" dxfId="5979" priority="1491" operator="greaterThan">
      <formula>0.9</formula>
    </cfRule>
    <cfRule type="cellIs" dxfId="5978" priority="1492" operator="greaterThan">
      <formula>0.85</formula>
    </cfRule>
  </conditionalFormatting>
  <conditionalFormatting sqref="N161">
    <cfRule type="cellIs" dxfId="5977" priority="1489" operator="greaterThan">
      <formula>0.9</formula>
    </cfRule>
    <cfRule type="cellIs" dxfId="5976" priority="1490" operator="greaterThan">
      <formula>0.85</formula>
    </cfRule>
  </conditionalFormatting>
  <conditionalFormatting sqref="E161">
    <cfRule type="expression" dxfId="5975" priority="1485">
      <formula>AND(IF(OR($Q161=1,$Q161=2),1,0),IF($X161&lt;=20,1,0))</formula>
    </cfRule>
    <cfRule type="expression" dxfId="5974" priority="1486">
      <formula>AND(IF($Q161=2,1,0),IF($X161&lt;30,1,0))</formula>
    </cfRule>
    <cfRule type="expression" dxfId="5973" priority="1487">
      <formula>AND(IF($Q161=3,1,0),IF($X161&lt;30,1,0))</formula>
    </cfRule>
    <cfRule type="expression" dxfId="5972" priority="1488">
      <formula>AND(IF($Q161=3,1,IF($Q161=4,1,0)),IF($F161&lt;=85,1,0))</formula>
    </cfRule>
  </conditionalFormatting>
  <conditionalFormatting sqref="X161">
    <cfRule type="expression" dxfId="5971" priority="1481">
      <formula>AND(IF(OR($Q161=1,$Q161=2),1,0),IF($X161&lt;=20,1,0))</formula>
    </cfRule>
    <cfRule type="expression" dxfId="5970" priority="1482">
      <formula>AND(IF($Q161=2,1,0),IF($X161&lt;30,1,0))</formula>
    </cfRule>
    <cfRule type="expression" dxfId="5969" priority="1483">
      <formula>AND(IF($Q161=3,1,0),IF($X161&lt;30,1,0))</formula>
    </cfRule>
    <cfRule type="expression" dxfId="5968" priority="1484">
      <formula>AND(IF($Q161=3,1,IF($Q161=4,1,0)),IF($F161&lt;=85,1,0))</formula>
    </cfRule>
  </conditionalFormatting>
  <conditionalFormatting sqref="AI161">
    <cfRule type="expression" dxfId="5967" priority="1477">
      <formula>AND(IF(OR($Q161=1,$Q161=2),1,0),IF($X161&lt;=20,1,0))</formula>
    </cfRule>
    <cfRule type="expression" dxfId="5966" priority="1478">
      <formula>AND(IF($Q161=2,1,0),IF($X161&lt;30,1,0))</formula>
    </cfRule>
    <cfRule type="expression" dxfId="5965" priority="1479">
      <formula>AND(IF($Q161=3,1,0),IF($X161&lt;30,1,0))</formula>
    </cfRule>
    <cfRule type="expression" dxfId="5964" priority="1480">
      <formula>AND(IF($Q161=3,1,IF($Q161=4,1,0)),IF($F161&lt;=85,1,0))</formula>
    </cfRule>
  </conditionalFormatting>
  <conditionalFormatting sqref="AV162">
    <cfRule type="expression" dxfId="5963" priority="1475">
      <formula>AV162="X"</formula>
    </cfRule>
    <cfRule type="expression" dxfId="5962" priority="1476">
      <formula>AV162="후보"</formula>
    </cfRule>
  </conditionalFormatting>
  <conditionalFormatting sqref="AC162">
    <cfRule type="cellIs" dxfId="5961" priority="1473" operator="greaterThan">
      <formula>0.9</formula>
    </cfRule>
    <cfRule type="cellIs" dxfId="5960" priority="1474" operator="greaterThan">
      <formula>0.85</formula>
    </cfRule>
  </conditionalFormatting>
  <conditionalFormatting sqref="N162">
    <cfRule type="cellIs" dxfId="5959" priority="1471" operator="greaterThan">
      <formula>0.9</formula>
    </cfRule>
    <cfRule type="cellIs" dxfId="5958" priority="1472" operator="greaterThan">
      <formula>0.85</formula>
    </cfRule>
  </conditionalFormatting>
  <conditionalFormatting sqref="E162">
    <cfRule type="expression" dxfId="5957" priority="1467">
      <formula>AND(IF(OR($Q162=1,$Q162=2),1,0),IF($X162&lt;=20,1,0))</formula>
    </cfRule>
    <cfRule type="expression" dxfId="5956" priority="1468">
      <formula>AND(IF($Q162=2,1,0),IF($X162&lt;30,1,0))</formula>
    </cfRule>
    <cfRule type="expression" dxfId="5955" priority="1469">
      <formula>AND(IF($Q162=3,1,0),IF($X162&lt;30,1,0))</formula>
    </cfRule>
    <cfRule type="expression" dxfId="5954" priority="1470">
      <formula>AND(IF($Q162=3,1,IF($Q162=4,1,0)),IF($F162&lt;=85,1,0))</formula>
    </cfRule>
  </conditionalFormatting>
  <conditionalFormatting sqref="X162">
    <cfRule type="expression" dxfId="5953" priority="1463">
      <formula>AND(IF(OR($Q162=1,$Q162=2),1,0),IF($X162&lt;=20,1,0))</formula>
    </cfRule>
    <cfRule type="expression" dxfId="5952" priority="1464">
      <formula>AND(IF($Q162=2,1,0),IF($X162&lt;30,1,0))</formula>
    </cfRule>
    <cfRule type="expression" dxfId="5951" priority="1465">
      <formula>AND(IF($Q162=3,1,0),IF($X162&lt;30,1,0))</formula>
    </cfRule>
    <cfRule type="expression" dxfId="5950" priority="1466">
      <formula>AND(IF($Q162=3,1,IF($Q162=4,1,0)),IF($F162&lt;=85,1,0))</formula>
    </cfRule>
  </conditionalFormatting>
  <conditionalFormatting sqref="AI162">
    <cfRule type="expression" dxfId="5949" priority="1459">
      <formula>AND(IF(OR($Q162=1,$Q162=2),1,0),IF($X162&lt;=20,1,0))</formula>
    </cfRule>
    <cfRule type="expression" dxfId="5948" priority="1460">
      <formula>AND(IF($Q162=2,1,0),IF($X162&lt;30,1,0))</formula>
    </cfRule>
    <cfRule type="expression" dxfId="5947" priority="1461">
      <formula>AND(IF($Q162=3,1,0),IF($X162&lt;30,1,0))</formula>
    </cfRule>
    <cfRule type="expression" dxfId="5946" priority="1462">
      <formula>AND(IF($Q162=3,1,IF($Q162=4,1,0)),IF($F162&lt;=85,1,0))</formula>
    </cfRule>
  </conditionalFormatting>
  <conditionalFormatting sqref="AV163">
    <cfRule type="expression" dxfId="5945" priority="1457">
      <formula>AV163="X"</formula>
    </cfRule>
    <cfRule type="expression" dxfId="5944" priority="1458">
      <formula>AV163="후보"</formula>
    </cfRule>
  </conditionalFormatting>
  <conditionalFormatting sqref="AC163">
    <cfRule type="cellIs" dxfId="5943" priority="1455" operator="greaterThan">
      <formula>0.9</formula>
    </cfRule>
    <cfRule type="cellIs" dxfId="5942" priority="1456" operator="greaterThan">
      <formula>0.85</formula>
    </cfRule>
  </conditionalFormatting>
  <conditionalFormatting sqref="N163">
    <cfRule type="cellIs" dxfId="5941" priority="1453" operator="greaterThan">
      <formula>0.9</formula>
    </cfRule>
    <cfRule type="cellIs" dxfId="5940" priority="1454" operator="greaterThan">
      <formula>0.85</formula>
    </cfRule>
  </conditionalFormatting>
  <conditionalFormatting sqref="E163">
    <cfRule type="expression" dxfId="5939" priority="1449">
      <formula>AND(IF(OR($Q163=1,$Q163=2),1,0),IF($X163&lt;=20,1,0))</formula>
    </cfRule>
    <cfRule type="expression" dxfId="5938" priority="1450">
      <formula>AND(IF($Q163=2,1,0),IF($X163&lt;30,1,0))</formula>
    </cfRule>
    <cfRule type="expression" dxfId="5937" priority="1451">
      <formula>AND(IF($Q163=3,1,0),IF($X163&lt;30,1,0))</formula>
    </cfRule>
    <cfRule type="expression" dxfId="5936" priority="1452">
      <formula>AND(IF($Q163=3,1,IF($Q163=4,1,0)),IF($F163&lt;=85,1,0))</formula>
    </cfRule>
  </conditionalFormatting>
  <conditionalFormatting sqref="X163">
    <cfRule type="expression" dxfId="5935" priority="1445">
      <formula>AND(IF(OR($Q163=1,$Q163=2),1,0),IF($X163&lt;=20,1,0))</formula>
    </cfRule>
    <cfRule type="expression" dxfId="5934" priority="1446">
      <formula>AND(IF($Q163=2,1,0),IF($X163&lt;30,1,0))</formula>
    </cfRule>
    <cfRule type="expression" dxfId="5933" priority="1447">
      <formula>AND(IF($Q163=3,1,0),IF($X163&lt;30,1,0))</formula>
    </cfRule>
    <cfRule type="expression" dxfId="5932" priority="1448">
      <formula>AND(IF($Q163=3,1,IF($Q163=4,1,0)),IF($F163&lt;=85,1,0))</formula>
    </cfRule>
  </conditionalFormatting>
  <conditionalFormatting sqref="AI163">
    <cfRule type="expression" dxfId="5931" priority="1441">
      <formula>AND(IF(OR($Q163=1,$Q163=2),1,0),IF($X163&lt;=20,1,0))</formula>
    </cfRule>
    <cfRule type="expression" dxfId="5930" priority="1442">
      <formula>AND(IF($Q163=2,1,0),IF($X163&lt;30,1,0))</formula>
    </cfRule>
    <cfRule type="expression" dxfId="5929" priority="1443">
      <formula>AND(IF($Q163=3,1,0),IF($X163&lt;30,1,0))</formula>
    </cfRule>
    <cfRule type="expression" dxfId="5928" priority="1444">
      <formula>AND(IF($Q163=3,1,IF($Q163=4,1,0)),IF($F163&lt;=85,1,0))</formula>
    </cfRule>
  </conditionalFormatting>
  <conditionalFormatting sqref="AV164">
    <cfRule type="expression" dxfId="5927" priority="1439">
      <formula>AV164="X"</formula>
    </cfRule>
    <cfRule type="expression" dxfId="5926" priority="1440">
      <formula>AV164="후보"</formula>
    </cfRule>
  </conditionalFormatting>
  <conditionalFormatting sqref="AC164">
    <cfRule type="cellIs" dxfId="5925" priority="1437" operator="greaterThan">
      <formula>0.9</formula>
    </cfRule>
    <cfRule type="cellIs" dxfId="5924" priority="1438" operator="greaterThan">
      <formula>0.85</formula>
    </cfRule>
  </conditionalFormatting>
  <conditionalFormatting sqref="N164">
    <cfRule type="cellIs" dxfId="5923" priority="1435" operator="greaterThan">
      <formula>0.9</formula>
    </cfRule>
    <cfRule type="cellIs" dxfId="5922" priority="1436" operator="greaterThan">
      <formula>0.85</formula>
    </cfRule>
  </conditionalFormatting>
  <conditionalFormatting sqref="E164">
    <cfRule type="expression" dxfId="5921" priority="1431">
      <formula>AND(IF(OR($Q164=1,$Q164=2),1,0),IF($X164&lt;=20,1,0))</formula>
    </cfRule>
    <cfRule type="expression" dxfId="5920" priority="1432">
      <formula>AND(IF($Q164=2,1,0),IF($X164&lt;30,1,0))</formula>
    </cfRule>
    <cfRule type="expression" dxfId="5919" priority="1433">
      <formula>AND(IF($Q164=3,1,0),IF($X164&lt;30,1,0))</formula>
    </cfRule>
    <cfRule type="expression" dxfId="5918" priority="1434">
      <formula>AND(IF($Q164=3,1,IF($Q164=4,1,0)),IF($F164&lt;=85,1,0))</formula>
    </cfRule>
  </conditionalFormatting>
  <conditionalFormatting sqref="X164">
    <cfRule type="expression" dxfId="5917" priority="1427">
      <formula>AND(IF(OR($Q164=1,$Q164=2),1,0),IF($X164&lt;=20,1,0))</formula>
    </cfRule>
    <cfRule type="expression" dxfId="5916" priority="1428">
      <formula>AND(IF($Q164=2,1,0),IF($X164&lt;30,1,0))</formula>
    </cfRule>
    <cfRule type="expression" dxfId="5915" priority="1429">
      <formula>AND(IF($Q164=3,1,0),IF($X164&lt;30,1,0))</formula>
    </cfRule>
    <cfRule type="expression" dxfId="5914" priority="1430">
      <formula>AND(IF($Q164=3,1,IF($Q164=4,1,0)),IF($F164&lt;=85,1,0))</formula>
    </cfRule>
  </conditionalFormatting>
  <conditionalFormatting sqref="AI164">
    <cfRule type="expression" dxfId="5913" priority="1423">
      <formula>AND(IF(OR($Q164=1,$Q164=2),1,0),IF($X164&lt;=20,1,0))</formula>
    </cfRule>
    <cfRule type="expression" dxfId="5912" priority="1424">
      <formula>AND(IF($Q164=2,1,0),IF($X164&lt;30,1,0))</formula>
    </cfRule>
    <cfRule type="expression" dxfId="5911" priority="1425">
      <formula>AND(IF($Q164=3,1,0),IF($X164&lt;30,1,0))</formula>
    </cfRule>
    <cfRule type="expression" dxfId="5910" priority="1426">
      <formula>AND(IF($Q164=3,1,IF($Q164=4,1,0)),IF($F164&lt;=85,1,0))</formula>
    </cfRule>
  </conditionalFormatting>
  <conditionalFormatting sqref="AV165">
    <cfRule type="expression" dxfId="5909" priority="1421">
      <formula>AV165="X"</formula>
    </cfRule>
    <cfRule type="expression" dxfId="5908" priority="1422">
      <formula>AV165="후보"</formula>
    </cfRule>
  </conditionalFormatting>
  <conditionalFormatting sqref="AC165">
    <cfRule type="cellIs" dxfId="5907" priority="1419" operator="greaterThan">
      <formula>0.9</formula>
    </cfRule>
    <cfRule type="cellIs" dxfId="5906" priority="1420" operator="greaterThan">
      <formula>0.85</formula>
    </cfRule>
  </conditionalFormatting>
  <conditionalFormatting sqref="N165">
    <cfRule type="cellIs" dxfId="5905" priority="1417" operator="greaterThan">
      <formula>0.9</formula>
    </cfRule>
    <cfRule type="cellIs" dxfId="5904" priority="1418" operator="greaterThan">
      <formula>0.85</formula>
    </cfRule>
  </conditionalFormatting>
  <conditionalFormatting sqref="E165">
    <cfRule type="expression" dxfId="5903" priority="1413">
      <formula>AND(IF(OR($Q165=1,$Q165=2),1,0),IF($X165&lt;=20,1,0))</formula>
    </cfRule>
    <cfRule type="expression" dxfId="5902" priority="1414">
      <formula>AND(IF($Q165=2,1,0),IF($X165&lt;30,1,0))</formula>
    </cfRule>
    <cfRule type="expression" dxfId="5901" priority="1415">
      <formula>AND(IF($Q165=3,1,0),IF($X165&lt;30,1,0))</formula>
    </cfRule>
    <cfRule type="expression" dxfId="5900" priority="1416">
      <formula>AND(IF($Q165=3,1,IF($Q165=4,1,0)),IF($F165&lt;=85,1,0))</formula>
    </cfRule>
  </conditionalFormatting>
  <conditionalFormatting sqref="X165">
    <cfRule type="expression" dxfId="5899" priority="1409">
      <formula>AND(IF(OR($Q165=1,$Q165=2),1,0),IF($X165&lt;=20,1,0))</formula>
    </cfRule>
    <cfRule type="expression" dxfId="5898" priority="1410">
      <formula>AND(IF($Q165=2,1,0),IF($X165&lt;30,1,0))</formula>
    </cfRule>
    <cfRule type="expression" dxfId="5897" priority="1411">
      <formula>AND(IF($Q165=3,1,0),IF($X165&lt;30,1,0))</formula>
    </cfRule>
    <cfRule type="expression" dxfId="5896" priority="1412">
      <formula>AND(IF($Q165=3,1,IF($Q165=4,1,0)),IF($F165&lt;=85,1,0))</formula>
    </cfRule>
  </conditionalFormatting>
  <conditionalFormatting sqref="AI165">
    <cfRule type="expression" dxfId="5895" priority="1405">
      <formula>AND(IF(OR($Q165=1,$Q165=2),1,0),IF($X165&lt;=20,1,0))</formula>
    </cfRule>
    <cfRule type="expression" dxfId="5894" priority="1406">
      <formula>AND(IF($Q165=2,1,0),IF($X165&lt;30,1,0))</formula>
    </cfRule>
    <cfRule type="expression" dxfId="5893" priority="1407">
      <formula>AND(IF($Q165=3,1,0),IF($X165&lt;30,1,0))</formula>
    </cfRule>
    <cfRule type="expression" dxfId="5892" priority="1408">
      <formula>AND(IF($Q165=3,1,IF($Q165=4,1,0)),IF($F165&lt;=85,1,0))</formula>
    </cfRule>
  </conditionalFormatting>
  <conditionalFormatting sqref="AV166">
    <cfRule type="expression" dxfId="5891" priority="1403">
      <formula>AV166="X"</formula>
    </cfRule>
    <cfRule type="expression" dxfId="5890" priority="1404">
      <formula>AV166="후보"</formula>
    </cfRule>
  </conditionalFormatting>
  <conditionalFormatting sqref="AC166">
    <cfRule type="cellIs" dxfId="5889" priority="1401" operator="greaterThan">
      <formula>0.9</formula>
    </cfRule>
    <cfRule type="cellIs" dxfId="5888" priority="1402" operator="greaterThan">
      <formula>0.85</formula>
    </cfRule>
  </conditionalFormatting>
  <conditionalFormatting sqref="N166">
    <cfRule type="cellIs" dxfId="5887" priority="1399" operator="greaterThan">
      <formula>0.9</formula>
    </cfRule>
    <cfRule type="cellIs" dxfId="5886" priority="1400" operator="greaterThan">
      <formula>0.85</formula>
    </cfRule>
  </conditionalFormatting>
  <conditionalFormatting sqref="E166">
    <cfRule type="expression" dxfId="5885" priority="1395">
      <formula>AND(IF(OR($Q166=1,$Q166=2),1,0),IF($X166&lt;=20,1,0))</formula>
    </cfRule>
    <cfRule type="expression" dxfId="5884" priority="1396">
      <formula>AND(IF($Q166=2,1,0),IF($X166&lt;30,1,0))</formula>
    </cfRule>
    <cfRule type="expression" dxfId="5883" priority="1397">
      <formula>AND(IF($Q166=3,1,0),IF($X166&lt;30,1,0))</formula>
    </cfRule>
    <cfRule type="expression" dxfId="5882" priority="1398">
      <formula>AND(IF($Q166=3,1,IF($Q166=4,1,0)),IF($F166&lt;=85,1,0))</formula>
    </cfRule>
  </conditionalFormatting>
  <conditionalFormatting sqref="X166">
    <cfRule type="expression" dxfId="5881" priority="1391">
      <formula>AND(IF(OR($Q166=1,$Q166=2),1,0),IF($X166&lt;=20,1,0))</formula>
    </cfRule>
    <cfRule type="expression" dxfId="5880" priority="1392">
      <formula>AND(IF($Q166=2,1,0),IF($X166&lt;30,1,0))</formula>
    </cfRule>
    <cfRule type="expression" dxfId="5879" priority="1393">
      <formula>AND(IF($Q166=3,1,0),IF($X166&lt;30,1,0))</formula>
    </cfRule>
    <cfRule type="expression" dxfId="5878" priority="1394">
      <formula>AND(IF($Q166=3,1,IF($Q166=4,1,0)),IF($F166&lt;=85,1,0))</formula>
    </cfRule>
  </conditionalFormatting>
  <conditionalFormatting sqref="AI166">
    <cfRule type="expression" dxfId="5877" priority="1387">
      <formula>AND(IF(OR($Q166=1,$Q166=2),1,0),IF($X166&lt;=20,1,0))</formula>
    </cfRule>
    <cfRule type="expression" dxfId="5876" priority="1388">
      <formula>AND(IF($Q166=2,1,0),IF($X166&lt;30,1,0))</formula>
    </cfRule>
    <cfRule type="expression" dxfId="5875" priority="1389">
      <formula>AND(IF($Q166=3,1,0),IF($X166&lt;30,1,0))</formula>
    </cfRule>
    <cfRule type="expression" dxfId="5874" priority="1390">
      <formula>AND(IF($Q166=3,1,IF($Q166=4,1,0)),IF($F166&lt;=85,1,0))</formula>
    </cfRule>
  </conditionalFormatting>
  <conditionalFormatting sqref="AV167">
    <cfRule type="expression" dxfId="5873" priority="1385">
      <formula>AV167="X"</formula>
    </cfRule>
    <cfRule type="expression" dxfId="5872" priority="1386">
      <formula>AV167="후보"</formula>
    </cfRule>
  </conditionalFormatting>
  <conditionalFormatting sqref="AC167">
    <cfRule type="cellIs" dxfId="5871" priority="1383" operator="greaterThan">
      <formula>0.9</formula>
    </cfRule>
    <cfRule type="cellIs" dxfId="5870" priority="1384" operator="greaterThan">
      <formula>0.85</formula>
    </cfRule>
  </conditionalFormatting>
  <conditionalFormatting sqref="N167">
    <cfRule type="cellIs" dxfId="5869" priority="1381" operator="greaterThan">
      <formula>0.9</formula>
    </cfRule>
    <cfRule type="cellIs" dxfId="5868" priority="1382" operator="greaterThan">
      <formula>0.85</formula>
    </cfRule>
  </conditionalFormatting>
  <conditionalFormatting sqref="E167">
    <cfRule type="expression" dxfId="5867" priority="1377">
      <formula>AND(IF(OR($Q167=1,$Q167=2),1,0),IF($X167&lt;=20,1,0))</formula>
    </cfRule>
    <cfRule type="expression" dxfId="5866" priority="1378">
      <formula>AND(IF($Q167=2,1,0),IF($X167&lt;30,1,0))</formula>
    </cfRule>
    <cfRule type="expression" dxfId="5865" priority="1379">
      <formula>AND(IF($Q167=3,1,0),IF($X167&lt;30,1,0))</formula>
    </cfRule>
    <cfRule type="expression" dxfId="5864" priority="1380">
      <formula>AND(IF($Q167=3,1,IF($Q167=4,1,0)),IF($F167&lt;=85,1,0))</formula>
    </cfRule>
  </conditionalFormatting>
  <conditionalFormatting sqref="X167">
    <cfRule type="expression" dxfId="5863" priority="1373">
      <formula>AND(IF(OR($Q167=1,$Q167=2),1,0),IF($X167&lt;=20,1,0))</formula>
    </cfRule>
    <cfRule type="expression" dxfId="5862" priority="1374">
      <formula>AND(IF($Q167=2,1,0),IF($X167&lt;30,1,0))</formula>
    </cfRule>
    <cfRule type="expression" dxfId="5861" priority="1375">
      <formula>AND(IF($Q167=3,1,0),IF($X167&lt;30,1,0))</formula>
    </cfRule>
    <cfRule type="expression" dxfId="5860" priority="1376">
      <formula>AND(IF($Q167=3,1,IF($Q167=4,1,0)),IF($F167&lt;=85,1,0))</formula>
    </cfRule>
  </conditionalFormatting>
  <conditionalFormatting sqref="AI167">
    <cfRule type="expression" dxfId="5859" priority="1369">
      <formula>AND(IF(OR($Q167=1,$Q167=2),1,0),IF($X167&lt;=20,1,0))</formula>
    </cfRule>
    <cfRule type="expression" dxfId="5858" priority="1370">
      <formula>AND(IF($Q167=2,1,0),IF($X167&lt;30,1,0))</formula>
    </cfRule>
    <cfRule type="expression" dxfId="5857" priority="1371">
      <formula>AND(IF($Q167=3,1,0),IF($X167&lt;30,1,0))</formula>
    </cfRule>
    <cfRule type="expression" dxfId="5856" priority="1372">
      <formula>AND(IF($Q167=3,1,IF($Q167=4,1,0)),IF($F167&lt;=85,1,0))</formula>
    </cfRule>
  </conditionalFormatting>
  <conditionalFormatting sqref="AV168">
    <cfRule type="expression" dxfId="5855" priority="1367">
      <formula>AV168="X"</formula>
    </cfRule>
    <cfRule type="expression" dxfId="5854" priority="1368">
      <formula>AV168="후보"</formula>
    </cfRule>
  </conditionalFormatting>
  <conditionalFormatting sqref="AC168">
    <cfRule type="cellIs" dxfId="5853" priority="1365" operator="greaterThan">
      <formula>0.9</formula>
    </cfRule>
    <cfRule type="cellIs" dxfId="5852" priority="1366" operator="greaterThan">
      <formula>0.85</formula>
    </cfRule>
  </conditionalFormatting>
  <conditionalFormatting sqref="N168">
    <cfRule type="cellIs" dxfId="5851" priority="1363" operator="greaterThan">
      <formula>0.9</formula>
    </cfRule>
    <cfRule type="cellIs" dxfId="5850" priority="1364" operator="greaterThan">
      <formula>0.85</formula>
    </cfRule>
  </conditionalFormatting>
  <conditionalFormatting sqref="E168">
    <cfRule type="expression" dxfId="5849" priority="1359">
      <formula>AND(IF(OR($Q168=1,$Q168=2),1,0),IF($X168&lt;=20,1,0))</formula>
    </cfRule>
    <cfRule type="expression" dxfId="5848" priority="1360">
      <formula>AND(IF($Q168=2,1,0),IF($X168&lt;30,1,0))</formula>
    </cfRule>
    <cfRule type="expression" dxfId="5847" priority="1361">
      <formula>AND(IF($Q168=3,1,0),IF($X168&lt;30,1,0))</formula>
    </cfRule>
    <cfRule type="expression" dxfId="5846" priority="1362">
      <formula>AND(IF($Q168=3,1,IF($Q168=4,1,0)),IF($F168&lt;=85,1,0))</formula>
    </cfRule>
  </conditionalFormatting>
  <conditionalFormatting sqref="X168">
    <cfRule type="expression" dxfId="5845" priority="1355">
      <formula>AND(IF(OR($Q168=1,$Q168=2),1,0),IF($X168&lt;=20,1,0))</formula>
    </cfRule>
    <cfRule type="expression" dxfId="5844" priority="1356">
      <formula>AND(IF($Q168=2,1,0),IF($X168&lt;30,1,0))</formula>
    </cfRule>
    <cfRule type="expression" dxfId="5843" priority="1357">
      <formula>AND(IF($Q168=3,1,0),IF($X168&lt;30,1,0))</formula>
    </cfRule>
    <cfRule type="expression" dxfId="5842" priority="1358">
      <formula>AND(IF($Q168=3,1,IF($Q168=4,1,0)),IF($F168&lt;=85,1,0))</formula>
    </cfRule>
  </conditionalFormatting>
  <conditionalFormatting sqref="AI168">
    <cfRule type="expression" dxfId="5841" priority="1351">
      <formula>AND(IF(OR($Q168=1,$Q168=2),1,0),IF($X168&lt;=20,1,0))</formula>
    </cfRule>
    <cfRule type="expression" dxfId="5840" priority="1352">
      <formula>AND(IF($Q168=2,1,0),IF($X168&lt;30,1,0))</formula>
    </cfRule>
    <cfRule type="expression" dxfId="5839" priority="1353">
      <formula>AND(IF($Q168=3,1,0),IF($X168&lt;30,1,0))</formula>
    </cfRule>
    <cfRule type="expression" dxfId="5838" priority="1354">
      <formula>AND(IF($Q168=3,1,IF($Q168=4,1,0)),IF($F168&lt;=85,1,0))</formula>
    </cfRule>
  </conditionalFormatting>
  <conditionalFormatting sqref="AV169">
    <cfRule type="expression" dxfId="5837" priority="1349">
      <formula>AV169="X"</formula>
    </cfRule>
    <cfRule type="expression" dxfId="5836" priority="1350">
      <formula>AV169="후보"</formula>
    </cfRule>
  </conditionalFormatting>
  <conditionalFormatting sqref="AC169">
    <cfRule type="cellIs" dxfId="5835" priority="1347" operator="greaterThan">
      <formula>0.9</formula>
    </cfRule>
    <cfRule type="cellIs" dxfId="5834" priority="1348" operator="greaterThan">
      <formula>0.85</formula>
    </cfRule>
  </conditionalFormatting>
  <conditionalFormatting sqref="N169">
    <cfRule type="cellIs" dxfId="5833" priority="1345" operator="greaterThan">
      <formula>0.9</formula>
    </cfRule>
    <cfRule type="cellIs" dxfId="5832" priority="1346" operator="greaterThan">
      <formula>0.85</formula>
    </cfRule>
  </conditionalFormatting>
  <conditionalFormatting sqref="E169">
    <cfRule type="expression" dxfId="5831" priority="1341">
      <formula>AND(IF(OR($Q169=1,$Q169=2),1,0),IF($X169&lt;=20,1,0))</formula>
    </cfRule>
    <cfRule type="expression" dxfId="5830" priority="1342">
      <formula>AND(IF($Q169=2,1,0),IF($X169&lt;30,1,0))</formula>
    </cfRule>
    <cfRule type="expression" dxfId="5829" priority="1343">
      <formula>AND(IF($Q169=3,1,0),IF($X169&lt;30,1,0))</formula>
    </cfRule>
    <cfRule type="expression" dxfId="5828" priority="1344">
      <formula>AND(IF($Q169=3,1,IF($Q169=4,1,0)),IF($F169&lt;=85,1,0))</formula>
    </cfRule>
  </conditionalFormatting>
  <conditionalFormatting sqref="X169">
    <cfRule type="expression" dxfId="5827" priority="1337">
      <formula>AND(IF(OR($Q169=1,$Q169=2),1,0),IF($X169&lt;=20,1,0))</formula>
    </cfRule>
    <cfRule type="expression" dxfId="5826" priority="1338">
      <formula>AND(IF($Q169=2,1,0),IF($X169&lt;30,1,0))</formula>
    </cfRule>
    <cfRule type="expression" dxfId="5825" priority="1339">
      <formula>AND(IF($Q169=3,1,0),IF($X169&lt;30,1,0))</formula>
    </cfRule>
    <cfRule type="expression" dxfId="5824" priority="1340">
      <formula>AND(IF($Q169=3,1,IF($Q169=4,1,0)),IF($F169&lt;=85,1,0))</formula>
    </cfRule>
  </conditionalFormatting>
  <conditionalFormatting sqref="AI169">
    <cfRule type="expression" dxfId="5823" priority="1333">
      <formula>AND(IF(OR($Q169=1,$Q169=2),1,0),IF($X169&lt;=20,1,0))</formula>
    </cfRule>
    <cfRule type="expression" dxfId="5822" priority="1334">
      <formula>AND(IF($Q169=2,1,0),IF($X169&lt;30,1,0))</formula>
    </cfRule>
    <cfRule type="expression" dxfId="5821" priority="1335">
      <formula>AND(IF($Q169=3,1,0),IF($X169&lt;30,1,0))</formula>
    </cfRule>
    <cfRule type="expression" dxfId="5820" priority="1336">
      <formula>AND(IF($Q169=3,1,IF($Q169=4,1,0)),IF($F169&lt;=85,1,0))</formula>
    </cfRule>
  </conditionalFormatting>
  <conditionalFormatting sqref="AV170">
    <cfRule type="expression" dxfId="5819" priority="1331">
      <formula>AV170="X"</formula>
    </cfRule>
    <cfRule type="expression" dxfId="5818" priority="1332">
      <formula>AV170="후보"</formula>
    </cfRule>
  </conditionalFormatting>
  <conditionalFormatting sqref="AC170">
    <cfRule type="cellIs" dxfId="5817" priority="1329" operator="greaterThan">
      <formula>0.9</formula>
    </cfRule>
    <cfRule type="cellIs" dxfId="5816" priority="1330" operator="greaterThan">
      <formula>0.85</formula>
    </cfRule>
  </conditionalFormatting>
  <conditionalFormatting sqref="N170">
    <cfRule type="cellIs" dxfId="5815" priority="1327" operator="greaterThan">
      <formula>0.9</formula>
    </cfRule>
    <cfRule type="cellIs" dxfId="5814" priority="1328" operator="greaterThan">
      <formula>0.85</formula>
    </cfRule>
  </conditionalFormatting>
  <conditionalFormatting sqref="E170">
    <cfRule type="expression" dxfId="5813" priority="1323">
      <formula>AND(IF(OR($Q170=1,$Q170=2),1,0),IF($X170&lt;=20,1,0))</formula>
    </cfRule>
    <cfRule type="expression" dxfId="5812" priority="1324">
      <formula>AND(IF($Q170=2,1,0),IF($X170&lt;30,1,0))</formula>
    </cfRule>
    <cfRule type="expression" dxfId="5811" priority="1325">
      <formula>AND(IF($Q170=3,1,0),IF($X170&lt;30,1,0))</formula>
    </cfRule>
    <cfRule type="expression" dxfId="5810" priority="1326">
      <formula>AND(IF($Q170=3,1,IF($Q170=4,1,0)),IF($F170&lt;=85,1,0))</formula>
    </cfRule>
  </conditionalFormatting>
  <conditionalFormatting sqref="X170">
    <cfRule type="expression" dxfId="5809" priority="1319">
      <formula>AND(IF(OR($Q170=1,$Q170=2),1,0),IF($X170&lt;=20,1,0))</formula>
    </cfRule>
    <cfRule type="expression" dxfId="5808" priority="1320">
      <formula>AND(IF($Q170=2,1,0),IF($X170&lt;30,1,0))</formula>
    </cfRule>
    <cfRule type="expression" dxfId="5807" priority="1321">
      <formula>AND(IF($Q170=3,1,0),IF($X170&lt;30,1,0))</formula>
    </cfRule>
    <cfRule type="expression" dxfId="5806" priority="1322">
      <formula>AND(IF($Q170=3,1,IF($Q170=4,1,0)),IF($F170&lt;=85,1,0))</formula>
    </cfRule>
  </conditionalFormatting>
  <conditionalFormatting sqref="AI170">
    <cfRule type="expression" dxfId="5805" priority="1315">
      <formula>AND(IF(OR($Q170=1,$Q170=2),1,0),IF($X170&lt;=20,1,0))</formula>
    </cfRule>
    <cfRule type="expression" dxfId="5804" priority="1316">
      <formula>AND(IF($Q170=2,1,0),IF($X170&lt;30,1,0))</formula>
    </cfRule>
    <cfRule type="expression" dxfId="5803" priority="1317">
      <formula>AND(IF($Q170=3,1,0),IF($X170&lt;30,1,0))</formula>
    </cfRule>
    <cfRule type="expression" dxfId="5802" priority="1318">
      <formula>AND(IF($Q170=3,1,IF($Q170=4,1,0)),IF($F170&lt;=85,1,0))</formula>
    </cfRule>
  </conditionalFormatting>
  <conditionalFormatting sqref="AV171">
    <cfRule type="expression" dxfId="5801" priority="1313">
      <formula>AV171="X"</formula>
    </cfRule>
    <cfRule type="expression" dxfId="5800" priority="1314">
      <formula>AV171="후보"</formula>
    </cfRule>
  </conditionalFormatting>
  <conditionalFormatting sqref="AC171">
    <cfRule type="cellIs" dxfId="5799" priority="1311" operator="greaterThan">
      <formula>0.9</formula>
    </cfRule>
    <cfRule type="cellIs" dxfId="5798" priority="1312" operator="greaterThan">
      <formula>0.85</formula>
    </cfRule>
  </conditionalFormatting>
  <conditionalFormatting sqref="N171">
    <cfRule type="cellIs" dxfId="5797" priority="1309" operator="greaterThan">
      <formula>0.9</formula>
    </cfRule>
    <cfRule type="cellIs" dxfId="5796" priority="1310" operator="greaterThan">
      <formula>0.85</formula>
    </cfRule>
  </conditionalFormatting>
  <conditionalFormatting sqref="E171">
    <cfRule type="expression" dxfId="5795" priority="1305">
      <formula>AND(IF(OR($Q171=1,$Q171=2),1,0),IF($X171&lt;=20,1,0))</formula>
    </cfRule>
    <cfRule type="expression" dxfId="5794" priority="1306">
      <formula>AND(IF($Q171=2,1,0),IF($X171&lt;30,1,0))</formula>
    </cfRule>
    <cfRule type="expression" dxfId="5793" priority="1307">
      <formula>AND(IF($Q171=3,1,0),IF($X171&lt;30,1,0))</formula>
    </cfRule>
    <cfRule type="expression" dxfId="5792" priority="1308">
      <formula>AND(IF($Q171=3,1,IF($Q171=4,1,0)),IF($F171&lt;=85,1,0))</formula>
    </cfRule>
  </conditionalFormatting>
  <conditionalFormatting sqref="X171">
    <cfRule type="expression" dxfId="5791" priority="1301">
      <formula>AND(IF(OR($Q171=1,$Q171=2),1,0),IF($X171&lt;=20,1,0))</formula>
    </cfRule>
    <cfRule type="expression" dxfId="5790" priority="1302">
      <formula>AND(IF($Q171=2,1,0),IF($X171&lt;30,1,0))</formula>
    </cfRule>
    <cfRule type="expression" dxfId="5789" priority="1303">
      <formula>AND(IF($Q171=3,1,0),IF($X171&lt;30,1,0))</formula>
    </cfRule>
    <cfRule type="expression" dxfId="5788" priority="1304">
      <formula>AND(IF($Q171=3,1,IF($Q171=4,1,0)),IF($F171&lt;=85,1,0))</formula>
    </cfRule>
  </conditionalFormatting>
  <conditionalFormatting sqref="AI171">
    <cfRule type="expression" dxfId="5787" priority="1297">
      <formula>AND(IF(OR($Q171=1,$Q171=2),1,0),IF($X171&lt;=20,1,0))</formula>
    </cfRule>
    <cfRule type="expression" dxfId="5786" priority="1298">
      <formula>AND(IF($Q171=2,1,0),IF($X171&lt;30,1,0))</formula>
    </cfRule>
    <cfRule type="expression" dxfId="5785" priority="1299">
      <formula>AND(IF($Q171=3,1,0),IF($X171&lt;30,1,0))</formula>
    </cfRule>
    <cfRule type="expression" dxfId="5784" priority="1300">
      <formula>AND(IF($Q171=3,1,IF($Q171=4,1,0)),IF($F171&lt;=85,1,0))</formula>
    </cfRule>
  </conditionalFormatting>
  <conditionalFormatting sqref="AV172">
    <cfRule type="expression" dxfId="5783" priority="1295">
      <formula>AV172="X"</formula>
    </cfRule>
    <cfRule type="expression" dxfId="5782" priority="1296">
      <formula>AV172="후보"</formula>
    </cfRule>
  </conditionalFormatting>
  <conditionalFormatting sqref="AC172">
    <cfRule type="cellIs" dxfId="5781" priority="1293" operator="greaterThan">
      <formula>0.9</formula>
    </cfRule>
    <cfRule type="cellIs" dxfId="5780" priority="1294" operator="greaterThan">
      <formula>0.85</formula>
    </cfRule>
  </conditionalFormatting>
  <conditionalFormatting sqref="N172">
    <cfRule type="cellIs" dxfId="5779" priority="1291" operator="greaterThan">
      <formula>0.9</formula>
    </cfRule>
    <cfRule type="cellIs" dxfId="5778" priority="1292" operator="greaterThan">
      <formula>0.85</formula>
    </cfRule>
  </conditionalFormatting>
  <conditionalFormatting sqref="E172">
    <cfRule type="expression" dxfId="5777" priority="1287">
      <formula>AND(IF(OR($Q172=1,$Q172=2),1,0),IF($X172&lt;=20,1,0))</formula>
    </cfRule>
    <cfRule type="expression" dxfId="5776" priority="1288">
      <formula>AND(IF($Q172=2,1,0),IF($X172&lt;30,1,0))</formula>
    </cfRule>
    <cfRule type="expression" dxfId="5775" priority="1289">
      <formula>AND(IF($Q172=3,1,0),IF($X172&lt;30,1,0))</formula>
    </cfRule>
    <cfRule type="expression" dxfId="5774" priority="1290">
      <formula>AND(IF($Q172=3,1,IF($Q172=4,1,0)),IF($F172&lt;=85,1,0))</formula>
    </cfRule>
  </conditionalFormatting>
  <conditionalFormatting sqref="X172">
    <cfRule type="expression" dxfId="5773" priority="1283">
      <formula>AND(IF(OR($Q172=1,$Q172=2),1,0),IF($X172&lt;=20,1,0))</formula>
    </cfRule>
    <cfRule type="expression" dxfId="5772" priority="1284">
      <formula>AND(IF($Q172=2,1,0),IF($X172&lt;30,1,0))</formula>
    </cfRule>
    <cfRule type="expression" dxfId="5771" priority="1285">
      <formula>AND(IF($Q172=3,1,0),IF($X172&lt;30,1,0))</formula>
    </cfRule>
    <cfRule type="expression" dxfId="5770" priority="1286">
      <formula>AND(IF($Q172=3,1,IF($Q172=4,1,0)),IF($F172&lt;=85,1,0))</formula>
    </cfRule>
  </conditionalFormatting>
  <conditionalFormatting sqref="AI172">
    <cfRule type="expression" dxfId="5769" priority="1279">
      <formula>AND(IF(OR($Q172=1,$Q172=2),1,0),IF($X172&lt;=20,1,0))</formula>
    </cfRule>
    <cfRule type="expression" dxfId="5768" priority="1280">
      <formula>AND(IF($Q172=2,1,0),IF($X172&lt;30,1,0))</formula>
    </cfRule>
    <cfRule type="expression" dxfId="5767" priority="1281">
      <formula>AND(IF($Q172=3,1,0),IF($X172&lt;30,1,0))</formula>
    </cfRule>
    <cfRule type="expression" dxfId="5766" priority="1282">
      <formula>AND(IF($Q172=3,1,IF($Q172=4,1,0)),IF($F172&lt;=85,1,0))</formula>
    </cfRule>
  </conditionalFormatting>
  <conditionalFormatting sqref="AV173">
    <cfRule type="expression" dxfId="5765" priority="1277">
      <formula>AV173="X"</formula>
    </cfRule>
    <cfRule type="expression" dxfId="5764" priority="1278">
      <formula>AV173="후보"</formula>
    </cfRule>
  </conditionalFormatting>
  <conditionalFormatting sqref="AC173">
    <cfRule type="cellIs" dxfId="5763" priority="1275" operator="greaterThan">
      <formula>0.9</formula>
    </cfRule>
    <cfRule type="cellIs" dxfId="5762" priority="1276" operator="greaterThan">
      <formula>0.85</formula>
    </cfRule>
  </conditionalFormatting>
  <conditionalFormatting sqref="N173">
    <cfRule type="cellIs" dxfId="5761" priority="1273" operator="greaterThan">
      <formula>0.9</formula>
    </cfRule>
    <cfRule type="cellIs" dxfId="5760" priority="1274" operator="greaterThan">
      <formula>0.85</formula>
    </cfRule>
  </conditionalFormatting>
  <conditionalFormatting sqref="E173">
    <cfRule type="expression" dxfId="5759" priority="1269">
      <formula>AND(IF(OR($Q173=1,$Q173=2),1,0),IF($X173&lt;=20,1,0))</formula>
    </cfRule>
    <cfRule type="expression" dxfId="5758" priority="1270">
      <formula>AND(IF($Q173=2,1,0),IF($X173&lt;30,1,0))</formula>
    </cfRule>
    <cfRule type="expression" dxfId="5757" priority="1271">
      <formula>AND(IF($Q173=3,1,0),IF($X173&lt;30,1,0))</formula>
    </cfRule>
    <cfRule type="expression" dxfId="5756" priority="1272">
      <formula>AND(IF($Q173=3,1,IF($Q173=4,1,0)),IF($F173&lt;=85,1,0))</formula>
    </cfRule>
  </conditionalFormatting>
  <conditionalFormatting sqref="X173">
    <cfRule type="expression" dxfId="5755" priority="1265">
      <formula>AND(IF(OR($Q173=1,$Q173=2),1,0),IF($X173&lt;=20,1,0))</formula>
    </cfRule>
    <cfRule type="expression" dxfId="5754" priority="1266">
      <formula>AND(IF($Q173=2,1,0),IF($X173&lt;30,1,0))</formula>
    </cfRule>
    <cfRule type="expression" dxfId="5753" priority="1267">
      <formula>AND(IF($Q173=3,1,0),IF($X173&lt;30,1,0))</formula>
    </cfRule>
    <cfRule type="expression" dxfId="5752" priority="1268">
      <formula>AND(IF($Q173=3,1,IF($Q173=4,1,0)),IF($F173&lt;=85,1,0))</formula>
    </cfRule>
  </conditionalFormatting>
  <conditionalFormatting sqref="AI173">
    <cfRule type="expression" dxfId="5751" priority="1261">
      <formula>AND(IF(OR($Q173=1,$Q173=2),1,0),IF($X173&lt;=20,1,0))</formula>
    </cfRule>
    <cfRule type="expression" dxfId="5750" priority="1262">
      <formula>AND(IF($Q173=2,1,0),IF($X173&lt;30,1,0))</formula>
    </cfRule>
    <cfRule type="expression" dxfId="5749" priority="1263">
      <formula>AND(IF($Q173=3,1,0),IF($X173&lt;30,1,0))</formula>
    </cfRule>
    <cfRule type="expression" dxfId="5748" priority="1264">
      <formula>AND(IF($Q173=3,1,IF($Q173=4,1,0)),IF($F173&lt;=85,1,0))</formula>
    </cfRule>
  </conditionalFormatting>
  <conditionalFormatting sqref="AV174">
    <cfRule type="expression" dxfId="5747" priority="1259">
      <formula>AV174="X"</formula>
    </cfRule>
    <cfRule type="expression" dxfId="5746" priority="1260">
      <formula>AV174="후보"</formula>
    </cfRule>
  </conditionalFormatting>
  <conditionalFormatting sqref="AC174">
    <cfRule type="cellIs" dxfId="5745" priority="1257" operator="greaterThan">
      <formula>0.9</formula>
    </cfRule>
    <cfRule type="cellIs" dxfId="5744" priority="1258" operator="greaterThan">
      <formula>0.85</formula>
    </cfRule>
  </conditionalFormatting>
  <conditionalFormatting sqref="N174">
    <cfRule type="cellIs" dxfId="5743" priority="1255" operator="greaterThan">
      <formula>0.9</formula>
    </cfRule>
    <cfRule type="cellIs" dxfId="5742" priority="1256" operator="greaterThan">
      <formula>0.85</formula>
    </cfRule>
  </conditionalFormatting>
  <conditionalFormatting sqref="E174">
    <cfRule type="expression" dxfId="5741" priority="1251">
      <formula>AND(IF(OR($Q174=1,$Q174=2),1,0),IF($X174&lt;=20,1,0))</formula>
    </cfRule>
    <cfRule type="expression" dxfId="5740" priority="1252">
      <formula>AND(IF($Q174=2,1,0),IF($X174&lt;30,1,0))</formula>
    </cfRule>
    <cfRule type="expression" dxfId="5739" priority="1253">
      <formula>AND(IF($Q174=3,1,0),IF($X174&lt;30,1,0))</formula>
    </cfRule>
    <cfRule type="expression" dxfId="5738" priority="1254">
      <formula>AND(IF($Q174=3,1,IF($Q174=4,1,0)),IF($F174&lt;=85,1,0))</formula>
    </cfRule>
  </conditionalFormatting>
  <conditionalFormatting sqref="X174">
    <cfRule type="expression" dxfId="5737" priority="1247">
      <formula>AND(IF(OR($Q174=1,$Q174=2),1,0),IF($X174&lt;=20,1,0))</formula>
    </cfRule>
    <cfRule type="expression" dxfId="5736" priority="1248">
      <formula>AND(IF($Q174=2,1,0),IF($X174&lt;30,1,0))</formula>
    </cfRule>
    <cfRule type="expression" dxfId="5735" priority="1249">
      <formula>AND(IF($Q174=3,1,0),IF($X174&lt;30,1,0))</formula>
    </cfRule>
    <cfRule type="expression" dxfId="5734" priority="1250">
      <formula>AND(IF($Q174=3,1,IF($Q174=4,1,0)),IF($F174&lt;=85,1,0))</formula>
    </cfRule>
  </conditionalFormatting>
  <conditionalFormatting sqref="AI174">
    <cfRule type="expression" dxfId="5733" priority="1243">
      <formula>AND(IF(OR($Q174=1,$Q174=2),1,0),IF($X174&lt;=20,1,0))</formula>
    </cfRule>
    <cfRule type="expression" dxfId="5732" priority="1244">
      <formula>AND(IF($Q174=2,1,0),IF($X174&lt;30,1,0))</formula>
    </cfRule>
    <cfRule type="expression" dxfId="5731" priority="1245">
      <formula>AND(IF($Q174=3,1,0),IF($X174&lt;30,1,0))</formula>
    </cfRule>
    <cfRule type="expression" dxfId="5730" priority="1246">
      <formula>AND(IF($Q174=3,1,IF($Q174=4,1,0)),IF($F174&lt;=85,1,0))</formula>
    </cfRule>
  </conditionalFormatting>
  <conditionalFormatting sqref="AV175">
    <cfRule type="expression" dxfId="5729" priority="1241">
      <formula>AV175="X"</formula>
    </cfRule>
    <cfRule type="expression" dxfId="5728" priority="1242">
      <formula>AV175="후보"</formula>
    </cfRule>
  </conditionalFormatting>
  <conditionalFormatting sqref="AC175">
    <cfRule type="cellIs" dxfId="5727" priority="1239" operator="greaterThan">
      <formula>0.9</formula>
    </cfRule>
    <cfRule type="cellIs" dxfId="5726" priority="1240" operator="greaterThan">
      <formula>0.85</formula>
    </cfRule>
  </conditionalFormatting>
  <conditionalFormatting sqref="N175">
    <cfRule type="cellIs" dxfId="5725" priority="1237" operator="greaterThan">
      <formula>0.9</formula>
    </cfRule>
    <cfRule type="cellIs" dxfId="5724" priority="1238" operator="greaterThan">
      <formula>0.85</formula>
    </cfRule>
  </conditionalFormatting>
  <conditionalFormatting sqref="E175">
    <cfRule type="expression" dxfId="5723" priority="1233">
      <formula>AND(IF(OR($Q175=1,$Q175=2),1,0),IF($X175&lt;=20,1,0))</formula>
    </cfRule>
    <cfRule type="expression" dxfId="5722" priority="1234">
      <formula>AND(IF($Q175=2,1,0),IF($X175&lt;30,1,0))</formula>
    </cfRule>
    <cfRule type="expression" dxfId="5721" priority="1235">
      <formula>AND(IF($Q175=3,1,0),IF($X175&lt;30,1,0))</formula>
    </cfRule>
    <cfRule type="expression" dxfId="5720" priority="1236">
      <formula>AND(IF($Q175=3,1,IF($Q175=4,1,0)),IF($F175&lt;=85,1,0))</formula>
    </cfRule>
  </conditionalFormatting>
  <conditionalFormatting sqref="X175">
    <cfRule type="expression" dxfId="5719" priority="1229">
      <formula>AND(IF(OR($Q175=1,$Q175=2),1,0),IF($X175&lt;=20,1,0))</formula>
    </cfRule>
    <cfRule type="expression" dxfId="5718" priority="1230">
      <formula>AND(IF($Q175=2,1,0),IF($X175&lt;30,1,0))</formula>
    </cfRule>
    <cfRule type="expression" dxfId="5717" priority="1231">
      <formula>AND(IF($Q175=3,1,0),IF($X175&lt;30,1,0))</formula>
    </cfRule>
    <cfRule type="expression" dxfId="5716" priority="1232">
      <formula>AND(IF($Q175=3,1,IF($Q175=4,1,0)),IF($F175&lt;=85,1,0))</formula>
    </cfRule>
  </conditionalFormatting>
  <conditionalFormatting sqref="AI175">
    <cfRule type="expression" dxfId="5715" priority="1225">
      <formula>AND(IF(OR($Q175=1,$Q175=2),1,0),IF($X175&lt;=20,1,0))</formula>
    </cfRule>
    <cfRule type="expression" dxfId="5714" priority="1226">
      <formula>AND(IF($Q175=2,1,0),IF($X175&lt;30,1,0))</formula>
    </cfRule>
    <cfRule type="expression" dxfId="5713" priority="1227">
      <formula>AND(IF($Q175=3,1,0),IF($X175&lt;30,1,0))</formula>
    </cfRule>
    <cfRule type="expression" dxfId="5712" priority="1228">
      <formula>AND(IF($Q175=3,1,IF($Q175=4,1,0)),IF($F175&lt;=85,1,0))</formula>
    </cfRule>
  </conditionalFormatting>
  <conditionalFormatting sqref="AV176">
    <cfRule type="expression" dxfId="5711" priority="1223">
      <formula>AV176="X"</formula>
    </cfRule>
    <cfRule type="expression" dxfId="5710" priority="1224">
      <formula>AV176="후보"</formula>
    </cfRule>
  </conditionalFormatting>
  <conditionalFormatting sqref="AC176">
    <cfRule type="cellIs" dxfId="5709" priority="1221" operator="greaterThan">
      <formula>0.9</formula>
    </cfRule>
    <cfRule type="cellIs" dxfId="5708" priority="1222" operator="greaterThan">
      <formula>0.85</formula>
    </cfRule>
  </conditionalFormatting>
  <conditionalFormatting sqref="N176">
    <cfRule type="cellIs" dxfId="5707" priority="1219" operator="greaterThan">
      <formula>0.9</formula>
    </cfRule>
    <cfRule type="cellIs" dxfId="5706" priority="1220" operator="greaterThan">
      <formula>0.85</formula>
    </cfRule>
  </conditionalFormatting>
  <conditionalFormatting sqref="E176">
    <cfRule type="expression" dxfId="5705" priority="1215">
      <formula>AND(IF(OR($Q176=1,$Q176=2),1,0),IF($X176&lt;=20,1,0))</formula>
    </cfRule>
    <cfRule type="expression" dxfId="5704" priority="1216">
      <formula>AND(IF($Q176=2,1,0),IF($X176&lt;30,1,0))</formula>
    </cfRule>
    <cfRule type="expression" dxfId="5703" priority="1217">
      <formula>AND(IF($Q176=3,1,0),IF($X176&lt;30,1,0))</formula>
    </cfRule>
    <cfRule type="expression" dxfId="5702" priority="1218">
      <formula>AND(IF($Q176=3,1,IF($Q176=4,1,0)),IF($F176&lt;=85,1,0))</formula>
    </cfRule>
  </conditionalFormatting>
  <conditionalFormatting sqref="X176">
    <cfRule type="expression" dxfId="5701" priority="1211">
      <formula>AND(IF(OR($Q176=1,$Q176=2),1,0),IF($X176&lt;=20,1,0))</formula>
    </cfRule>
    <cfRule type="expression" dxfId="5700" priority="1212">
      <formula>AND(IF($Q176=2,1,0),IF($X176&lt;30,1,0))</formula>
    </cfRule>
    <cfRule type="expression" dxfId="5699" priority="1213">
      <formula>AND(IF($Q176=3,1,0),IF($X176&lt;30,1,0))</formula>
    </cfRule>
    <cfRule type="expression" dxfId="5698" priority="1214">
      <formula>AND(IF($Q176=3,1,IF($Q176=4,1,0)),IF($F176&lt;=85,1,0))</formula>
    </cfRule>
  </conditionalFormatting>
  <conditionalFormatting sqref="AI176">
    <cfRule type="expression" dxfId="5697" priority="1207">
      <formula>AND(IF(OR($Q176=1,$Q176=2),1,0),IF($X176&lt;=20,1,0))</formula>
    </cfRule>
    <cfRule type="expression" dxfId="5696" priority="1208">
      <formula>AND(IF($Q176=2,1,0),IF($X176&lt;30,1,0))</formula>
    </cfRule>
    <cfRule type="expression" dxfId="5695" priority="1209">
      <formula>AND(IF($Q176=3,1,0),IF($X176&lt;30,1,0))</formula>
    </cfRule>
    <cfRule type="expression" dxfId="5694" priority="1210">
      <formula>AND(IF($Q176=3,1,IF($Q176=4,1,0)),IF($F176&lt;=85,1,0))</formula>
    </cfRule>
  </conditionalFormatting>
  <conditionalFormatting sqref="AV177">
    <cfRule type="expression" dxfId="5693" priority="1205">
      <formula>AV177="X"</formula>
    </cfRule>
    <cfRule type="expression" dxfId="5692" priority="1206">
      <formula>AV177="후보"</formula>
    </cfRule>
  </conditionalFormatting>
  <conditionalFormatting sqref="AC177">
    <cfRule type="cellIs" dxfId="5691" priority="1203" operator="greaterThan">
      <formula>0.9</formula>
    </cfRule>
    <cfRule type="cellIs" dxfId="5690" priority="1204" operator="greaterThan">
      <formula>0.85</formula>
    </cfRule>
  </conditionalFormatting>
  <conditionalFormatting sqref="N177">
    <cfRule type="cellIs" dxfId="5689" priority="1201" operator="greaterThan">
      <formula>0.9</formula>
    </cfRule>
    <cfRule type="cellIs" dxfId="5688" priority="1202" operator="greaterThan">
      <formula>0.85</formula>
    </cfRule>
  </conditionalFormatting>
  <conditionalFormatting sqref="E177">
    <cfRule type="expression" dxfId="5687" priority="1197">
      <formula>AND(IF(OR($Q177=1,$Q177=2),1,0),IF($X177&lt;=20,1,0))</formula>
    </cfRule>
    <cfRule type="expression" dxfId="5686" priority="1198">
      <formula>AND(IF($Q177=2,1,0),IF($X177&lt;30,1,0))</formula>
    </cfRule>
    <cfRule type="expression" dxfId="5685" priority="1199">
      <formula>AND(IF($Q177=3,1,0),IF($X177&lt;30,1,0))</formula>
    </cfRule>
    <cfRule type="expression" dxfId="5684" priority="1200">
      <formula>AND(IF($Q177=3,1,IF($Q177=4,1,0)),IF($F177&lt;=85,1,0))</formula>
    </cfRule>
  </conditionalFormatting>
  <conditionalFormatting sqref="X177">
    <cfRule type="expression" dxfId="5683" priority="1193">
      <formula>AND(IF(OR($Q177=1,$Q177=2),1,0),IF($X177&lt;=20,1,0))</formula>
    </cfRule>
    <cfRule type="expression" dxfId="5682" priority="1194">
      <formula>AND(IF($Q177=2,1,0),IF($X177&lt;30,1,0))</formula>
    </cfRule>
    <cfRule type="expression" dxfId="5681" priority="1195">
      <formula>AND(IF($Q177=3,1,0),IF($X177&lt;30,1,0))</formula>
    </cfRule>
    <cfRule type="expression" dxfId="5680" priority="1196">
      <formula>AND(IF($Q177=3,1,IF($Q177=4,1,0)),IF($F177&lt;=85,1,0))</formula>
    </cfRule>
  </conditionalFormatting>
  <conditionalFormatting sqref="AI177">
    <cfRule type="expression" dxfId="5679" priority="1189">
      <formula>AND(IF(OR($Q177=1,$Q177=2),1,0),IF($X177&lt;=20,1,0))</formula>
    </cfRule>
    <cfRule type="expression" dxfId="5678" priority="1190">
      <formula>AND(IF($Q177=2,1,0),IF($X177&lt;30,1,0))</formula>
    </cfRule>
    <cfRule type="expression" dxfId="5677" priority="1191">
      <formula>AND(IF($Q177=3,1,0),IF($X177&lt;30,1,0))</formula>
    </cfRule>
    <cfRule type="expression" dxfId="5676" priority="1192">
      <formula>AND(IF($Q177=3,1,IF($Q177=4,1,0)),IF($F177&lt;=85,1,0))</formula>
    </cfRule>
  </conditionalFormatting>
  <conditionalFormatting sqref="AV178">
    <cfRule type="expression" dxfId="5675" priority="1187">
      <formula>AV178="X"</formula>
    </cfRule>
    <cfRule type="expression" dxfId="5674" priority="1188">
      <formula>AV178="후보"</formula>
    </cfRule>
  </conditionalFormatting>
  <conditionalFormatting sqref="AC178">
    <cfRule type="cellIs" dxfId="5673" priority="1185" operator="greaterThan">
      <formula>0.9</formula>
    </cfRule>
    <cfRule type="cellIs" dxfId="5672" priority="1186" operator="greaterThan">
      <formula>0.85</formula>
    </cfRule>
  </conditionalFormatting>
  <conditionalFormatting sqref="N178">
    <cfRule type="cellIs" dxfId="5671" priority="1183" operator="greaterThan">
      <formula>0.9</formula>
    </cfRule>
    <cfRule type="cellIs" dxfId="5670" priority="1184" operator="greaterThan">
      <formula>0.85</formula>
    </cfRule>
  </conditionalFormatting>
  <conditionalFormatting sqref="E178">
    <cfRule type="expression" dxfId="5669" priority="1179">
      <formula>AND(IF(OR($Q178=1,$Q178=2),1,0),IF($X178&lt;=20,1,0))</formula>
    </cfRule>
    <cfRule type="expression" dxfId="5668" priority="1180">
      <formula>AND(IF($Q178=2,1,0),IF($X178&lt;30,1,0))</formula>
    </cfRule>
    <cfRule type="expression" dxfId="5667" priority="1181">
      <formula>AND(IF($Q178=3,1,0),IF($X178&lt;30,1,0))</formula>
    </cfRule>
    <cfRule type="expression" dxfId="5666" priority="1182">
      <formula>AND(IF($Q178=3,1,IF($Q178=4,1,0)),IF($F178&lt;=85,1,0))</formula>
    </cfRule>
  </conditionalFormatting>
  <conditionalFormatting sqref="X178">
    <cfRule type="expression" dxfId="5665" priority="1175">
      <formula>AND(IF(OR($Q178=1,$Q178=2),1,0),IF($X178&lt;=20,1,0))</formula>
    </cfRule>
    <cfRule type="expression" dxfId="5664" priority="1176">
      <formula>AND(IF($Q178=2,1,0),IF($X178&lt;30,1,0))</formula>
    </cfRule>
    <cfRule type="expression" dxfId="5663" priority="1177">
      <formula>AND(IF($Q178=3,1,0),IF($X178&lt;30,1,0))</formula>
    </cfRule>
    <cfRule type="expression" dxfId="5662" priority="1178">
      <formula>AND(IF($Q178=3,1,IF($Q178=4,1,0)),IF($F178&lt;=85,1,0))</formula>
    </cfRule>
  </conditionalFormatting>
  <conditionalFormatting sqref="AI178">
    <cfRule type="expression" dxfId="5661" priority="1171">
      <formula>AND(IF(OR($Q178=1,$Q178=2),1,0),IF($X178&lt;=20,1,0))</formula>
    </cfRule>
    <cfRule type="expression" dxfId="5660" priority="1172">
      <formula>AND(IF($Q178=2,1,0),IF($X178&lt;30,1,0))</formula>
    </cfRule>
    <cfRule type="expression" dxfId="5659" priority="1173">
      <formula>AND(IF($Q178=3,1,0),IF($X178&lt;30,1,0))</formula>
    </cfRule>
    <cfRule type="expression" dxfId="5658" priority="1174">
      <formula>AND(IF($Q178=3,1,IF($Q178=4,1,0)),IF($F178&lt;=85,1,0))</formula>
    </cfRule>
  </conditionalFormatting>
  <conditionalFormatting sqref="AV179">
    <cfRule type="expression" dxfId="5657" priority="1169">
      <formula>AV179="X"</formula>
    </cfRule>
    <cfRule type="expression" dxfId="5656" priority="1170">
      <formula>AV179="후보"</formula>
    </cfRule>
  </conditionalFormatting>
  <conditionalFormatting sqref="AC179">
    <cfRule type="cellIs" dxfId="5655" priority="1167" operator="greaterThan">
      <formula>0.9</formula>
    </cfRule>
    <cfRule type="cellIs" dxfId="5654" priority="1168" operator="greaterThan">
      <formula>0.85</formula>
    </cfRule>
  </conditionalFormatting>
  <conditionalFormatting sqref="N179">
    <cfRule type="cellIs" dxfId="5653" priority="1165" operator="greaterThan">
      <formula>0.9</formula>
    </cfRule>
    <cfRule type="cellIs" dxfId="5652" priority="1166" operator="greaterThan">
      <formula>0.85</formula>
    </cfRule>
  </conditionalFormatting>
  <conditionalFormatting sqref="E179">
    <cfRule type="expression" dxfId="5651" priority="1161">
      <formula>AND(IF(OR($Q179=1,$Q179=2),1,0),IF($X179&lt;=20,1,0))</formula>
    </cfRule>
    <cfRule type="expression" dxfId="5650" priority="1162">
      <formula>AND(IF($Q179=2,1,0),IF($X179&lt;30,1,0))</formula>
    </cfRule>
    <cfRule type="expression" dxfId="5649" priority="1163">
      <formula>AND(IF($Q179=3,1,0),IF($X179&lt;30,1,0))</formula>
    </cfRule>
    <cfRule type="expression" dxfId="5648" priority="1164">
      <formula>AND(IF($Q179=3,1,IF($Q179=4,1,0)),IF($F179&lt;=85,1,0))</formula>
    </cfRule>
  </conditionalFormatting>
  <conditionalFormatting sqref="X179">
    <cfRule type="expression" dxfId="5647" priority="1157">
      <formula>AND(IF(OR($Q179=1,$Q179=2),1,0),IF($X179&lt;=20,1,0))</formula>
    </cfRule>
    <cfRule type="expression" dxfId="5646" priority="1158">
      <formula>AND(IF($Q179=2,1,0),IF($X179&lt;30,1,0))</formula>
    </cfRule>
    <cfRule type="expression" dxfId="5645" priority="1159">
      <formula>AND(IF($Q179=3,1,0),IF($X179&lt;30,1,0))</formula>
    </cfRule>
    <cfRule type="expression" dxfId="5644" priority="1160">
      <formula>AND(IF($Q179=3,1,IF($Q179=4,1,0)),IF($F179&lt;=85,1,0))</formula>
    </cfRule>
  </conditionalFormatting>
  <conditionalFormatting sqref="AI179">
    <cfRule type="expression" dxfId="5643" priority="1153">
      <formula>AND(IF(OR($Q179=1,$Q179=2),1,0),IF($X179&lt;=20,1,0))</formula>
    </cfRule>
    <cfRule type="expression" dxfId="5642" priority="1154">
      <formula>AND(IF($Q179=2,1,0),IF($X179&lt;30,1,0))</formula>
    </cfRule>
    <cfRule type="expression" dxfId="5641" priority="1155">
      <formula>AND(IF($Q179=3,1,0),IF($X179&lt;30,1,0))</formula>
    </cfRule>
    <cfRule type="expression" dxfId="5640" priority="1156">
      <formula>AND(IF($Q179=3,1,IF($Q179=4,1,0)),IF($F179&lt;=85,1,0))</formula>
    </cfRule>
  </conditionalFormatting>
  <conditionalFormatting sqref="AV180">
    <cfRule type="expression" dxfId="5639" priority="1151">
      <formula>AV180="X"</formula>
    </cfRule>
    <cfRule type="expression" dxfId="5638" priority="1152">
      <formula>AV180="후보"</formula>
    </cfRule>
  </conditionalFormatting>
  <conditionalFormatting sqref="AC180">
    <cfRule type="cellIs" dxfId="5637" priority="1149" operator="greaterThan">
      <formula>0.9</formula>
    </cfRule>
    <cfRule type="cellIs" dxfId="5636" priority="1150" operator="greaterThan">
      <formula>0.85</formula>
    </cfRule>
  </conditionalFormatting>
  <conditionalFormatting sqref="N180">
    <cfRule type="cellIs" dxfId="5635" priority="1147" operator="greaterThan">
      <formula>0.9</formula>
    </cfRule>
    <cfRule type="cellIs" dxfId="5634" priority="1148" operator="greaterThan">
      <formula>0.85</formula>
    </cfRule>
  </conditionalFormatting>
  <conditionalFormatting sqref="E180">
    <cfRule type="expression" dxfId="5633" priority="1143">
      <formula>AND(IF(OR($Q180=1,$Q180=2),1,0),IF($X180&lt;=20,1,0))</formula>
    </cfRule>
    <cfRule type="expression" dxfId="5632" priority="1144">
      <formula>AND(IF($Q180=2,1,0),IF($X180&lt;30,1,0))</formula>
    </cfRule>
    <cfRule type="expression" dxfId="5631" priority="1145">
      <formula>AND(IF($Q180=3,1,0),IF($X180&lt;30,1,0))</formula>
    </cfRule>
    <cfRule type="expression" dxfId="5630" priority="1146">
      <formula>AND(IF($Q180=3,1,IF($Q180=4,1,0)),IF($F180&lt;=85,1,0))</formula>
    </cfRule>
  </conditionalFormatting>
  <conditionalFormatting sqref="X180">
    <cfRule type="expression" dxfId="5629" priority="1139">
      <formula>AND(IF(OR($Q180=1,$Q180=2),1,0),IF($X180&lt;=20,1,0))</formula>
    </cfRule>
    <cfRule type="expression" dxfId="5628" priority="1140">
      <formula>AND(IF($Q180=2,1,0),IF($X180&lt;30,1,0))</formula>
    </cfRule>
    <cfRule type="expression" dxfId="5627" priority="1141">
      <formula>AND(IF($Q180=3,1,0),IF($X180&lt;30,1,0))</formula>
    </cfRule>
    <cfRule type="expression" dxfId="5626" priority="1142">
      <formula>AND(IF($Q180=3,1,IF($Q180=4,1,0)),IF($F180&lt;=85,1,0))</formula>
    </cfRule>
  </conditionalFormatting>
  <conditionalFormatting sqref="AI180">
    <cfRule type="expression" dxfId="5625" priority="1135">
      <formula>AND(IF(OR($Q180=1,$Q180=2),1,0),IF($X180&lt;=20,1,0))</formula>
    </cfRule>
    <cfRule type="expression" dxfId="5624" priority="1136">
      <formula>AND(IF($Q180=2,1,0),IF($X180&lt;30,1,0))</formula>
    </cfRule>
    <cfRule type="expression" dxfId="5623" priority="1137">
      <formula>AND(IF($Q180=3,1,0),IF($X180&lt;30,1,0))</formula>
    </cfRule>
    <cfRule type="expression" dxfId="5622" priority="1138">
      <formula>AND(IF($Q180=3,1,IF($Q180=4,1,0)),IF($F180&lt;=85,1,0))</formula>
    </cfRule>
  </conditionalFormatting>
  <conditionalFormatting sqref="AV181">
    <cfRule type="expression" dxfId="5621" priority="1133">
      <formula>AV181="X"</formula>
    </cfRule>
    <cfRule type="expression" dxfId="5620" priority="1134">
      <formula>AV181="후보"</formula>
    </cfRule>
  </conditionalFormatting>
  <conditionalFormatting sqref="AC181">
    <cfRule type="cellIs" dxfId="5619" priority="1131" operator="greaterThan">
      <formula>0.9</formula>
    </cfRule>
    <cfRule type="cellIs" dxfId="5618" priority="1132" operator="greaterThan">
      <formula>0.85</formula>
    </cfRule>
  </conditionalFormatting>
  <conditionalFormatting sqref="N181">
    <cfRule type="cellIs" dxfId="5617" priority="1129" operator="greaterThan">
      <formula>0.9</formula>
    </cfRule>
    <cfRule type="cellIs" dxfId="5616" priority="1130" operator="greaterThan">
      <formula>0.85</formula>
    </cfRule>
  </conditionalFormatting>
  <conditionalFormatting sqref="E181">
    <cfRule type="expression" dxfId="5615" priority="1125">
      <formula>AND(IF(OR($Q181=1,$Q181=2),1,0),IF($X181&lt;=20,1,0))</formula>
    </cfRule>
    <cfRule type="expression" dxfId="5614" priority="1126">
      <formula>AND(IF($Q181=2,1,0),IF($X181&lt;30,1,0))</formula>
    </cfRule>
    <cfRule type="expression" dxfId="5613" priority="1127">
      <formula>AND(IF($Q181=3,1,0),IF($X181&lt;30,1,0))</formula>
    </cfRule>
    <cfRule type="expression" dxfId="5612" priority="1128">
      <formula>AND(IF($Q181=3,1,IF($Q181=4,1,0)),IF($F181&lt;=85,1,0))</formula>
    </cfRule>
  </conditionalFormatting>
  <conditionalFormatting sqref="X181">
    <cfRule type="expression" dxfId="5611" priority="1121">
      <formula>AND(IF(OR($Q181=1,$Q181=2),1,0),IF($X181&lt;=20,1,0))</formula>
    </cfRule>
    <cfRule type="expression" dxfId="5610" priority="1122">
      <formula>AND(IF($Q181=2,1,0),IF($X181&lt;30,1,0))</formula>
    </cfRule>
    <cfRule type="expression" dxfId="5609" priority="1123">
      <formula>AND(IF($Q181=3,1,0),IF($X181&lt;30,1,0))</formula>
    </cfRule>
    <cfRule type="expression" dxfId="5608" priority="1124">
      <formula>AND(IF($Q181=3,1,IF($Q181=4,1,0)),IF($F181&lt;=85,1,0))</formula>
    </cfRule>
  </conditionalFormatting>
  <conditionalFormatting sqref="AI181">
    <cfRule type="expression" dxfId="5607" priority="1117">
      <formula>AND(IF(OR($Q181=1,$Q181=2),1,0),IF($X181&lt;=20,1,0))</formula>
    </cfRule>
    <cfRule type="expression" dxfId="5606" priority="1118">
      <formula>AND(IF($Q181=2,1,0),IF($X181&lt;30,1,0))</formula>
    </cfRule>
    <cfRule type="expression" dxfId="5605" priority="1119">
      <formula>AND(IF($Q181=3,1,0),IF($X181&lt;30,1,0))</formula>
    </cfRule>
    <cfRule type="expression" dxfId="5604" priority="1120">
      <formula>AND(IF($Q181=3,1,IF($Q181=4,1,0)),IF($F181&lt;=85,1,0))</formula>
    </cfRule>
  </conditionalFormatting>
  <conditionalFormatting sqref="AV182">
    <cfRule type="expression" dxfId="5603" priority="1115">
      <formula>AV182="X"</formula>
    </cfRule>
    <cfRule type="expression" dxfId="5602" priority="1116">
      <formula>AV182="후보"</formula>
    </cfRule>
  </conditionalFormatting>
  <conditionalFormatting sqref="AC182">
    <cfRule type="cellIs" dxfId="5601" priority="1113" operator="greaterThan">
      <formula>0.9</formula>
    </cfRule>
    <cfRule type="cellIs" dxfId="5600" priority="1114" operator="greaterThan">
      <formula>0.85</formula>
    </cfRule>
  </conditionalFormatting>
  <conditionalFormatting sqref="N182">
    <cfRule type="cellIs" dxfId="5599" priority="1111" operator="greaterThan">
      <formula>0.9</formula>
    </cfRule>
    <cfRule type="cellIs" dxfId="5598" priority="1112" operator="greaterThan">
      <formula>0.85</formula>
    </cfRule>
  </conditionalFormatting>
  <conditionalFormatting sqref="E182">
    <cfRule type="expression" dxfId="5597" priority="1107">
      <formula>AND(IF(OR($Q182=1,$Q182=2),1,0),IF($X182&lt;=20,1,0))</formula>
    </cfRule>
    <cfRule type="expression" dxfId="5596" priority="1108">
      <formula>AND(IF($Q182=2,1,0),IF($X182&lt;30,1,0))</formula>
    </cfRule>
    <cfRule type="expression" dxfId="5595" priority="1109">
      <formula>AND(IF($Q182=3,1,0),IF($X182&lt;30,1,0))</formula>
    </cfRule>
    <cfRule type="expression" dxfId="5594" priority="1110">
      <formula>AND(IF($Q182=3,1,IF($Q182=4,1,0)),IF($F182&lt;=85,1,0))</formula>
    </cfRule>
  </conditionalFormatting>
  <conditionalFormatting sqref="X182">
    <cfRule type="expression" dxfId="5593" priority="1103">
      <formula>AND(IF(OR($Q182=1,$Q182=2),1,0),IF($X182&lt;=20,1,0))</formula>
    </cfRule>
    <cfRule type="expression" dxfId="5592" priority="1104">
      <formula>AND(IF($Q182=2,1,0),IF($X182&lt;30,1,0))</formula>
    </cfRule>
    <cfRule type="expression" dxfId="5591" priority="1105">
      <formula>AND(IF($Q182=3,1,0),IF($X182&lt;30,1,0))</formula>
    </cfRule>
    <cfRule type="expression" dxfId="5590" priority="1106">
      <formula>AND(IF($Q182=3,1,IF($Q182=4,1,0)),IF($F182&lt;=85,1,0))</formula>
    </cfRule>
  </conditionalFormatting>
  <conditionalFormatting sqref="AI182">
    <cfRule type="expression" dxfId="5589" priority="1099">
      <formula>AND(IF(OR($Q182=1,$Q182=2),1,0),IF($X182&lt;=20,1,0))</formula>
    </cfRule>
    <cfRule type="expression" dxfId="5588" priority="1100">
      <formula>AND(IF($Q182=2,1,0),IF($X182&lt;30,1,0))</formula>
    </cfRule>
    <cfRule type="expression" dxfId="5587" priority="1101">
      <formula>AND(IF($Q182=3,1,0),IF($X182&lt;30,1,0))</formula>
    </cfRule>
    <cfRule type="expression" dxfId="5586" priority="1102">
      <formula>AND(IF($Q182=3,1,IF($Q182=4,1,0)),IF($F182&lt;=85,1,0))</formula>
    </cfRule>
  </conditionalFormatting>
  <conditionalFormatting sqref="AV183">
    <cfRule type="expression" dxfId="5585" priority="1097">
      <formula>AV183="X"</formula>
    </cfRule>
    <cfRule type="expression" dxfId="5584" priority="1098">
      <formula>AV183="후보"</formula>
    </cfRule>
  </conditionalFormatting>
  <conditionalFormatting sqref="AC183">
    <cfRule type="cellIs" dxfId="5583" priority="1095" operator="greaterThan">
      <formula>0.9</formula>
    </cfRule>
    <cfRule type="cellIs" dxfId="5582" priority="1096" operator="greaterThan">
      <formula>0.85</formula>
    </cfRule>
  </conditionalFormatting>
  <conditionalFormatting sqref="N183">
    <cfRule type="cellIs" dxfId="5581" priority="1093" operator="greaterThan">
      <formula>0.9</formula>
    </cfRule>
    <cfRule type="cellIs" dxfId="5580" priority="1094" operator="greaterThan">
      <formula>0.85</formula>
    </cfRule>
  </conditionalFormatting>
  <conditionalFormatting sqref="E183">
    <cfRule type="expression" dxfId="5579" priority="1089">
      <formula>AND(IF(OR($Q183=1,$Q183=2),1,0),IF($X183&lt;=20,1,0))</formula>
    </cfRule>
    <cfRule type="expression" dxfId="5578" priority="1090">
      <formula>AND(IF($Q183=2,1,0),IF($X183&lt;30,1,0))</formula>
    </cfRule>
    <cfRule type="expression" dxfId="5577" priority="1091">
      <formula>AND(IF($Q183=3,1,0),IF($X183&lt;30,1,0))</formula>
    </cfRule>
    <cfRule type="expression" dxfId="5576" priority="1092">
      <formula>AND(IF($Q183=3,1,IF($Q183=4,1,0)),IF($F183&lt;=85,1,0))</formula>
    </cfRule>
  </conditionalFormatting>
  <conditionalFormatting sqref="X183">
    <cfRule type="expression" dxfId="5575" priority="1085">
      <formula>AND(IF(OR($Q183=1,$Q183=2),1,0),IF($X183&lt;=20,1,0))</formula>
    </cfRule>
    <cfRule type="expression" dxfId="5574" priority="1086">
      <formula>AND(IF($Q183=2,1,0),IF($X183&lt;30,1,0))</formula>
    </cfRule>
    <cfRule type="expression" dxfId="5573" priority="1087">
      <formula>AND(IF($Q183=3,1,0),IF($X183&lt;30,1,0))</formula>
    </cfRule>
    <cfRule type="expression" dxfId="5572" priority="1088">
      <formula>AND(IF($Q183=3,1,IF($Q183=4,1,0)),IF($F183&lt;=85,1,0))</formula>
    </cfRule>
  </conditionalFormatting>
  <conditionalFormatting sqref="AI183">
    <cfRule type="expression" dxfId="5571" priority="1081">
      <formula>AND(IF(OR($Q183=1,$Q183=2),1,0),IF($X183&lt;=20,1,0))</formula>
    </cfRule>
    <cfRule type="expression" dxfId="5570" priority="1082">
      <formula>AND(IF($Q183=2,1,0),IF($X183&lt;30,1,0))</formula>
    </cfRule>
    <cfRule type="expression" dxfId="5569" priority="1083">
      <formula>AND(IF($Q183=3,1,0),IF($X183&lt;30,1,0))</formula>
    </cfRule>
    <cfRule type="expression" dxfId="5568" priority="1084">
      <formula>AND(IF($Q183=3,1,IF($Q183=4,1,0)),IF($F183&lt;=85,1,0))</formula>
    </cfRule>
  </conditionalFormatting>
  <conditionalFormatting sqref="AV184">
    <cfRule type="expression" dxfId="5567" priority="1079">
      <formula>AV184="X"</formula>
    </cfRule>
    <cfRule type="expression" dxfId="5566" priority="1080">
      <formula>AV184="후보"</formula>
    </cfRule>
  </conditionalFormatting>
  <conditionalFormatting sqref="AC184">
    <cfRule type="cellIs" dxfId="5565" priority="1077" operator="greaterThan">
      <formula>0.9</formula>
    </cfRule>
    <cfRule type="cellIs" dxfId="5564" priority="1078" operator="greaterThan">
      <formula>0.85</formula>
    </cfRule>
  </conditionalFormatting>
  <conditionalFormatting sqref="N184">
    <cfRule type="cellIs" dxfId="5563" priority="1075" operator="greaterThan">
      <formula>0.9</formula>
    </cfRule>
    <cfRule type="cellIs" dxfId="5562" priority="1076" operator="greaterThan">
      <formula>0.85</formula>
    </cfRule>
  </conditionalFormatting>
  <conditionalFormatting sqref="E184">
    <cfRule type="expression" dxfId="5561" priority="1071">
      <formula>AND(IF(OR($Q184=1,$Q184=2),1,0),IF($X184&lt;=20,1,0))</formula>
    </cfRule>
    <cfRule type="expression" dxfId="5560" priority="1072">
      <formula>AND(IF($Q184=2,1,0),IF($X184&lt;30,1,0))</formula>
    </cfRule>
    <cfRule type="expression" dxfId="5559" priority="1073">
      <formula>AND(IF($Q184=3,1,0),IF($X184&lt;30,1,0))</formula>
    </cfRule>
    <cfRule type="expression" dxfId="5558" priority="1074">
      <formula>AND(IF($Q184=3,1,IF($Q184=4,1,0)),IF($F184&lt;=85,1,0))</formula>
    </cfRule>
  </conditionalFormatting>
  <conditionalFormatting sqref="X184">
    <cfRule type="expression" dxfId="5557" priority="1067">
      <formula>AND(IF(OR($Q184=1,$Q184=2),1,0),IF($X184&lt;=20,1,0))</formula>
    </cfRule>
    <cfRule type="expression" dxfId="5556" priority="1068">
      <formula>AND(IF($Q184=2,1,0),IF($X184&lt;30,1,0))</formula>
    </cfRule>
    <cfRule type="expression" dxfId="5555" priority="1069">
      <formula>AND(IF($Q184=3,1,0),IF($X184&lt;30,1,0))</formula>
    </cfRule>
    <cfRule type="expression" dxfId="5554" priority="1070">
      <formula>AND(IF($Q184=3,1,IF($Q184=4,1,0)),IF($F184&lt;=85,1,0))</formula>
    </cfRule>
  </conditionalFormatting>
  <conditionalFormatting sqref="AI184">
    <cfRule type="expression" dxfId="5553" priority="1063">
      <formula>AND(IF(OR($Q184=1,$Q184=2),1,0),IF($X184&lt;=20,1,0))</formula>
    </cfRule>
    <cfRule type="expression" dxfId="5552" priority="1064">
      <formula>AND(IF($Q184=2,1,0),IF($X184&lt;30,1,0))</formula>
    </cfRule>
    <cfRule type="expression" dxfId="5551" priority="1065">
      <formula>AND(IF($Q184=3,1,0),IF($X184&lt;30,1,0))</formula>
    </cfRule>
    <cfRule type="expression" dxfId="5550" priority="1066">
      <formula>AND(IF($Q184=3,1,IF($Q184=4,1,0)),IF($F184&lt;=85,1,0))</formula>
    </cfRule>
  </conditionalFormatting>
  <conditionalFormatting sqref="AV185">
    <cfRule type="expression" dxfId="5549" priority="1061">
      <formula>AV185="X"</formula>
    </cfRule>
    <cfRule type="expression" dxfId="5548" priority="1062">
      <formula>AV185="후보"</formula>
    </cfRule>
  </conditionalFormatting>
  <conditionalFormatting sqref="AC185">
    <cfRule type="cellIs" dxfId="5547" priority="1059" operator="greaterThan">
      <formula>0.9</formula>
    </cfRule>
    <cfRule type="cellIs" dxfId="5546" priority="1060" operator="greaterThan">
      <formula>0.85</formula>
    </cfRule>
  </conditionalFormatting>
  <conditionalFormatting sqref="N185">
    <cfRule type="cellIs" dxfId="5545" priority="1057" operator="greaterThan">
      <formula>0.9</formula>
    </cfRule>
    <cfRule type="cellIs" dxfId="5544" priority="1058" operator="greaterThan">
      <formula>0.85</formula>
    </cfRule>
  </conditionalFormatting>
  <conditionalFormatting sqref="E185">
    <cfRule type="expression" dxfId="5543" priority="1053">
      <formula>AND(IF(OR($Q185=1,$Q185=2),1,0),IF($X185&lt;=20,1,0))</formula>
    </cfRule>
    <cfRule type="expression" dxfId="5542" priority="1054">
      <formula>AND(IF($Q185=2,1,0),IF($X185&lt;30,1,0))</formula>
    </cfRule>
    <cfRule type="expression" dxfId="5541" priority="1055">
      <formula>AND(IF($Q185=3,1,0),IF($X185&lt;30,1,0))</formula>
    </cfRule>
    <cfRule type="expression" dxfId="5540" priority="1056">
      <formula>AND(IF($Q185=3,1,IF($Q185=4,1,0)),IF($F185&lt;=85,1,0))</formula>
    </cfRule>
  </conditionalFormatting>
  <conditionalFormatting sqref="X185">
    <cfRule type="expression" dxfId="5539" priority="1049">
      <formula>AND(IF(OR($Q185=1,$Q185=2),1,0),IF($X185&lt;=20,1,0))</formula>
    </cfRule>
    <cfRule type="expression" dxfId="5538" priority="1050">
      <formula>AND(IF($Q185=2,1,0),IF($X185&lt;30,1,0))</formula>
    </cfRule>
    <cfRule type="expression" dxfId="5537" priority="1051">
      <formula>AND(IF($Q185=3,1,0),IF($X185&lt;30,1,0))</formula>
    </cfRule>
    <cfRule type="expression" dxfId="5536" priority="1052">
      <formula>AND(IF($Q185=3,1,IF($Q185=4,1,0)),IF($F185&lt;=85,1,0))</formula>
    </cfRule>
  </conditionalFormatting>
  <conditionalFormatting sqref="AI185">
    <cfRule type="expression" dxfId="5535" priority="1045">
      <formula>AND(IF(OR($Q185=1,$Q185=2),1,0),IF($X185&lt;=20,1,0))</formula>
    </cfRule>
    <cfRule type="expression" dxfId="5534" priority="1046">
      <formula>AND(IF($Q185=2,1,0),IF($X185&lt;30,1,0))</formula>
    </cfRule>
    <cfRule type="expression" dxfId="5533" priority="1047">
      <formula>AND(IF($Q185=3,1,0),IF($X185&lt;30,1,0))</formula>
    </cfRule>
    <cfRule type="expression" dxfId="5532" priority="1048">
      <formula>AND(IF($Q185=3,1,IF($Q185=4,1,0)),IF($F185&lt;=85,1,0))</formula>
    </cfRule>
  </conditionalFormatting>
  <conditionalFormatting sqref="AV186">
    <cfRule type="expression" dxfId="5531" priority="1043">
      <formula>AV186="X"</formula>
    </cfRule>
    <cfRule type="expression" dxfId="5530" priority="1044">
      <formula>AV186="후보"</formula>
    </cfRule>
  </conditionalFormatting>
  <conditionalFormatting sqref="AC186">
    <cfRule type="cellIs" dxfId="5529" priority="1041" operator="greaterThan">
      <formula>0.9</formula>
    </cfRule>
    <cfRule type="cellIs" dxfId="5528" priority="1042" operator="greaterThan">
      <formula>0.85</formula>
    </cfRule>
  </conditionalFormatting>
  <conditionalFormatting sqref="N186">
    <cfRule type="cellIs" dxfId="5527" priority="1039" operator="greaterThan">
      <formula>0.9</formula>
    </cfRule>
    <cfRule type="cellIs" dxfId="5526" priority="1040" operator="greaterThan">
      <formula>0.85</formula>
    </cfRule>
  </conditionalFormatting>
  <conditionalFormatting sqref="E186">
    <cfRule type="expression" dxfId="5525" priority="1035">
      <formula>AND(IF(OR($Q186=1,$Q186=2),1,0),IF($X186&lt;=20,1,0))</formula>
    </cfRule>
    <cfRule type="expression" dxfId="5524" priority="1036">
      <formula>AND(IF($Q186=2,1,0),IF($X186&lt;30,1,0))</formula>
    </cfRule>
    <cfRule type="expression" dxfId="5523" priority="1037">
      <formula>AND(IF($Q186=3,1,0),IF($X186&lt;30,1,0))</formula>
    </cfRule>
    <cfRule type="expression" dxfId="5522" priority="1038">
      <formula>AND(IF($Q186=3,1,IF($Q186=4,1,0)),IF($F186&lt;=85,1,0))</formula>
    </cfRule>
  </conditionalFormatting>
  <conditionalFormatting sqref="X186">
    <cfRule type="expression" dxfId="5521" priority="1031">
      <formula>AND(IF(OR($Q186=1,$Q186=2),1,0),IF($X186&lt;=20,1,0))</formula>
    </cfRule>
    <cfRule type="expression" dxfId="5520" priority="1032">
      <formula>AND(IF($Q186=2,1,0),IF($X186&lt;30,1,0))</formula>
    </cfRule>
    <cfRule type="expression" dxfId="5519" priority="1033">
      <formula>AND(IF($Q186=3,1,0),IF($X186&lt;30,1,0))</formula>
    </cfRule>
    <cfRule type="expression" dxfId="5518" priority="1034">
      <formula>AND(IF($Q186=3,1,IF($Q186=4,1,0)),IF($F186&lt;=85,1,0))</formula>
    </cfRule>
  </conditionalFormatting>
  <conditionalFormatting sqref="AI186">
    <cfRule type="expression" dxfId="5517" priority="1027">
      <formula>AND(IF(OR($Q186=1,$Q186=2),1,0),IF($X186&lt;=20,1,0))</formula>
    </cfRule>
    <cfRule type="expression" dxfId="5516" priority="1028">
      <formula>AND(IF($Q186=2,1,0),IF($X186&lt;30,1,0))</formula>
    </cfRule>
    <cfRule type="expression" dxfId="5515" priority="1029">
      <formula>AND(IF($Q186=3,1,0),IF($X186&lt;30,1,0))</formula>
    </cfRule>
    <cfRule type="expression" dxfId="5514" priority="1030">
      <formula>AND(IF($Q186=3,1,IF($Q186=4,1,0)),IF($F186&lt;=85,1,0))</formula>
    </cfRule>
  </conditionalFormatting>
  <conditionalFormatting sqref="AV187">
    <cfRule type="expression" dxfId="5513" priority="1025">
      <formula>AV187="X"</formula>
    </cfRule>
    <cfRule type="expression" dxfId="5512" priority="1026">
      <formula>AV187="후보"</formula>
    </cfRule>
  </conditionalFormatting>
  <conditionalFormatting sqref="AC187">
    <cfRule type="cellIs" dxfId="5511" priority="1023" operator="greaterThan">
      <formula>0.9</formula>
    </cfRule>
    <cfRule type="cellIs" dxfId="5510" priority="1024" operator="greaterThan">
      <formula>0.85</formula>
    </cfRule>
  </conditionalFormatting>
  <conditionalFormatting sqref="N187">
    <cfRule type="cellIs" dxfId="5509" priority="1021" operator="greaterThan">
      <formula>0.9</formula>
    </cfRule>
    <cfRule type="cellIs" dxfId="5508" priority="1022" operator="greaterThan">
      <formula>0.85</formula>
    </cfRule>
  </conditionalFormatting>
  <conditionalFormatting sqref="E187">
    <cfRule type="expression" dxfId="5507" priority="1017">
      <formula>AND(IF(OR($Q187=1,$Q187=2),1,0),IF($X187&lt;=20,1,0))</formula>
    </cfRule>
    <cfRule type="expression" dxfId="5506" priority="1018">
      <formula>AND(IF($Q187=2,1,0),IF($X187&lt;30,1,0))</formula>
    </cfRule>
    <cfRule type="expression" dxfId="5505" priority="1019">
      <formula>AND(IF($Q187=3,1,0),IF($X187&lt;30,1,0))</formula>
    </cfRule>
    <cfRule type="expression" dxfId="5504" priority="1020">
      <formula>AND(IF($Q187=3,1,IF($Q187=4,1,0)),IF($F187&lt;=85,1,0))</formula>
    </cfRule>
  </conditionalFormatting>
  <conditionalFormatting sqref="X187">
    <cfRule type="expression" dxfId="5503" priority="1013">
      <formula>AND(IF(OR($Q187=1,$Q187=2),1,0),IF($X187&lt;=20,1,0))</formula>
    </cfRule>
    <cfRule type="expression" dxfId="5502" priority="1014">
      <formula>AND(IF($Q187=2,1,0),IF($X187&lt;30,1,0))</formula>
    </cfRule>
    <cfRule type="expression" dxfId="5501" priority="1015">
      <formula>AND(IF($Q187=3,1,0),IF($X187&lt;30,1,0))</formula>
    </cfRule>
    <cfRule type="expression" dxfId="5500" priority="1016">
      <formula>AND(IF($Q187=3,1,IF($Q187=4,1,0)),IF($F187&lt;=85,1,0))</formula>
    </cfRule>
  </conditionalFormatting>
  <conditionalFormatting sqref="AI187">
    <cfRule type="expression" dxfId="5499" priority="1009">
      <formula>AND(IF(OR($Q187=1,$Q187=2),1,0),IF($X187&lt;=20,1,0))</formula>
    </cfRule>
    <cfRule type="expression" dxfId="5498" priority="1010">
      <formula>AND(IF($Q187=2,1,0),IF($X187&lt;30,1,0))</formula>
    </cfRule>
    <cfRule type="expression" dxfId="5497" priority="1011">
      <formula>AND(IF($Q187=3,1,0),IF($X187&lt;30,1,0))</formula>
    </cfRule>
    <cfRule type="expression" dxfId="5496" priority="1012">
      <formula>AND(IF($Q187=3,1,IF($Q187=4,1,0)),IF($F187&lt;=85,1,0))</formula>
    </cfRule>
  </conditionalFormatting>
  <conditionalFormatting sqref="AV188">
    <cfRule type="expression" dxfId="5495" priority="1007">
      <formula>AV188="X"</formula>
    </cfRule>
    <cfRule type="expression" dxfId="5494" priority="1008">
      <formula>AV188="후보"</formula>
    </cfRule>
  </conditionalFormatting>
  <conditionalFormatting sqref="AC188">
    <cfRule type="cellIs" dxfId="5493" priority="1005" operator="greaterThan">
      <formula>0.9</formula>
    </cfRule>
    <cfRule type="cellIs" dxfId="5492" priority="1006" operator="greaterThan">
      <formula>0.85</formula>
    </cfRule>
  </conditionalFormatting>
  <conditionalFormatting sqref="N188">
    <cfRule type="cellIs" dxfId="5491" priority="1003" operator="greaterThan">
      <formula>0.9</formula>
    </cfRule>
    <cfRule type="cellIs" dxfId="5490" priority="1004" operator="greaterThan">
      <formula>0.85</formula>
    </cfRule>
  </conditionalFormatting>
  <conditionalFormatting sqref="E188">
    <cfRule type="expression" dxfId="5489" priority="999">
      <formula>AND(IF(OR($Q188=1,$Q188=2),1,0),IF($X188&lt;=20,1,0))</formula>
    </cfRule>
    <cfRule type="expression" dxfId="5488" priority="1000">
      <formula>AND(IF($Q188=2,1,0),IF($X188&lt;30,1,0))</formula>
    </cfRule>
    <cfRule type="expression" dxfId="5487" priority="1001">
      <formula>AND(IF($Q188=3,1,0),IF($X188&lt;30,1,0))</formula>
    </cfRule>
    <cfRule type="expression" dxfId="5486" priority="1002">
      <formula>AND(IF($Q188=3,1,IF($Q188=4,1,0)),IF($F188&lt;=85,1,0))</formula>
    </cfRule>
  </conditionalFormatting>
  <conditionalFormatting sqref="X188">
    <cfRule type="expression" dxfId="5485" priority="995">
      <formula>AND(IF(OR($Q188=1,$Q188=2),1,0),IF($X188&lt;=20,1,0))</formula>
    </cfRule>
    <cfRule type="expression" dxfId="5484" priority="996">
      <formula>AND(IF($Q188=2,1,0),IF($X188&lt;30,1,0))</formula>
    </cfRule>
    <cfRule type="expression" dxfId="5483" priority="997">
      <formula>AND(IF($Q188=3,1,0),IF($X188&lt;30,1,0))</formula>
    </cfRule>
    <cfRule type="expression" dxfId="5482" priority="998">
      <formula>AND(IF($Q188=3,1,IF($Q188=4,1,0)),IF($F188&lt;=85,1,0))</formula>
    </cfRule>
  </conditionalFormatting>
  <conditionalFormatting sqref="AI188">
    <cfRule type="expression" dxfId="5481" priority="991">
      <formula>AND(IF(OR($Q188=1,$Q188=2),1,0),IF($X188&lt;=20,1,0))</formula>
    </cfRule>
    <cfRule type="expression" dxfId="5480" priority="992">
      <formula>AND(IF($Q188=2,1,0),IF($X188&lt;30,1,0))</formula>
    </cfRule>
    <cfRule type="expression" dxfId="5479" priority="993">
      <formula>AND(IF($Q188=3,1,0),IF($X188&lt;30,1,0))</formula>
    </cfRule>
    <cfRule type="expression" dxfId="5478" priority="994">
      <formula>AND(IF($Q188=3,1,IF($Q188=4,1,0)),IF($F188&lt;=85,1,0))</formula>
    </cfRule>
  </conditionalFormatting>
  <conditionalFormatting sqref="AV189">
    <cfRule type="expression" dxfId="5477" priority="989">
      <formula>AV189="X"</formula>
    </cfRule>
    <cfRule type="expression" dxfId="5476" priority="990">
      <formula>AV189="후보"</formula>
    </cfRule>
  </conditionalFormatting>
  <conditionalFormatting sqref="AC189">
    <cfRule type="cellIs" dxfId="5475" priority="987" operator="greaterThan">
      <formula>0.9</formula>
    </cfRule>
    <cfRule type="cellIs" dxfId="5474" priority="988" operator="greaterThan">
      <formula>0.85</formula>
    </cfRule>
  </conditionalFormatting>
  <conditionalFormatting sqref="N189">
    <cfRule type="cellIs" dxfId="5473" priority="985" operator="greaterThan">
      <formula>0.9</formula>
    </cfRule>
    <cfRule type="cellIs" dxfId="5472" priority="986" operator="greaterThan">
      <formula>0.85</formula>
    </cfRule>
  </conditionalFormatting>
  <conditionalFormatting sqref="E189">
    <cfRule type="expression" dxfId="5471" priority="981">
      <formula>AND(IF(OR($Q189=1,$Q189=2),1,0),IF($X189&lt;=20,1,0))</formula>
    </cfRule>
    <cfRule type="expression" dxfId="5470" priority="982">
      <formula>AND(IF($Q189=2,1,0),IF($X189&lt;30,1,0))</formula>
    </cfRule>
    <cfRule type="expression" dxfId="5469" priority="983">
      <formula>AND(IF($Q189=3,1,0),IF($X189&lt;30,1,0))</formula>
    </cfRule>
    <cfRule type="expression" dxfId="5468" priority="984">
      <formula>AND(IF($Q189=3,1,IF($Q189=4,1,0)),IF($F189&lt;=85,1,0))</formula>
    </cfRule>
  </conditionalFormatting>
  <conditionalFormatting sqref="X189">
    <cfRule type="expression" dxfId="5467" priority="977">
      <formula>AND(IF(OR($Q189=1,$Q189=2),1,0),IF($X189&lt;=20,1,0))</formula>
    </cfRule>
    <cfRule type="expression" dxfId="5466" priority="978">
      <formula>AND(IF($Q189=2,1,0),IF($X189&lt;30,1,0))</formula>
    </cfRule>
    <cfRule type="expression" dxfId="5465" priority="979">
      <formula>AND(IF($Q189=3,1,0),IF($X189&lt;30,1,0))</formula>
    </cfRule>
    <cfRule type="expression" dxfId="5464" priority="980">
      <formula>AND(IF($Q189=3,1,IF($Q189=4,1,0)),IF($F189&lt;=85,1,0))</formula>
    </cfRule>
  </conditionalFormatting>
  <conditionalFormatting sqref="AI189">
    <cfRule type="expression" dxfId="5463" priority="973">
      <formula>AND(IF(OR($Q189=1,$Q189=2),1,0),IF($X189&lt;=20,1,0))</formula>
    </cfRule>
    <cfRule type="expression" dxfId="5462" priority="974">
      <formula>AND(IF($Q189=2,1,0),IF($X189&lt;30,1,0))</formula>
    </cfRule>
    <cfRule type="expression" dxfId="5461" priority="975">
      <formula>AND(IF($Q189=3,1,0),IF($X189&lt;30,1,0))</formula>
    </cfRule>
    <cfRule type="expression" dxfId="5460" priority="976">
      <formula>AND(IF($Q189=3,1,IF($Q189=4,1,0)),IF($F189&lt;=85,1,0))</formula>
    </cfRule>
  </conditionalFormatting>
  <conditionalFormatting sqref="AV190">
    <cfRule type="expression" dxfId="5459" priority="971">
      <formula>AV190="X"</formula>
    </cfRule>
    <cfRule type="expression" dxfId="5458" priority="972">
      <formula>AV190="후보"</formula>
    </cfRule>
  </conditionalFormatting>
  <conditionalFormatting sqref="AC190">
    <cfRule type="cellIs" dxfId="5457" priority="969" operator="greaterThan">
      <formula>0.9</formula>
    </cfRule>
    <cfRule type="cellIs" dxfId="5456" priority="970" operator="greaterThan">
      <formula>0.85</formula>
    </cfRule>
  </conditionalFormatting>
  <conditionalFormatting sqref="N190">
    <cfRule type="cellIs" dxfId="5455" priority="967" operator="greaterThan">
      <formula>0.9</formula>
    </cfRule>
    <cfRule type="cellIs" dxfId="5454" priority="968" operator="greaterThan">
      <formula>0.85</formula>
    </cfRule>
  </conditionalFormatting>
  <conditionalFormatting sqref="E190">
    <cfRule type="expression" dxfId="5453" priority="963">
      <formula>AND(IF(OR($Q190=1,$Q190=2),1,0),IF($X190&lt;=20,1,0))</formula>
    </cfRule>
    <cfRule type="expression" dxfId="5452" priority="964">
      <formula>AND(IF($Q190=2,1,0),IF($X190&lt;30,1,0))</formula>
    </cfRule>
    <cfRule type="expression" dxfId="5451" priority="965">
      <formula>AND(IF($Q190=3,1,0),IF($X190&lt;30,1,0))</formula>
    </cfRule>
    <cfRule type="expression" dxfId="5450" priority="966">
      <formula>AND(IF($Q190=3,1,IF($Q190=4,1,0)),IF($F190&lt;=85,1,0))</formula>
    </cfRule>
  </conditionalFormatting>
  <conditionalFormatting sqref="X190">
    <cfRule type="expression" dxfId="5449" priority="959">
      <formula>AND(IF(OR($Q190=1,$Q190=2),1,0),IF($X190&lt;=20,1,0))</formula>
    </cfRule>
    <cfRule type="expression" dxfId="5448" priority="960">
      <formula>AND(IF($Q190=2,1,0),IF($X190&lt;30,1,0))</formula>
    </cfRule>
    <cfRule type="expression" dxfId="5447" priority="961">
      <formula>AND(IF($Q190=3,1,0),IF($X190&lt;30,1,0))</formula>
    </cfRule>
    <cfRule type="expression" dxfId="5446" priority="962">
      <formula>AND(IF($Q190=3,1,IF($Q190=4,1,0)),IF($F190&lt;=85,1,0))</formula>
    </cfRule>
  </conditionalFormatting>
  <conditionalFormatting sqref="AI190">
    <cfRule type="expression" dxfId="5445" priority="955">
      <formula>AND(IF(OR($Q190=1,$Q190=2),1,0),IF($X190&lt;=20,1,0))</formula>
    </cfRule>
    <cfRule type="expression" dxfId="5444" priority="956">
      <formula>AND(IF($Q190=2,1,0),IF($X190&lt;30,1,0))</formula>
    </cfRule>
    <cfRule type="expression" dxfId="5443" priority="957">
      <formula>AND(IF($Q190=3,1,0),IF($X190&lt;30,1,0))</formula>
    </cfRule>
    <cfRule type="expression" dxfId="5442" priority="958">
      <formula>AND(IF($Q190=3,1,IF($Q190=4,1,0)),IF($F190&lt;=85,1,0))</formula>
    </cfRule>
  </conditionalFormatting>
  <conditionalFormatting sqref="AV191">
    <cfRule type="expression" dxfId="5441" priority="953">
      <formula>AV191="X"</formula>
    </cfRule>
    <cfRule type="expression" dxfId="5440" priority="954">
      <formula>AV191="후보"</formula>
    </cfRule>
  </conditionalFormatting>
  <conditionalFormatting sqref="AC191">
    <cfRule type="cellIs" dxfId="5439" priority="951" operator="greaterThan">
      <formula>0.9</formula>
    </cfRule>
    <cfRule type="cellIs" dxfId="5438" priority="952" operator="greaterThan">
      <formula>0.85</formula>
    </cfRule>
  </conditionalFormatting>
  <conditionalFormatting sqref="N191">
    <cfRule type="cellIs" dxfId="5437" priority="949" operator="greaterThan">
      <formula>0.9</formula>
    </cfRule>
    <cfRule type="cellIs" dxfId="5436" priority="950" operator="greaterThan">
      <formula>0.85</formula>
    </cfRule>
  </conditionalFormatting>
  <conditionalFormatting sqref="E191">
    <cfRule type="expression" dxfId="5435" priority="945">
      <formula>AND(IF(OR($Q191=1,$Q191=2),1,0),IF($X191&lt;=20,1,0))</formula>
    </cfRule>
    <cfRule type="expression" dxfId="5434" priority="946">
      <formula>AND(IF($Q191=2,1,0),IF($X191&lt;30,1,0))</formula>
    </cfRule>
    <cfRule type="expression" dxfId="5433" priority="947">
      <formula>AND(IF($Q191=3,1,0),IF($X191&lt;30,1,0))</formula>
    </cfRule>
    <cfRule type="expression" dxfId="5432" priority="948">
      <formula>AND(IF($Q191=3,1,IF($Q191=4,1,0)),IF($F191&lt;=85,1,0))</formula>
    </cfRule>
  </conditionalFormatting>
  <conditionalFormatting sqref="X191">
    <cfRule type="expression" dxfId="5431" priority="941">
      <formula>AND(IF(OR($Q191=1,$Q191=2),1,0),IF($X191&lt;=20,1,0))</formula>
    </cfRule>
    <cfRule type="expression" dxfId="5430" priority="942">
      <formula>AND(IF($Q191=2,1,0),IF($X191&lt;30,1,0))</formula>
    </cfRule>
    <cfRule type="expression" dxfId="5429" priority="943">
      <formula>AND(IF($Q191=3,1,0),IF($X191&lt;30,1,0))</formula>
    </cfRule>
    <cfRule type="expression" dxfId="5428" priority="944">
      <formula>AND(IF($Q191=3,1,IF($Q191=4,1,0)),IF($F191&lt;=85,1,0))</formula>
    </cfRule>
  </conditionalFormatting>
  <conditionalFormatting sqref="AI191">
    <cfRule type="expression" dxfId="5427" priority="937">
      <formula>AND(IF(OR($Q191=1,$Q191=2),1,0),IF($X191&lt;=20,1,0))</formula>
    </cfRule>
    <cfRule type="expression" dxfId="5426" priority="938">
      <formula>AND(IF($Q191=2,1,0),IF($X191&lt;30,1,0))</formula>
    </cfRule>
    <cfRule type="expression" dxfId="5425" priority="939">
      <formula>AND(IF($Q191=3,1,0),IF($X191&lt;30,1,0))</formula>
    </cfRule>
    <cfRule type="expression" dxfId="5424" priority="940">
      <formula>AND(IF($Q191=3,1,IF($Q191=4,1,0)),IF($F191&lt;=85,1,0))</formula>
    </cfRule>
  </conditionalFormatting>
  <conditionalFormatting sqref="AV192">
    <cfRule type="expression" dxfId="5423" priority="935">
      <formula>AV192="X"</formula>
    </cfRule>
    <cfRule type="expression" dxfId="5422" priority="936">
      <formula>AV192="후보"</formula>
    </cfRule>
  </conditionalFormatting>
  <conditionalFormatting sqref="AC192">
    <cfRule type="cellIs" dxfId="5421" priority="933" operator="greaterThan">
      <formula>0.9</formula>
    </cfRule>
    <cfRule type="cellIs" dxfId="5420" priority="934" operator="greaterThan">
      <formula>0.85</formula>
    </cfRule>
  </conditionalFormatting>
  <conditionalFormatting sqref="N192">
    <cfRule type="cellIs" dxfId="5419" priority="931" operator="greaterThan">
      <formula>0.9</formula>
    </cfRule>
    <cfRule type="cellIs" dxfId="5418" priority="932" operator="greaterThan">
      <formula>0.85</formula>
    </cfRule>
  </conditionalFormatting>
  <conditionalFormatting sqref="E192">
    <cfRule type="expression" dxfId="5417" priority="927">
      <formula>AND(IF(OR($Q192=1,$Q192=2),1,0),IF($X192&lt;=20,1,0))</formula>
    </cfRule>
    <cfRule type="expression" dxfId="5416" priority="928">
      <formula>AND(IF($Q192=2,1,0),IF($X192&lt;30,1,0))</formula>
    </cfRule>
    <cfRule type="expression" dxfId="5415" priority="929">
      <formula>AND(IF($Q192=3,1,0),IF($X192&lt;30,1,0))</formula>
    </cfRule>
    <cfRule type="expression" dxfId="5414" priority="930">
      <formula>AND(IF($Q192=3,1,IF($Q192=4,1,0)),IF($F192&lt;=85,1,0))</formula>
    </cfRule>
  </conditionalFormatting>
  <conditionalFormatting sqref="X192">
    <cfRule type="expression" dxfId="5413" priority="923">
      <formula>AND(IF(OR($Q192=1,$Q192=2),1,0),IF($X192&lt;=20,1,0))</formula>
    </cfRule>
    <cfRule type="expression" dxfId="5412" priority="924">
      <formula>AND(IF($Q192=2,1,0),IF($X192&lt;30,1,0))</formula>
    </cfRule>
    <cfRule type="expression" dxfId="5411" priority="925">
      <formula>AND(IF($Q192=3,1,0),IF($X192&lt;30,1,0))</formula>
    </cfRule>
    <cfRule type="expression" dxfId="5410" priority="926">
      <formula>AND(IF($Q192=3,1,IF($Q192=4,1,0)),IF($F192&lt;=85,1,0))</formula>
    </cfRule>
  </conditionalFormatting>
  <conditionalFormatting sqref="AI192">
    <cfRule type="expression" dxfId="5409" priority="919">
      <formula>AND(IF(OR($Q192=1,$Q192=2),1,0),IF($X192&lt;=20,1,0))</formula>
    </cfRule>
    <cfRule type="expression" dxfId="5408" priority="920">
      <formula>AND(IF($Q192=2,1,0),IF($X192&lt;30,1,0))</formula>
    </cfRule>
    <cfRule type="expression" dxfId="5407" priority="921">
      <formula>AND(IF($Q192=3,1,0),IF($X192&lt;30,1,0))</formula>
    </cfRule>
    <cfRule type="expression" dxfId="5406" priority="922">
      <formula>AND(IF($Q192=3,1,IF($Q192=4,1,0)),IF($F192&lt;=85,1,0))</formula>
    </cfRule>
  </conditionalFormatting>
  <conditionalFormatting sqref="AV193">
    <cfRule type="expression" dxfId="5405" priority="917">
      <formula>AV193="X"</formula>
    </cfRule>
    <cfRule type="expression" dxfId="5404" priority="918">
      <formula>AV193="후보"</formula>
    </cfRule>
  </conditionalFormatting>
  <conditionalFormatting sqref="AC193">
    <cfRule type="cellIs" dxfId="5403" priority="915" operator="greaterThan">
      <formula>0.9</formula>
    </cfRule>
    <cfRule type="cellIs" dxfId="5402" priority="916" operator="greaterThan">
      <formula>0.85</formula>
    </cfRule>
  </conditionalFormatting>
  <conditionalFormatting sqref="N193">
    <cfRule type="cellIs" dxfId="5401" priority="913" operator="greaterThan">
      <formula>0.9</formula>
    </cfRule>
    <cfRule type="cellIs" dxfId="5400" priority="914" operator="greaterThan">
      <formula>0.85</formula>
    </cfRule>
  </conditionalFormatting>
  <conditionalFormatting sqref="E193">
    <cfRule type="expression" dxfId="5399" priority="909">
      <formula>AND(IF(OR($Q193=1,$Q193=2),1,0),IF($X193&lt;=20,1,0))</formula>
    </cfRule>
    <cfRule type="expression" dxfId="5398" priority="910">
      <formula>AND(IF($Q193=2,1,0),IF($X193&lt;30,1,0))</formula>
    </cfRule>
    <cfRule type="expression" dxfId="5397" priority="911">
      <formula>AND(IF($Q193=3,1,0),IF($X193&lt;30,1,0))</formula>
    </cfRule>
    <cfRule type="expression" dxfId="5396" priority="912">
      <formula>AND(IF($Q193=3,1,IF($Q193=4,1,0)),IF($F193&lt;=85,1,0))</formula>
    </cfRule>
  </conditionalFormatting>
  <conditionalFormatting sqref="X193">
    <cfRule type="expression" dxfId="5395" priority="905">
      <formula>AND(IF(OR($Q193=1,$Q193=2),1,0),IF($X193&lt;=20,1,0))</formula>
    </cfRule>
    <cfRule type="expression" dxfId="5394" priority="906">
      <formula>AND(IF($Q193=2,1,0),IF($X193&lt;30,1,0))</formula>
    </cfRule>
    <cfRule type="expression" dxfId="5393" priority="907">
      <formula>AND(IF($Q193=3,1,0),IF($X193&lt;30,1,0))</formula>
    </cfRule>
    <cfRule type="expression" dxfId="5392" priority="908">
      <formula>AND(IF($Q193=3,1,IF($Q193=4,1,0)),IF($F193&lt;=85,1,0))</formula>
    </cfRule>
  </conditionalFormatting>
  <conditionalFormatting sqref="AI193">
    <cfRule type="expression" dxfId="5391" priority="901">
      <formula>AND(IF(OR($Q193=1,$Q193=2),1,0),IF($X193&lt;=20,1,0))</formula>
    </cfRule>
    <cfRule type="expression" dxfId="5390" priority="902">
      <formula>AND(IF($Q193=2,1,0),IF($X193&lt;30,1,0))</formula>
    </cfRule>
    <cfRule type="expression" dxfId="5389" priority="903">
      <formula>AND(IF($Q193=3,1,0),IF($X193&lt;30,1,0))</formula>
    </cfRule>
    <cfRule type="expression" dxfId="5388" priority="904">
      <formula>AND(IF($Q193=3,1,IF($Q193=4,1,0)),IF($F193&lt;=85,1,0))</formula>
    </cfRule>
  </conditionalFormatting>
  <conditionalFormatting sqref="AV194">
    <cfRule type="expression" dxfId="5387" priority="899">
      <formula>AV194="X"</formula>
    </cfRule>
    <cfRule type="expression" dxfId="5386" priority="900">
      <formula>AV194="후보"</formula>
    </cfRule>
  </conditionalFormatting>
  <conditionalFormatting sqref="AC194">
    <cfRule type="cellIs" dxfId="5385" priority="897" operator="greaterThan">
      <formula>0.9</formula>
    </cfRule>
    <cfRule type="cellIs" dxfId="5384" priority="898" operator="greaterThan">
      <formula>0.85</formula>
    </cfRule>
  </conditionalFormatting>
  <conditionalFormatting sqref="N194">
    <cfRule type="cellIs" dxfId="5383" priority="895" operator="greaterThan">
      <formula>0.9</formula>
    </cfRule>
    <cfRule type="cellIs" dxfId="5382" priority="896" operator="greaterThan">
      <formula>0.85</formula>
    </cfRule>
  </conditionalFormatting>
  <conditionalFormatting sqref="E194">
    <cfRule type="expression" dxfId="5381" priority="891">
      <formula>AND(IF(OR($Q194=1,$Q194=2),1,0),IF($X194&lt;=20,1,0))</formula>
    </cfRule>
    <cfRule type="expression" dxfId="5380" priority="892">
      <formula>AND(IF($Q194=2,1,0),IF($X194&lt;30,1,0))</formula>
    </cfRule>
    <cfRule type="expression" dxfId="5379" priority="893">
      <formula>AND(IF($Q194=3,1,0),IF($X194&lt;30,1,0))</formula>
    </cfRule>
    <cfRule type="expression" dxfId="5378" priority="894">
      <formula>AND(IF($Q194=3,1,IF($Q194=4,1,0)),IF($F194&lt;=85,1,0))</formula>
    </cfRule>
  </conditionalFormatting>
  <conditionalFormatting sqref="X194">
    <cfRule type="expression" dxfId="5377" priority="887">
      <formula>AND(IF(OR($Q194=1,$Q194=2),1,0),IF($X194&lt;=20,1,0))</formula>
    </cfRule>
    <cfRule type="expression" dxfId="5376" priority="888">
      <formula>AND(IF($Q194=2,1,0),IF($X194&lt;30,1,0))</formula>
    </cfRule>
    <cfRule type="expression" dxfId="5375" priority="889">
      <formula>AND(IF($Q194=3,1,0),IF($X194&lt;30,1,0))</formula>
    </cfRule>
    <cfRule type="expression" dxfId="5374" priority="890">
      <formula>AND(IF($Q194=3,1,IF($Q194=4,1,0)),IF($F194&lt;=85,1,0))</formula>
    </cfRule>
  </conditionalFormatting>
  <conditionalFormatting sqref="AI194">
    <cfRule type="expression" dxfId="5373" priority="883">
      <formula>AND(IF(OR($Q194=1,$Q194=2),1,0),IF($X194&lt;=20,1,0))</formula>
    </cfRule>
    <cfRule type="expression" dxfId="5372" priority="884">
      <formula>AND(IF($Q194=2,1,0),IF($X194&lt;30,1,0))</formula>
    </cfRule>
    <cfRule type="expression" dxfId="5371" priority="885">
      <formula>AND(IF($Q194=3,1,0),IF($X194&lt;30,1,0))</formula>
    </cfRule>
    <cfRule type="expression" dxfId="5370" priority="886">
      <formula>AND(IF($Q194=3,1,IF($Q194=4,1,0)),IF($F194&lt;=85,1,0))</formula>
    </cfRule>
  </conditionalFormatting>
  <conditionalFormatting sqref="AV195">
    <cfRule type="expression" dxfId="5369" priority="881">
      <formula>AV195="X"</formula>
    </cfRule>
    <cfRule type="expression" dxfId="5368" priority="882">
      <formula>AV195="후보"</formula>
    </cfRule>
  </conditionalFormatting>
  <conditionalFormatting sqref="AC195">
    <cfRule type="cellIs" dxfId="5367" priority="879" operator="greaterThan">
      <formula>0.9</formula>
    </cfRule>
    <cfRule type="cellIs" dxfId="5366" priority="880" operator="greaterThan">
      <formula>0.85</formula>
    </cfRule>
  </conditionalFormatting>
  <conditionalFormatting sqref="N195">
    <cfRule type="cellIs" dxfId="5365" priority="877" operator="greaterThan">
      <formula>0.9</formula>
    </cfRule>
    <cfRule type="cellIs" dxfId="5364" priority="878" operator="greaterThan">
      <formula>0.85</formula>
    </cfRule>
  </conditionalFormatting>
  <conditionalFormatting sqref="E195">
    <cfRule type="expression" dxfId="5363" priority="873">
      <formula>AND(IF(OR($Q195=1,$Q195=2),1,0),IF($X195&lt;=20,1,0))</formula>
    </cfRule>
    <cfRule type="expression" dxfId="5362" priority="874">
      <formula>AND(IF($Q195=2,1,0),IF($X195&lt;30,1,0))</formula>
    </cfRule>
    <cfRule type="expression" dxfId="5361" priority="875">
      <formula>AND(IF($Q195=3,1,0),IF($X195&lt;30,1,0))</formula>
    </cfRule>
    <cfRule type="expression" dxfId="5360" priority="876">
      <formula>AND(IF($Q195=3,1,IF($Q195=4,1,0)),IF($F195&lt;=85,1,0))</formula>
    </cfRule>
  </conditionalFormatting>
  <conditionalFormatting sqref="X195">
    <cfRule type="expression" dxfId="5359" priority="869">
      <formula>AND(IF(OR($Q195=1,$Q195=2),1,0),IF($X195&lt;=20,1,0))</formula>
    </cfRule>
    <cfRule type="expression" dxfId="5358" priority="870">
      <formula>AND(IF($Q195=2,1,0),IF($X195&lt;30,1,0))</formula>
    </cfRule>
    <cfRule type="expression" dxfId="5357" priority="871">
      <formula>AND(IF($Q195=3,1,0),IF($X195&lt;30,1,0))</formula>
    </cfRule>
    <cfRule type="expression" dxfId="5356" priority="872">
      <formula>AND(IF($Q195=3,1,IF($Q195=4,1,0)),IF($F195&lt;=85,1,0))</formula>
    </cfRule>
  </conditionalFormatting>
  <conditionalFormatting sqref="AI195">
    <cfRule type="expression" dxfId="5355" priority="865">
      <formula>AND(IF(OR($Q195=1,$Q195=2),1,0),IF($X195&lt;=20,1,0))</formula>
    </cfRule>
    <cfRule type="expression" dxfId="5354" priority="866">
      <formula>AND(IF($Q195=2,1,0),IF($X195&lt;30,1,0))</formula>
    </cfRule>
    <cfRule type="expression" dxfId="5353" priority="867">
      <formula>AND(IF($Q195=3,1,0),IF($X195&lt;30,1,0))</formula>
    </cfRule>
    <cfRule type="expression" dxfId="5352" priority="868">
      <formula>AND(IF($Q195=3,1,IF($Q195=4,1,0)),IF($F195&lt;=85,1,0))</formula>
    </cfRule>
  </conditionalFormatting>
  <conditionalFormatting sqref="AV196">
    <cfRule type="expression" dxfId="5351" priority="863">
      <formula>AV196="X"</formula>
    </cfRule>
    <cfRule type="expression" dxfId="5350" priority="864">
      <formula>AV196="후보"</formula>
    </cfRule>
  </conditionalFormatting>
  <conditionalFormatting sqref="AC196">
    <cfRule type="cellIs" dxfId="5349" priority="861" operator="greaterThan">
      <formula>0.9</formula>
    </cfRule>
    <cfRule type="cellIs" dxfId="5348" priority="862" operator="greaterThan">
      <formula>0.85</formula>
    </cfRule>
  </conditionalFormatting>
  <conditionalFormatting sqref="N196">
    <cfRule type="cellIs" dxfId="5347" priority="859" operator="greaterThan">
      <formula>0.9</formula>
    </cfRule>
    <cfRule type="cellIs" dxfId="5346" priority="860" operator="greaterThan">
      <formula>0.85</formula>
    </cfRule>
  </conditionalFormatting>
  <conditionalFormatting sqref="E196">
    <cfRule type="expression" dxfId="5345" priority="855">
      <formula>AND(IF(OR($Q196=1,$Q196=2),1,0),IF($X196&lt;=20,1,0))</formula>
    </cfRule>
    <cfRule type="expression" dxfId="5344" priority="856">
      <formula>AND(IF($Q196=2,1,0),IF($X196&lt;30,1,0))</formula>
    </cfRule>
    <cfRule type="expression" dxfId="5343" priority="857">
      <formula>AND(IF($Q196=3,1,0),IF($X196&lt;30,1,0))</formula>
    </cfRule>
    <cfRule type="expression" dxfId="5342" priority="858">
      <formula>AND(IF($Q196=3,1,IF($Q196=4,1,0)),IF($F196&lt;=85,1,0))</formula>
    </cfRule>
  </conditionalFormatting>
  <conditionalFormatting sqref="X196">
    <cfRule type="expression" dxfId="5341" priority="851">
      <formula>AND(IF(OR($Q196=1,$Q196=2),1,0),IF($X196&lt;=20,1,0))</formula>
    </cfRule>
    <cfRule type="expression" dxfId="5340" priority="852">
      <formula>AND(IF($Q196=2,1,0),IF($X196&lt;30,1,0))</formula>
    </cfRule>
    <cfRule type="expression" dxfId="5339" priority="853">
      <formula>AND(IF($Q196=3,1,0),IF($X196&lt;30,1,0))</formula>
    </cfRule>
    <cfRule type="expression" dxfId="5338" priority="854">
      <formula>AND(IF($Q196=3,1,IF($Q196=4,1,0)),IF($F196&lt;=85,1,0))</formula>
    </cfRule>
  </conditionalFormatting>
  <conditionalFormatting sqref="AI196">
    <cfRule type="expression" dxfId="5337" priority="847">
      <formula>AND(IF(OR($Q196=1,$Q196=2),1,0),IF($X196&lt;=20,1,0))</formula>
    </cfRule>
    <cfRule type="expression" dxfId="5336" priority="848">
      <formula>AND(IF($Q196=2,1,0),IF($X196&lt;30,1,0))</formula>
    </cfRule>
    <cfRule type="expression" dxfId="5335" priority="849">
      <formula>AND(IF($Q196=3,1,0),IF($X196&lt;30,1,0))</formula>
    </cfRule>
    <cfRule type="expression" dxfId="5334" priority="850">
      <formula>AND(IF($Q196=3,1,IF($Q196=4,1,0)),IF($F196&lt;=85,1,0))</formula>
    </cfRule>
  </conditionalFormatting>
  <conditionalFormatting sqref="AV197">
    <cfRule type="expression" dxfId="5333" priority="845">
      <formula>AV197="X"</formula>
    </cfRule>
    <cfRule type="expression" dxfId="5332" priority="846">
      <formula>AV197="후보"</formula>
    </cfRule>
  </conditionalFormatting>
  <conditionalFormatting sqref="AC197">
    <cfRule type="cellIs" dxfId="5331" priority="843" operator="greaterThan">
      <formula>0.9</formula>
    </cfRule>
    <cfRule type="cellIs" dxfId="5330" priority="844" operator="greaterThan">
      <formula>0.85</formula>
    </cfRule>
  </conditionalFormatting>
  <conditionalFormatting sqref="N197">
    <cfRule type="cellIs" dxfId="5329" priority="841" operator="greaterThan">
      <formula>0.9</formula>
    </cfRule>
    <cfRule type="cellIs" dxfId="5328" priority="842" operator="greaterThan">
      <formula>0.85</formula>
    </cfRule>
  </conditionalFormatting>
  <conditionalFormatting sqref="E197">
    <cfRule type="expression" dxfId="5327" priority="837">
      <formula>AND(IF(OR($Q197=1,$Q197=2),1,0),IF($X197&lt;=20,1,0))</formula>
    </cfRule>
    <cfRule type="expression" dxfId="5326" priority="838">
      <formula>AND(IF($Q197=2,1,0),IF($X197&lt;30,1,0))</formula>
    </cfRule>
    <cfRule type="expression" dxfId="5325" priority="839">
      <formula>AND(IF($Q197=3,1,0),IF($X197&lt;30,1,0))</formula>
    </cfRule>
    <cfRule type="expression" dxfId="5324" priority="840">
      <formula>AND(IF($Q197=3,1,IF($Q197=4,1,0)),IF($F197&lt;=85,1,0))</formula>
    </cfRule>
  </conditionalFormatting>
  <conditionalFormatting sqref="X197">
    <cfRule type="expression" dxfId="5323" priority="833">
      <formula>AND(IF(OR($Q197=1,$Q197=2),1,0),IF($X197&lt;=20,1,0))</formula>
    </cfRule>
    <cfRule type="expression" dxfId="5322" priority="834">
      <formula>AND(IF($Q197=2,1,0),IF($X197&lt;30,1,0))</formula>
    </cfRule>
    <cfRule type="expression" dxfId="5321" priority="835">
      <formula>AND(IF($Q197=3,1,0),IF($X197&lt;30,1,0))</formula>
    </cfRule>
    <cfRule type="expression" dxfId="5320" priority="836">
      <formula>AND(IF($Q197=3,1,IF($Q197=4,1,0)),IF($F197&lt;=85,1,0))</formula>
    </cfRule>
  </conditionalFormatting>
  <conditionalFormatting sqref="AI197">
    <cfRule type="expression" dxfId="5319" priority="829">
      <formula>AND(IF(OR($Q197=1,$Q197=2),1,0),IF($X197&lt;=20,1,0))</formula>
    </cfRule>
    <cfRule type="expression" dxfId="5318" priority="830">
      <formula>AND(IF($Q197=2,1,0),IF($X197&lt;30,1,0))</formula>
    </cfRule>
    <cfRule type="expression" dxfId="5317" priority="831">
      <formula>AND(IF($Q197=3,1,0),IF($X197&lt;30,1,0))</formula>
    </cfRule>
    <cfRule type="expression" dxfId="5316" priority="832">
      <formula>AND(IF($Q197=3,1,IF($Q197=4,1,0)),IF($F197&lt;=85,1,0))</formula>
    </cfRule>
  </conditionalFormatting>
  <conditionalFormatting sqref="AV198">
    <cfRule type="expression" dxfId="5315" priority="827">
      <formula>AV198="X"</formula>
    </cfRule>
    <cfRule type="expression" dxfId="5314" priority="828">
      <formula>AV198="후보"</formula>
    </cfRule>
  </conditionalFormatting>
  <conditionalFormatting sqref="AC198">
    <cfRule type="cellIs" dxfId="5313" priority="825" operator="greaterThan">
      <formula>0.9</formula>
    </cfRule>
    <cfRule type="cellIs" dxfId="5312" priority="826" operator="greaterThan">
      <formula>0.85</formula>
    </cfRule>
  </conditionalFormatting>
  <conditionalFormatting sqref="N198">
    <cfRule type="cellIs" dxfId="5311" priority="823" operator="greaterThan">
      <formula>0.9</formula>
    </cfRule>
    <cfRule type="cellIs" dxfId="5310" priority="824" operator="greaterThan">
      <formula>0.85</formula>
    </cfRule>
  </conditionalFormatting>
  <conditionalFormatting sqref="E198">
    <cfRule type="expression" dxfId="5309" priority="819">
      <formula>AND(IF(OR($Q198=1,$Q198=2),1,0),IF($X198&lt;=20,1,0))</formula>
    </cfRule>
    <cfRule type="expression" dxfId="5308" priority="820">
      <formula>AND(IF($Q198=2,1,0),IF($X198&lt;30,1,0))</formula>
    </cfRule>
    <cfRule type="expression" dxfId="5307" priority="821">
      <formula>AND(IF($Q198=3,1,0),IF($X198&lt;30,1,0))</formula>
    </cfRule>
    <cfRule type="expression" dxfId="5306" priority="822">
      <formula>AND(IF($Q198=3,1,IF($Q198=4,1,0)),IF($F198&lt;=85,1,0))</formula>
    </cfRule>
  </conditionalFormatting>
  <conditionalFormatting sqref="X198">
    <cfRule type="expression" dxfId="5305" priority="815">
      <formula>AND(IF(OR($Q198=1,$Q198=2),1,0),IF($X198&lt;=20,1,0))</formula>
    </cfRule>
    <cfRule type="expression" dxfId="5304" priority="816">
      <formula>AND(IF($Q198=2,1,0),IF($X198&lt;30,1,0))</formula>
    </cfRule>
    <cfRule type="expression" dxfId="5303" priority="817">
      <formula>AND(IF($Q198=3,1,0),IF($X198&lt;30,1,0))</formula>
    </cfRule>
    <cfRule type="expression" dxfId="5302" priority="818">
      <formula>AND(IF($Q198=3,1,IF($Q198=4,1,0)),IF($F198&lt;=85,1,0))</formula>
    </cfRule>
  </conditionalFormatting>
  <conditionalFormatting sqref="AI198">
    <cfRule type="expression" dxfId="5301" priority="811">
      <formula>AND(IF(OR($Q198=1,$Q198=2),1,0),IF($X198&lt;=20,1,0))</formula>
    </cfRule>
    <cfRule type="expression" dxfId="5300" priority="812">
      <formula>AND(IF($Q198=2,1,0),IF($X198&lt;30,1,0))</formula>
    </cfRule>
    <cfRule type="expression" dxfId="5299" priority="813">
      <formula>AND(IF($Q198=3,1,0),IF($X198&lt;30,1,0))</formula>
    </cfRule>
    <cfRule type="expression" dxfId="5298" priority="814">
      <formula>AND(IF($Q198=3,1,IF($Q198=4,1,0)),IF($F198&lt;=85,1,0))</formula>
    </cfRule>
  </conditionalFormatting>
  <conditionalFormatting sqref="AV199">
    <cfRule type="expression" dxfId="5297" priority="809">
      <formula>AV199="X"</formula>
    </cfRule>
    <cfRule type="expression" dxfId="5296" priority="810">
      <formula>AV199="후보"</formula>
    </cfRule>
  </conditionalFormatting>
  <conditionalFormatting sqref="AC199">
    <cfRule type="cellIs" dxfId="5295" priority="807" operator="greaterThan">
      <formula>0.9</formula>
    </cfRule>
    <cfRule type="cellIs" dxfId="5294" priority="808" operator="greaterThan">
      <formula>0.85</formula>
    </cfRule>
  </conditionalFormatting>
  <conditionalFormatting sqref="N199">
    <cfRule type="cellIs" dxfId="5293" priority="805" operator="greaterThan">
      <formula>0.9</formula>
    </cfRule>
    <cfRule type="cellIs" dxfId="5292" priority="806" operator="greaterThan">
      <formula>0.85</formula>
    </cfRule>
  </conditionalFormatting>
  <conditionalFormatting sqref="E199">
    <cfRule type="expression" dxfId="5291" priority="801">
      <formula>AND(IF(OR($Q199=1,$Q199=2),1,0),IF($X199&lt;=20,1,0))</formula>
    </cfRule>
    <cfRule type="expression" dxfId="5290" priority="802">
      <formula>AND(IF($Q199=2,1,0),IF($X199&lt;30,1,0))</formula>
    </cfRule>
    <cfRule type="expression" dxfId="5289" priority="803">
      <formula>AND(IF($Q199=3,1,0),IF($X199&lt;30,1,0))</formula>
    </cfRule>
    <cfRule type="expression" dxfId="5288" priority="804">
      <formula>AND(IF($Q199=3,1,IF($Q199=4,1,0)),IF($F199&lt;=85,1,0))</formula>
    </cfRule>
  </conditionalFormatting>
  <conditionalFormatting sqref="X199">
    <cfRule type="expression" dxfId="5287" priority="797">
      <formula>AND(IF(OR($Q199=1,$Q199=2),1,0),IF($X199&lt;=20,1,0))</formula>
    </cfRule>
    <cfRule type="expression" dxfId="5286" priority="798">
      <formula>AND(IF($Q199=2,1,0),IF($X199&lt;30,1,0))</formula>
    </cfRule>
    <cfRule type="expression" dxfId="5285" priority="799">
      <formula>AND(IF($Q199=3,1,0),IF($X199&lt;30,1,0))</formula>
    </cfRule>
    <cfRule type="expression" dxfId="5284" priority="800">
      <formula>AND(IF($Q199=3,1,IF($Q199=4,1,0)),IF($F199&lt;=85,1,0))</formula>
    </cfRule>
  </conditionalFormatting>
  <conditionalFormatting sqref="AI199">
    <cfRule type="expression" dxfId="5283" priority="793">
      <formula>AND(IF(OR($Q199=1,$Q199=2),1,0),IF($X199&lt;=20,1,0))</formula>
    </cfRule>
    <cfRule type="expression" dxfId="5282" priority="794">
      <formula>AND(IF($Q199=2,1,0),IF($X199&lt;30,1,0))</formula>
    </cfRule>
    <cfRule type="expression" dxfId="5281" priority="795">
      <formula>AND(IF($Q199=3,1,0),IF($X199&lt;30,1,0))</formula>
    </cfRule>
    <cfRule type="expression" dxfId="5280" priority="796">
      <formula>AND(IF($Q199=3,1,IF($Q199=4,1,0)),IF($F199&lt;=85,1,0))</formula>
    </cfRule>
  </conditionalFormatting>
  <conditionalFormatting sqref="AV200">
    <cfRule type="expression" dxfId="5279" priority="791">
      <formula>AV200="X"</formula>
    </cfRule>
    <cfRule type="expression" dxfId="5278" priority="792">
      <formula>AV200="후보"</formula>
    </cfRule>
  </conditionalFormatting>
  <conditionalFormatting sqref="AC200">
    <cfRule type="cellIs" dxfId="5277" priority="789" operator="greaterThan">
      <formula>0.9</formula>
    </cfRule>
    <cfRule type="cellIs" dxfId="5276" priority="790" operator="greaterThan">
      <formula>0.85</formula>
    </cfRule>
  </conditionalFormatting>
  <conditionalFormatting sqref="N200">
    <cfRule type="cellIs" dxfId="5275" priority="787" operator="greaterThan">
      <formula>0.9</formula>
    </cfRule>
    <cfRule type="cellIs" dxfId="5274" priority="788" operator="greaterThan">
      <formula>0.85</formula>
    </cfRule>
  </conditionalFormatting>
  <conditionalFormatting sqref="E200">
    <cfRule type="expression" dxfId="5273" priority="783">
      <formula>AND(IF(OR($Q200=1,$Q200=2),1,0),IF($X200&lt;=20,1,0))</formula>
    </cfRule>
    <cfRule type="expression" dxfId="5272" priority="784">
      <formula>AND(IF($Q200=2,1,0),IF($X200&lt;30,1,0))</formula>
    </cfRule>
    <cfRule type="expression" dxfId="5271" priority="785">
      <formula>AND(IF($Q200=3,1,0),IF($X200&lt;30,1,0))</formula>
    </cfRule>
    <cfRule type="expression" dxfId="5270" priority="786">
      <formula>AND(IF($Q200=3,1,IF($Q200=4,1,0)),IF($F200&lt;=85,1,0))</formula>
    </cfRule>
  </conditionalFormatting>
  <conditionalFormatting sqref="X200">
    <cfRule type="expression" dxfId="5269" priority="779">
      <formula>AND(IF(OR($Q200=1,$Q200=2),1,0),IF($X200&lt;=20,1,0))</formula>
    </cfRule>
    <cfRule type="expression" dxfId="5268" priority="780">
      <formula>AND(IF($Q200=2,1,0),IF($X200&lt;30,1,0))</formula>
    </cfRule>
    <cfRule type="expression" dxfId="5267" priority="781">
      <formula>AND(IF($Q200=3,1,0),IF($X200&lt;30,1,0))</formula>
    </cfRule>
    <cfRule type="expression" dxfId="5266" priority="782">
      <formula>AND(IF($Q200=3,1,IF($Q200=4,1,0)),IF($F200&lt;=85,1,0))</formula>
    </cfRule>
  </conditionalFormatting>
  <conditionalFormatting sqref="AI200">
    <cfRule type="expression" dxfId="5265" priority="775">
      <formula>AND(IF(OR($Q200=1,$Q200=2),1,0),IF($X200&lt;=20,1,0))</formula>
    </cfRule>
    <cfRule type="expression" dxfId="5264" priority="776">
      <formula>AND(IF($Q200=2,1,0),IF($X200&lt;30,1,0))</formula>
    </cfRule>
    <cfRule type="expression" dxfId="5263" priority="777">
      <formula>AND(IF($Q200=3,1,0),IF($X200&lt;30,1,0))</formula>
    </cfRule>
    <cfRule type="expression" dxfId="5262" priority="778">
      <formula>AND(IF($Q200=3,1,IF($Q200=4,1,0)),IF($F200&lt;=85,1,0))</formula>
    </cfRule>
  </conditionalFormatting>
  <conditionalFormatting sqref="AV201">
    <cfRule type="expression" dxfId="5261" priority="773">
      <formula>AV201="X"</formula>
    </cfRule>
    <cfRule type="expression" dxfId="5260" priority="774">
      <formula>AV201="후보"</formula>
    </cfRule>
  </conditionalFormatting>
  <conditionalFormatting sqref="AC201">
    <cfRule type="cellIs" dxfId="5259" priority="771" operator="greaterThan">
      <formula>0.9</formula>
    </cfRule>
    <cfRule type="cellIs" dxfId="5258" priority="772" operator="greaterThan">
      <formula>0.85</formula>
    </cfRule>
  </conditionalFormatting>
  <conditionalFormatting sqref="N201">
    <cfRule type="cellIs" dxfId="5257" priority="769" operator="greaterThan">
      <formula>0.9</formula>
    </cfRule>
    <cfRule type="cellIs" dxfId="5256" priority="770" operator="greaterThan">
      <formula>0.85</formula>
    </cfRule>
  </conditionalFormatting>
  <conditionalFormatting sqref="E201">
    <cfRule type="expression" dxfId="5255" priority="765">
      <formula>AND(IF(OR($Q201=1,$Q201=2),1,0),IF($X201&lt;=20,1,0))</formula>
    </cfRule>
    <cfRule type="expression" dxfId="5254" priority="766">
      <formula>AND(IF($Q201=2,1,0),IF($X201&lt;30,1,0))</formula>
    </cfRule>
    <cfRule type="expression" dxfId="5253" priority="767">
      <formula>AND(IF($Q201=3,1,0),IF($X201&lt;30,1,0))</formula>
    </cfRule>
    <cfRule type="expression" dxfId="5252" priority="768">
      <formula>AND(IF($Q201=3,1,IF($Q201=4,1,0)),IF($F201&lt;=85,1,0))</formula>
    </cfRule>
  </conditionalFormatting>
  <conditionalFormatting sqref="X201">
    <cfRule type="expression" dxfId="5251" priority="761">
      <formula>AND(IF(OR($Q201=1,$Q201=2),1,0),IF($X201&lt;=20,1,0))</formula>
    </cfRule>
    <cfRule type="expression" dxfId="5250" priority="762">
      <formula>AND(IF($Q201=2,1,0),IF($X201&lt;30,1,0))</formula>
    </cfRule>
    <cfRule type="expression" dxfId="5249" priority="763">
      <formula>AND(IF($Q201=3,1,0),IF($X201&lt;30,1,0))</formula>
    </cfRule>
    <cfRule type="expression" dxfId="5248" priority="764">
      <formula>AND(IF($Q201=3,1,IF($Q201=4,1,0)),IF($F201&lt;=85,1,0))</formula>
    </cfRule>
  </conditionalFormatting>
  <conditionalFormatting sqref="AI201">
    <cfRule type="expression" dxfId="5247" priority="757">
      <formula>AND(IF(OR($Q201=1,$Q201=2),1,0),IF($X201&lt;=20,1,0))</formula>
    </cfRule>
    <cfRule type="expression" dxfId="5246" priority="758">
      <formula>AND(IF($Q201=2,1,0),IF($X201&lt;30,1,0))</formula>
    </cfRule>
    <cfRule type="expression" dxfId="5245" priority="759">
      <formula>AND(IF($Q201=3,1,0),IF($X201&lt;30,1,0))</formula>
    </cfRule>
    <cfRule type="expression" dxfId="5244" priority="760">
      <formula>AND(IF($Q201=3,1,IF($Q201=4,1,0)),IF($F201&lt;=85,1,0))</formula>
    </cfRule>
  </conditionalFormatting>
  <conditionalFormatting sqref="AV202">
    <cfRule type="expression" dxfId="5243" priority="755">
      <formula>AV202="X"</formula>
    </cfRule>
    <cfRule type="expression" dxfId="5242" priority="756">
      <formula>AV202="후보"</formula>
    </cfRule>
  </conditionalFormatting>
  <conditionalFormatting sqref="AC202">
    <cfRule type="cellIs" dxfId="5241" priority="753" operator="greaterThan">
      <formula>0.9</formula>
    </cfRule>
    <cfRule type="cellIs" dxfId="5240" priority="754" operator="greaterThan">
      <formula>0.85</formula>
    </cfRule>
  </conditionalFormatting>
  <conditionalFormatting sqref="N202">
    <cfRule type="cellIs" dxfId="5239" priority="751" operator="greaterThan">
      <formula>0.9</formula>
    </cfRule>
    <cfRule type="cellIs" dxfId="5238" priority="752" operator="greaterThan">
      <formula>0.85</formula>
    </cfRule>
  </conditionalFormatting>
  <conditionalFormatting sqref="E202">
    <cfRule type="expression" dxfId="5237" priority="747">
      <formula>AND(IF(OR($Q202=1,$Q202=2),1,0),IF($X202&lt;=20,1,0))</formula>
    </cfRule>
    <cfRule type="expression" dxfId="5236" priority="748">
      <formula>AND(IF($Q202=2,1,0),IF($X202&lt;30,1,0))</formula>
    </cfRule>
    <cfRule type="expression" dxfId="5235" priority="749">
      <formula>AND(IF($Q202=3,1,0),IF($X202&lt;30,1,0))</formula>
    </cfRule>
    <cfRule type="expression" dxfId="5234" priority="750">
      <formula>AND(IF($Q202=3,1,IF($Q202=4,1,0)),IF($F202&lt;=85,1,0))</formula>
    </cfRule>
  </conditionalFormatting>
  <conditionalFormatting sqref="X202">
    <cfRule type="expression" dxfId="5233" priority="743">
      <formula>AND(IF(OR($Q202=1,$Q202=2),1,0),IF($X202&lt;=20,1,0))</formula>
    </cfRule>
    <cfRule type="expression" dxfId="5232" priority="744">
      <formula>AND(IF($Q202=2,1,0),IF($X202&lt;30,1,0))</formula>
    </cfRule>
    <cfRule type="expression" dxfId="5231" priority="745">
      <formula>AND(IF($Q202=3,1,0),IF($X202&lt;30,1,0))</formula>
    </cfRule>
    <cfRule type="expression" dxfId="5230" priority="746">
      <formula>AND(IF($Q202=3,1,IF($Q202=4,1,0)),IF($F202&lt;=85,1,0))</formula>
    </cfRule>
  </conditionalFormatting>
  <conditionalFormatting sqref="AI202">
    <cfRule type="expression" dxfId="5229" priority="739">
      <formula>AND(IF(OR($Q202=1,$Q202=2),1,0),IF($X202&lt;=20,1,0))</formula>
    </cfRule>
    <cfRule type="expression" dxfId="5228" priority="740">
      <formula>AND(IF($Q202=2,1,0),IF($X202&lt;30,1,0))</formula>
    </cfRule>
    <cfRule type="expression" dxfId="5227" priority="741">
      <formula>AND(IF($Q202=3,1,0),IF($X202&lt;30,1,0))</formula>
    </cfRule>
    <cfRule type="expression" dxfId="5226" priority="742">
      <formula>AND(IF($Q202=3,1,IF($Q202=4,1,0)),IF($F202&lt;=85,1,0))</formula>
    </cfRule>
  </conditionalFormatting>
  <conditionalFormatting sqref="AV203">
    <cfRule type="expression" dxfId="5225" priority="737">
      <formula>AV203="X"</formula>
    </cfRule>
    <cfRule type="expression" dxfId="5224" priority="738">
      <formula>AV203="후보"</formula>
    </cfRule>
  </conditionalFormatting>
  <conditionalFormatting sqref="AC203">
    <cfRule type="cellIs" dxfId="5223" priority="735" operator="greaterThan">
      <formula>0.9</formula>
    </cfRule>
    <cfRule type="cellIs" dxfId="5222" priority="736" operator="greaterThan">
      <formula>0.85</formula>
    </cfRule>
  </conditionalFormatting>
  <conditionalFormatting sqref="N203">
    <cfRule type="cellIs" dxfId="5221" priority="733" operator="greaterThan">
      <formula>0.9</formula>
    </cfRule>
    <cfRule type="cellIs" dxfId="5220" priority="734" operator="greaterThan">
      <formula>0.85</formula>
    </cfRule>
  </conditionalFormatting>
  <conditionalFormatting sqref="E203">
    <cfRule type="expression" dxfId="5219" priority="729">
      <formula>AND(IF(OR($Q203=1,$Q203=2),1,0),IF($X203&lt;=20,1,0))</formula>
    </cfRule>
    <cfRule type="expression" dxfId="5218" priority="730">
      <formula>AND(IF($Q203=2,1,0),IF($X203&lt;30,1,0))</formula>
    </cfRule>
    <cfRule type="expression" dxfId="5217" priority="731">
      <formula>AND(IF($Q203=3,1,0),IF($X203&lt;30,1,0))</formula>
    </cfRule>
    <cfRule type="expression" dxfId="5216" priority="732">
      <formula>AND(IF($Q203=3,1,IF($Q203=4,1,0)),IF($F203&lt;=85,1,0))</formula>
    </cfRule>
  </conditionalFormatting>
  <conditionalFormatting sqref="X203">
    <cfRule type="expression" dxfId="5215" priority="725">
      <formula>AND(IF(OR($Q203=1,$Q203=2),1,0),IF($X203&lt;=20,1,0))</formula>
    </cfRule>
    <cfRule type="expression" dxfId="5214" priority="726">
      <formula>AND(IF($Q203=2,1,0),IF($X203&lt;30,1,0))</formula>
    </cfRule>
    <cfRule type="expression" dxfId="5213" priority="727">
      <formula>AND(IF($Q203=3,1,0),IF($X203&lt;30,1,0))</formula>
    </cfRule>
    <cfRule type="expression" dxfId="5212" priority="728">
      <formula>AND(IF($Q203=3,1,IF($Q203=4,1,0)),IF($F203&lt;=85,1,0))</formula>
    </cfRule>
  </conditionalFormatting>
  <conditionalFormatting sqref="AI203">
    <cfRule type="expression" dxfId="5211" priority="721">
      <formula>AND(IF(OR($Q203=1,$Q203=2),1,0),IF($X203&lt;=20,1,0))</formula>
    </cfRule>
    <cfRule type="expression" dxfId="5210" priority="722">
      <formula>AND(IF($Q203=2,1,0),IF($X203&lt;30,1,0))</formula>
    </cfRule>
    <cfRule type="expression" dxfId="5209" priority="723">
      <formula>AND(IF($Q203=3,1,0),IF($X203&lt;30,1,0))</formula>
    </cfRule>
    <cfRule type="expression" dxfId="5208" priority="724">
      <formula>AND(IF($Q203=3,1,IF($Q203=4,1,0)),IF($F203&lt;=85,1,0))</formula>
    </cfRule>
  </conditionalFormatting>
  <conditionalFormatting sqref="AV204">
    <cfRule type="expression" dxfId="5207" priority="719">
      <formula>AV204="X"</formula>
    </cfRule>
    <cfRule type="expression" dxfId="5206" priority="720">
      <formula>AV204="후보"</formula>
    </cfRule>
  </conditionalFormatting>
  <conditionalFormatting sqref="AC204">
    <cfRule type="cellIs" dxfId="5205" priority="717" operator="greaterThan">
      <formula>0.9</formula>
    </cfRule>
    <cfRule type="cellIs" dxfId="5204" priority="718" operator="greaterThan">
      <formula>0.85</formula>
    </cfRule>
  </conditionalFormatting>
  <conditionalFormatting sqref="N204">
    <cfRule type="cellIs" dxfId="5203" priority="715" operator="greaterThan">
      <formula>0.9</formula>
    </cfRule>
    <cfRule type="cellIs" dxfId="5202" priority="716" operator="greaterThan">
      <formula>0.85</formula>
    </cfRule>
  </conditionalFormatting>
  <conditionalFormatting sqref="E204">
    <cfRule type="expression" dxfId="5201" priority="711">
      <formula>AND(IF(OR($Q204=1,$Q204=2),1,0),IF($X204&lt;=20,1,0))</formula>
    </cfRule>
    <cfRule type="expression" dxfId="5200" priority="712">
      <formula>AND(IF($Q204=2,1,0),IF($X204&lt;30,1,0))</formula>
    </cfRule>
    <cfRule type="expression" dxfId="5199" priority="713">
      <formula>AND(IF($Q204=3,1,0),IF($X204&lt;30,1,0))</formula>
    </cfRule>
    <cfRule type="expression" dxfId="5198" priority="714">
      <formula>AND(IF($Q204=3,1,IF($Q204=4,1,0)),IF($F204&lt;=85,1,0))</formula>
    </cfRule>
  </conditionalFormatting>
  <conditionalFormatting sqref="X204">
    <cfRule type="expression" dxfId="5197" priority="707">
      <formula>AND(IF(OR($Q204=1,$Q204=2),1,0),IF($X204&lt;=20,1,0))</formula>
    </cfRule>
    <cfRule type="expression" dxfId="5196" priority="708">
      <formula>AND(IF($Q204=2,1,0),IF($X204&lt;30,1,0))</formula>
    </cfRule>
    <cfRule type="expression" dxfId="5195" priority="709">
      <formula>AND(IF($Q204=3,1,0),IF($X204&lt;30,1,0))</formula>
    </cfRule>
    <cfRule type="expression" dxfId="5194" priority="710">
      <formula>AND(IF($Q204=3,1,IF($Q204=4,1,0)),IF($F204&lt;=85,1,0))</formula>
    </cfRule>
  </conditionalFormatting>
  <conditionalFormatting sqref="AI204">
    <cfRule type="expression" dxfId="5193" priority="703">
      <formula>AND(IF(OR($Q204=1,$Q204=2),1,0),IF($X204&lt;=20,1,0))</formula>
    </cfRule>
    <cfRule type="expression" dxfId="5192" priority="704">
      <formula>AND(IF($Q204=2,1,0),IF($X204&lt;30,1,0))</formula>
    </cfRule>
    <cfRule type="expression" dxfId="5191" priority="705">
      <formula>AND(IF($Q204=3,1,0),IF($X204&lt;30,1,0))</formula>
    </cfRule>
    <cfRule type="expression" dxfId="5190" priority="706">
      <formula>AND(IF($Q204=3,1,IF($Q204=4,1,0)),IF($F204&lt;=85,1,0))</formula>
    </cfRule>
  </conditionalFormatting>
  <conditionalFormatting sqref="AV205">
    <cfRule type="expression" dxfId="5189" priority="701">
      <formula>AV205="X"</formula>
    </cfRule>
    <cfRule type="expression" dxfId="5188" priority="702">
      <formula>AV205="후보"</formula>
    </cfRule>
  </conditionalFormatting>
  <conditionalFormatting sqref="AC205">
    <cfRule type="cellIs" dxfId="5187" priority="699" operator="greaterThan">
      <formula>0.9</formula>
    </cfRule>
    <cfRule type="cellIs" dxfId="5186" priority="700" operator="greaterThan">
      <formula>0.85</formula>
    </cfRule>
  </conditionalFormatting>
  <conditionalFormatting sqref="N205">
    <cfRule type="cellIs" dxfId="5185" priority="697" operator="greaterThan">
      <formula>0.9</formula>
    </cfRule>
    <cfRule type="cellIs" dxfId="5184" priority="698" operator="greaterThan">
      <formula>0.85</formula>
    </cfRule>
  </conditionalFormatting>
  <conditionalFormatting sqref="E205">
    <cfRule type="expression" dxfId="5183" priority="693">
      <formula>AND(IF(OR($Q205=1,$Q205=2),1,0),IF($X205&lt;=20,1,0))</formula>
    </cfRule>
    <cfRule type="expression" dxfId="5182" priority="694">
      <formula>AND(IF($Q205=2,1,0),IF($X205&lt;30,1,0))</formula>
    </cfRule>
    <cfRule type="expression" dxfId="5181" priority="695">
      <formula>AND(IF($Q205=3,1,0),IF($X205&lt;30,1,0))</formula>
    </cfRule>
    <cfRule type="expression" dxfId="5180" priority="696">
      <formula>AND(IF($Q205=3,1,IF($Q205=4,1,0)),IF($F205&lt;=85,1,0))</formula>
    </cfRule>
  </conditionalFormatting>
  <conditionalFormatting sqref="X205">
    <cfRule type="expression" dxfId="5179" priority="689">
      <formula>AND(IF(OR($Q205=1,$Q205=2),1,0),IF($X205&lt;=20,1,0))</formula>
    </cfRule>
    <cfRule type="expression" dxfId="5178" priority="690">
      <formula>AND(IF($Q205=2,1,0),IF($X205&lt;30,1,0))</formula>
    </cfRule>
    <cfRule type="expression" dxfId="5177" priority="691">
      <formula>AND(IF($Q205=3,1,0),IF($X205&lt;30,1,0))</formula>
    </cfRule>
    <cfRule type="expression" dxfId="5176" priority="692">
      <formula>AND(IF($Q205=3,1,IF($Q205=4,1,0)),IF($F205&lt;=85,1,0))</formula>
    </cfRule>
  </conditionalFormatting>
  <conditionalFormatting sqref="AI205">
    <cfRule type="expression" dxfId="5175" priority="685">
      <formula>AND(IF(OR($Q205=1,$Q205=2),1,0),IF($X205&lt;=20,1,0))</formula>
    </cfRule>
    <cfRule type="expression" dxfId="5174" priority="686">
      <formula>AND(IF($Q205=2,1,0),IF($X205&lt;30,1,0))</formula>
    </cfRule>
    <cfRule type="expression" dxfId="5173" priority="687">
      <formula>AND(IF($Q205=3,1,0),IF($X205&lt;30,1,0))</formula>
    </cfRule>
    <cfRule type="expression" dxfId="5172" priority="688">
      <formula>AND(IF($Q205=3,1,IF($Q205=4,1,0)),IF($F205&lt;=85,1,0))</formula>
    </cfRule>
  </conditionalFormatting>
  <conditionalFormatting sqref="AV206">
    <cfRule type="expression" dxfId="5171" priority="683">
      <formula>AV206="X"</formula>
    </cfRule>
    <cfRule type="expression" dxfId="5170" priority="684">
      <formula>AV206="후보"</formula>
    </cfRule>
  </conditionalFormatting>
  <conditionalFormatting sqref="AC206">
    <cfRule type="cellIs" dxfId="5169" priority="681" operator="greaterThan">
      <formula>0.9</formula>
    </cfRule>
    <cfRule type="cellIs" dxfId="5168" priority="682" operator="greaterThan">
      <formula>0.85</formula>
    </cfRule>
  </conditionalFormatting>
  <conditionalFormatting sqref="N206">
    <cfRule type="cellIs" dxfId="5167" priority="679" operator="greaterThan">
      <formula>0.9</formula>
    </cfRule>
    <cfRule type="cellIs" dxfId="5166" priority="680" operator="greaterThan">
      <formula>0.85</formula>
    </cfRule>
  </conditionalFormatting>
  <conditionalFormatting sqref="E206">
    <cfRule type="expression" dxfId="5165" priority="675">
      <formula>AND(IF(OR($Q206=1,$Q206=2),1,0),IF($X206&lt;=20,1,0))</formula>
    </cfRule>
    <cfRule type="expression" dxfId="5164" priority="676">
      <formula>AND(IF($Q206=2,1,0),IF($X206&lt;30,1,0))</formula>
    </cfRule>
    <cfRule type="expression" dxfId="5163" priority="677">
      <formula>AND(IF($Q206=3,1,0),IF($X206&lt;30,1,0))</formula>
    </cfRule>
    <cfRule type="expression" dxfId="5162" priority="678">
      <formula>AND(IF($Q206=3,1,IF($Q206=4,1,0)),IF($F206&lt;=85,1,0))</formula>
    </cfRule>
  </conditionalFormatting>
  <conditionalFormatting sqref="X206">
    <cfRule type="expression" dxfId="5161" priority="671">
      <formula>AND(IF(OR($Q206=1,$Q206=2),1,0),IF($X206&lt;=20,1,0))</formula>
    </cfRule>
    <cfRule type="expression" dxfId="5160" priority="672">
      <formula>AND(IF($Q206=2,1,0),IF($X206&lt;30,1,0))</formula>
    </cfRule>
    <cfRule type="expression" dxfId="5159" priority="673">
      <formula>AND(IF($Q206=3,1,0),IF($X206&lt;30,1,0))</formula>
    </cfRule>
    <cfRule type="expression" dxfId="5158" priority="674">
      <formula>AND(IF($Q206=3,1,IF($Q206=4,1,0)),IF($F206&lt;=85,1,0))</formula>
    </cfRule>
  </conditionalFormatting>
  <conditionalFormatting sqref="AI206">
    <cfRule type="expression" dxfId="5157" priority="667">
      <formula>AND(IF(OR($Q206=1,$Q206=2),1,0),IF($X206&lt;=20,1,0))</formula>
    </cfRule>
    <cfRule type="expression" dxfId="5156" priority="668">
      <formula>AND(IF($Q206=2,1,0),IF($X206&lt;30,1,0))</formula>
    </cfRule>
    <cfRule type="expression" dxfId="5155" priority="669">
      <formula>AND(IF($Q206=3,1,0),IF($X206&lt;30,1,0))</formula>
    </cfRule>
    <cfRule type="expression" dxfId="5154" priority="670">
      <formula>AND(IF($Q206=3,1,IF($Q206=4,1,0)),IF($F206&lt;=85,1,0))</formula>
    </cfRule>
  </conditionalFormatting>
  <conditionalFormatting sqref="AV207">
    <cfRule type="expression" dxfId="5153" priority="665">
      <formula>AV207="X"</formula>
    </cfRule>
    <cfRule type="expression" dxfId="5152" priority="666">
      <formula>AV207="후보"</formula>
    </cfRule>
  </conditionalFormatting>
  <conditionalFormatting sqref="AC207">
    <cfRule type="cellIs" dxfId="5151" priority="663" operator="greaterThan">
      <formula>0.9</formula>
    </cfRule>
    <cfRule type="cellIs" dxfId="5150" priority="664" operator="greaterThan">
      <formula>0.85</formula>
    </cfRule>
  </conditionalFormatting>
  <conditionalFormatting sqref="N207">
    <cfRule type="cellIs" dxfId="5149" priority="661" operator="greaterThan">
      <formula>0.9</formula>
    </cfRule>
    <cfRule type="cellIs" dxfId="5148" priority="662" operator="greaterThan">
      <formula>0.85</formula>
    </cfRule>
  </conditionalFormatting>
  <conditionalFormatting sqref="E207">
    <cfRule type="expression" dxfId="5147" priority="657">
      <formula>AND(IF(OR($Q207=1,$Q207=2),1,0),IF($X207&lt;=20,1,0))</formula>
    </cfRule>
    <cfRule type="expression" dxfId="5146" priority="658">
      <formula>AND(IF($Q207=2,1,0),IF($X207&lt;30,1,0))</formula>
    </cfRule>
    <cfRule type="expression" dxfId="5145" priority="659">
      <formula>AND(IF($Q207=3,1,0),IF($X207&lt;30,1,0))</formula>
    </cfRule>
    <cfRule type="expression" dxfId="5144" priority="660">
      <formula>AND(IF($Q207=3,1,IF($Q207=4,1,0)),IF($F207&lt;=85,1,0))</formula>
    </cfRule>
  </conditionalFormatting>
  <conditionalFormatting sqref="X207">
    <cfRule type="expression" dxfId="5143" priority="653">
      <formula>AND(IF(OR($Q207=1,$Q207=2),1,0),IF($X207&lt;=20,1,0))</formula>
    </cfRule>
    <cfRule type="expression" dxfId="5142" priority="654">
      <formula>AND(IF($Q207=2,1,0),IF($X207&lt;30,1,0))</formula>
    </cfRule>
    <cfRule type="expression" dxfId="5141" priority="655">
      <formula>AND(IF($Q207=3,1,0),IF($X207&lt;30,1,0))</formula>
    </cfRule>
    <cfRule type="expression" dxfId="5140" priority="656">
      <formula>AND(IF($Q207=3,1,IF($Q207=4,1,0)),IF($F207&lt;=85,1,0))</formula>
    </cfRule>
  </conditionalFormatting>
  <conditionalFormatting sqref="AI207">
    <cfRule type="expression" dxfId="5139" priority="649">
      <formula>AND(IF(OR($Q207=1,$Q207=2),1,0),IF($X207&lt;=20,1,0))</formula>
    </cfRule>
    <cfRule type="expression" dxfId="5138" priority="650">
      <formula>AND(IF($Q207=2,1,0),IF($X207&lt;30,1,0))</formula>
    </cfRule>
    <cfRule type="expression" dxfId="5137" priority="651">
      <formula>AND(IF($Q207=3,1,0),IF($X207&lt;30,1,0))</formula>
    </cfRule>
    <cfRule type="expression" dxfId="5136" priority="652">
      <formula>AND(IF($Q207=3,1,IF($Q207=4,1,0)),IF($F207&lt;=85,1,0))</formula>
    </cfRule>
  </conditionalFormatting>
  <conditionalFormatting sqref="AV208">
    <cfRule type="expression" dxfId="5135" priority="647">
      <formula>AV208="X"</formula>
    </cfRule>
    <cfRule type="expression" dxfId="5134" priority="648">
      <formula>AV208="후보"</formula>
    </cfRule>
  </conditionalFormatting>
  <conditionalFormatting sqref="AC208">
    <cfRule type="cellIs" dxfId="5133" priority="645" operator="greaterThan">
      <formula>0.9</formula>
    </cfRule>
    <cfRule type="cellIs" dxfId="5132" priority="646" operator="greaterThan">
      <formula>0.85</formula>
    </cfRule>
  </conditionalFormatting>
  <conditionalFormatting sqref="N208">
    <cfRule type="cellIs" dxfId="5131" priority="643" operator="greaterThan">
      <formula>0.9</formula>
    </cfRule>
    <cfRule type="cellIs" dxfId="5130" priority="644" operator="greaterThan">
      <formula>0.85</formula>
    </cfRule>
  </conditionalFormatting>
  <conditionalFormatting sqref="E208">
    <cfRule type="expression" dxfId="5129" priority="639">
      <formula>AND(IF(OR($Q208=1,$Q208=2),1,0),IF($X208&lt;=20,1,0))</formula>
    </cfRule>
    <cfRule type="expression" dxfId="5128" priority="640">
      <formula>AND(IF($Q208=2,1,0),IF($X208&lt;30,1,0))</formula>
    </cfRule>
    <cfRule type="expression" dxfId="5127" priority="641">
      <formula>AND(IF($Q208=3,1,0),IF($X208&lt;30,1,0))</formula>
    </cfRule>
    <cfRule type="expression" dxfId="5126" priority="642">
      <formula>AND(IF($Q208=3,1,IF($Q208=4,1,0)),IF($F208&lt;=85,1,0))</formula>
    </cfRule>
  </conditionalFormatting>
  <conditionalFormatting sqref="X208">
    <cfRule type="expression" dxfId="5125" priority="635">
      <formula>AND(IF(OR($Q208=1,$Q208=2),1,0),IF($X208&lt;=20,1,0))</formula>
    </cfRule>
    <cfRule type="expression" dxfId="5124" priority="636">
      <formula>AND(IF($Q208=2,1,0),IF($X208&lt;30,1,0))</formula>
    </cfRule>
    <cfRule type="expression" dxfId="5123" priority="637">
      <formula>AND(IF($Q208=3,1,0),IF($X208&lt;30,1,0))</formula>
    </cfRule>
    <cfRule type="expression" dxfId="5122" priority="638">
      <formula>AND(IF($Q208=3,1,IF($Q208=4,1,0)),IF($F208&lt;=85,1,0))</formula>
    </cfRule>
  </conditionalFormatting>
  <conditionalFormatting sqref="AI208">
    <cfRule type="expression" dxfId="5121" priority="631">
      <formula>AND(IF(OR($Q208=1,$Q208=2),1,0),IF($X208&lt;=20,1,0))</formula>
    </cfRule>
    <cfRule type="expression" dxfId="5120" priority="632">
      <formula>AND(IF($Q208=2,1,0),IF($X208&lt;30,1,0))</formula>
    </cfRule>
    <cfRule type="expression" dxfId="5119" priority="633">
      <formula>AND(IF($Q208=3,1,0),IF($X208&lt;30,1,0))</formula>
    </cfRule>
    <cfRule type="expression" dxfId="5118" priority="634">
      <formula>AND(IF($Q208=3,1,IF($Q208=4,1,0)),IF($F208&lt;=85,1,0))</formula>
    </cfRule>
  </conditionalFormatting>
  <conditionalFormatting sqref="AV209">
    <cfRule type="expression" dxfId="5117" priority="629">
      <formula>AV209="X"</formula>
    </cfRule>
    <cfRule type="expression" dxfId="5116" priority="630">
      <formula>AV209="후보"</formula>
    </cfRule>
  </conditionalFormatting>
  <conditionalFormatting sqref="AC209">
    <cfRule type="cellIs" dxfId="5115" priority="627" operator="greaterThan">
      <formula>0.9</formula>
    </cfRule>
    <cfRule type="cellIs" dxfId="5114" priority="628" operator="greaterThan">
      <formula>0.85</formula>
    </cfRule>
  </conditionalFormatting>
  <conditionalFormatting sqref="N209">
    <cfRule type="cellIs" dxfId="5113" priority="625" operator="greaterThan">
      <formula>0.9</formula>
    </cfRule>
    <cfRule type="cellIs" dxfId="5112" priority="626" operator="greaterThan">
      <formula>0.85</formula>
    </cfRule>
  </conditionalFormatting>
  <conditionalFormatting sqref="E209">
    <cfRule type="expression" dxfId="5111" priority="621">
      <formula>AND(IF(OR($Q209=1,$Q209=2),1,0),IF($X209&lt;=20,1,0))</formula>
    </cfRule>
    <cfRule type="expression" dxfId="5110" priority="622">
      <formula>AND(IF($Q209=2,1,0),IF($X209&lt;30,1,0))</formula>
    </cfRule>
    <cfRule type="expression" dxfId="5109" priority="623">
      <formula>AND(IF($Q209=3,1,0),IF($X209&lt;30,1,0))</formula>
    </cfRule>
    <cfRule type="expression" dxfId="5108" priority="624">
      <formula>AND(IF($Q209=3,1,IF($Q209=4,1,0)),IF($F209&lt;=85,1,0))</formula>
    </cfRule>
  </conditionalFormatting>
  <conditionalFormatting sqref="X209">
    <cfRule type="expression" dxfId="5107" priority="617">
      <formula>AND(IF(OR($Q209=1,$Q209=2),1,0),IF($X209&lt;=20,1,0))</formula>
    </cfRule>
    <cfRule type="expression" dxfId="5106" priority="618">
      <formula>AND(IF($Q209=2,1,0),IF($X209&lt;30,1,0))</formula>
    </cfRule>
    <cfRule type="expression" dxfId="5105" priority="619">
      <formula>AND(IF($Q209=3,1,0),IF($X209&lt;30,1,0))</formula>
    </cfRule>
    <cfRule type="expression" dxfId="5104" priority="620">
      <formula>AND(IF($Q209=3,1,IF($Q209=4,1,0)),IF($F209&lt;=85,1,0))</formula>
    </cfRule>
  </conditionalFormatting>
  <conditionalFormatting sqref="AI209">
    <cfRule type="expression" dxfId="5103" priority="613">
      <formula>AND(IF(OR($Q209=1,$Q209=2),1,0),IF($X209&lt;=20,1,0))</formula>
    </cfRule>
    <cfRule type="expression" dxfId="5102" priority="614">
      <formula>AND(IF($Q209=2,1,0),IF($X209&lt;30,1,0))</formula>
    </cfRule>
    <cfRule type="expression" dxfId="5101" priority="615">
      <formula>AND(IF($Q209=3,1,0),IF($X209&lt;30,1,0))</formula>
    </cfRule>
    <cfRule type="expression" dxfId="5100" priority="616">
      <formula>AND(IF($Q209=3,1,IF($Q209=4,1,0)),IF($F209&lt;=85,1,0))</formula>
    </cfRule>
  </conditionalFormatting>
  <conditionalFormatting sqref="AV210">
    <cfRule type="expression" dxfId="5099" priority="611">
      <formula>AV210="X"</formula>
    </cfRule>
    <cfRule type="expression" dxfId="5098" priority="612">
      <formula>AV210="후보"</formula>
    </cfRule>
  </conditionalFormatting>
  <conditionalFormatting sqref="AC210">
    <cfRule type="cellIs" dxfId="5097" priority="609" operator="greaterThan">
      <formula>0.9</formula>
    </cfRule>
    <cfRule type="cellIs" dxfId="5096" priority="610" operator="greaterThan">
      <formula>0.85</formula>
    </cfRule>
  </conditionalFormatting>
  <conditionalFormatting sqref="N210">
    <cfRule type="cellIs" dxfId="5095" priority="607" operator="greaterThan">
      <formula>0.9</formula>
    </cfRule>
    <cfRule type="cellIs" dxfId="5094" priority="608" operator="greaterThan">
      <formula>0.85</formula>
    </cfRule>
  </conditionalFormatting>
  <conditionalFormatting sqref="E210">
    <cfRule type="expression" dxfId="5093" priority="603">
      <formula>AND(IF(OR($Q210=1,$Q210=2),1,0),IF($X210&lt;=20,1,0))</formula>
    </cfRule>
    <cfRule type="expression" dxfId="5092" priority="604">
      <formula>AND(IF($Q210=2,1,0),IF($X210&lt;30,1,0))</formula>
    </cfRule>
    <cfRule type="expression" dxfId="5091" priority="605">
      <formula>AND(IF($Q210=3,1,0),IF($X210&lt;30,1,0))</formula>
    </cfRule>
    <cfRule type="expression" dxfId="5090" priority="606">
      <formula>AND(IF($Q210=3,1,IF($Q210=4,1,0)),IF($F210&lt;=85,1,0))</formula>
    </cfRule>
  </conditionalFormatting>
  <conditionalFormatting sqref="X210">
    <cfRule type="expression" dxfId="5089" priority="599">
      <formula>AND(IF(OR($Q210=1,$Q210=2),1,0),IF($X210&lt;=20,1,0))</formula>
    </cfRule>
    <cfRule type="expression" dxfId="5088" priority="600">
      <formula>AND(IF($Q210=2,1,0),IF($X210&lt;30,1,0))</formula>
    </cfRule>
    <cfRule type="expression" dxfId="5087" priority="601">
      <formula>AND(IF($Q210=3,1,0),IF($X210&lt;30,1,0))</formula>
    </cfRule>
    <cfRule type="expression" dxfId="5086" priority="602">
      <formula>AND(IF($Q210=3,1,IF($Q210=4,1,0)),IF($F210&lt;=85,1,0))</formula>
    </cfRule>
  </conditionalFormatting>
  <conditionalFormatting sqref="AI210">
    <cfRule type="expression" dxfId="5085" priority="595">
      <formula>AND(IF(OR($Q210=1,$Q210=2),1,0),IF($X210&lt;=20,1,0))</formula>
    </cfRule>
    <cfRule type="expression" dxfId="5084" priority="596">
      <formula>AND(IF($Q210=2,1,0),IF($X210&lt;30,1,0))</formula>
    </cfRule>
    <cfRule type="expression" dxfId="5083" priority="597">
      <formula>AND(IF($Q210=3,1,0),IF($X210&lt;30,1,0))</formula>
    </cfRule>
    <cfRule type="expression" dxfId="5082" priority="598">
      <formula>AND(IF($Q210=3,1,IF($Q210=4,1,0)),IF($F210&lt;=85,1,0))</formula>
    </cfRule>
  </conditionalFormatting>
  <conditionalFormatting sqref="AV211">
    <cfRule type="expression" dxfId="5081" priority="593">
      <formula>AV211="X"</formula>
    </cfRule>
    <cfRule type="expression" dxfId="5080" priority="594">
      <formula>AV211="후보"</formula>
    </cfRule>
  </conditionalFormatting>
  <conditionalFormatting sqref="AC211">
    <cfRule type="cellIs" dxfId="5079" priority="591" operator="greaterThan">
      <formula>0.9</formula>
    </cfRule>
    <cfRule type="cellIs" dxfId="5078" priority="592" operator="greaterThan">
      <formula>0.85</formula>
    </cfRule>
  </conditionalFormatting>
  <conditionalFormatting sqref="N211">
    <cfRule type="cellIs" dxfId="5077" priority="589" operator="greaterThan">
      <formula>0.9</formula>
    </cfRule>
    <cfRule type="cellIs" dxfId="5076" priority="590" operator="greaterThan">
      <formula>0.85</formula>
    </cfRule>
  </conditionalFormatting>
  <conditionalFormatting sqref="E211">
    <cfRule type="expression" dxfId="5075" priority="585">
      <formula>AND(IF(OR($Q211=1,$Q211=2),1,0),IF($X211&lt;=20,1,0))</formula>
    </cfRule>
    <cfRule type="expression" dxfId="5074" priority="586">
      <formula>AND(IF($Q211=2,1,0),IF($X211&lt;30,1,0))</formula>
    </cfRule>
    <cfRule type="expression" dxfId="5073" priority="587">
      <formula>AND(IF($Q211=3,1,0),IF($X211&lt;30,1,0))</formula>
    </cfRule>
    <cfRule type="expression" dxfId="5072" priority="588">
      <formula>AND(IF($Q211=3,1,IF($Q211=4,1,0)),IF($F211&lt;=85,1,0))</formula>
    </cfRule>
  </conditionalFormatting>
  <conditionalFormatting sqref="X211">
    <cfRule type="expression" dxfId="5071" priority="581">
      <formula>AND(IF(OR($Q211=1,$Q211=2),1,0),IF($X211&lt;=20,1,0))</formula>
    </cfRule>
    <cfRule type="expression" dxfId="5070" priority="582">
      <formula>AND(IF($Q211=2,1,0),IF($X211&lt;30,1,0))</formula>
    </cfRule>
    <cfRule type="expression" dxfId="5069" priority="583">
      <formula>AND(IF($Q211=3,1,0),IF($X211&lt;30,1,0))</formula>
    </cfRule>
    <cfRule type="expression" dxfId="5068" priority="584">
      <formula>AND(IF($Q211=3,1,IF($Q211=4,1,0)),IF($F211&lt;=85,1,0))</formula>
    </cfRule>
  </conditionalFormatting>
  <conditionalFormatting sqref="AI211">
    <cfRule type="expression" dxfId="5067" priority="577">
      <formula>AND(IF(OR($Q211=1,$Q211=2),1,0),IF($X211&lt;=20,1,0))</formula>
    </cfRule>
    <cfRule type="expression" dxfId="5066" priority="578">
      <formula>AND(IF($Q211=2,1,0),IF($X211&lt;30,1,0))</formula>
    </cfRule>
    <cfRule type="expression" dxfId="5065" priority="579">
      <formula>AND(IF($Q211=3,1,0),IF($X211&lt;30,1,0))</formula>
    </cfRule>
    <cfRule type="expression" dxfId="5064" priority="580">
      <formula>AND(IF($Q211=3,1,IF($Q211=4,1,0)),IF($F211&lt;=85,1,0))</formula>
    </cfRule>
  </conditionalFormatting>
  <conditionalFormatting sqref="AV212">
    <cfRule type="expression" dxfId="5063" priority="575">
      <formula>AV212="X"</formula>
    </cfRule>
    <cfRule type="expression" dxfId="5062" priority="576">
      <formula>AV212="후보"</formula>
    </cfRule>
  </conditionalFormatting>
  <conditionalFormatting sqref="AC212">
    <cfRule type="cellIs" dxfId="5061" priority="573" operator="greaterThan">
      <formula>0.9</formula>
    </cfRule>
    <cfRule type="cellIs" dxfId="5060" priority="574" operator="greaterThan">
      <formula>0.85</formula>
    </cfRule>
  </conditionalFormatting>
  <conditionalFormatting sqref="N212">
    <cfRule type="cellIs" dxfId="5059" priority="571" operator="greaterThan">
      <formula>0.9</formula>
    </cfRule>
    <cfRule type="cellIs" dxfId="5058" priority="572" operator="greaterThan">
      <formula>0.85</formula>
    </cfRule>
  </conditionalFormatting>
  <conditionalFormatting sqref="E212">
    <cfRule type="expression" dxfId="5057" priority="567">
      <formula>AND(IF(OR($Q212=1,$Q212=2),1,0),IF($X212&lt;=20,1,0))</formula>
    </cfRule>
    <cfRule type="expression" dxfId="5056" priority="568">
      <formula>AND(IF($Q212=2,1,0),IF($X212&lt;30,1,0))</formula>
    </cfRule>
    <cfRule type="expression" dxfId="5055" priority="569">
      <formula>AND(IF($Q212=3,1,0),IF($X212&lt;30,1,0))</formula>
    </cfRule>
    <cfRule type="expression" dxfId="5054" priority="570">
      <formula>AND(IF($Q212=3,1,IF($Q212=4,1,0)),IF($F212&lt;=85,1,0))</formula>
    </cfRule>
  </conditionalFormatting>
  <conditionalFormatting sqref="X212">
    <cfRule type="expression" dxfId="5053" priority="563">
      <formula>AND(IF(OR($Q212=1,$Q212=2),1,0),IF($X212&lt;=20,1,0))</formula>
    </cfRule>
    <cfRule type="expression" dxfId="5052" priority="564">
      <formula>AND(IF($Q212=2,1,0),IF($X212&lt;30,1,0))</formula>
    </cfRule>
    <cfRule type="expression" dxfId="5051" priority="565">
      <formula>AND(IF($Q212=3,1,0),IF($X212&lt;30,1,0))</formula>
    </cfRule>
    <cfRule type="expression" dxfId="5050" priority="566">
      <formula>AND(IF($Q212=3,1,IF($Q212=4,1,0)),IF($F212&lt;=85,1,0))</formula>
    </cfRule>
  </conditionalFormatting>
  <conditionalFormatting sqref="AI212">
    <cfRule type="expression" dxfId="5049" priority="559">
      <formula>AND(IF(OR($Q212=1,$Q212=2),1,0),IF($X212&lt;=20,1,0))</formula>
    </cfRule>
    <cfRule type="expression" dxfId="5048" priority="560">
      <formula>AND(IF($Q212=2,1,0),IF($X212&lt;30,1,0))</formula>
    </cfRule>
    <cfRule type="expression" dxfId="5047" priority="561">
      <formula>AND(IF($Q212=3,1,0),IF($X212&lt;30,1,0))</formula>
    </cfRule>
    <cfRule type="expression" dxfId="5046" priority="562">
      <formula>AND(IF($Q212=3,1,IF($Q212=4,1,0)),IF($F212&lt;=85,1,0))</formula>
    </cfRule>
  </conditionalFormatting>
  <conditionalFormatting sqref="AV213">
    <cfRule type="expression" dxfId="5045" priority="557">
      <formula>AV213="X"</formula>
    </cfRule>
    <cfRule type="expression" dxfId="5044" priority="558">
      <formula>AV213="후보"</formula>
    </cfRule>
  </conditionalFormatting>
  <conditionalFormatting sqref="AC213">
    <cfRule type="cellIs" dxfId="5043" priority="555" operator="greaterThan">
      <formula>0.9</formula>
    </cfRule>
    <cfRule type="cellIs" dxfId="5042" priority="556" operator="greaterThan">
      <formula>0.85</formula>
    </cfRule>
  </conditionalFormatting>
  <conditionalFormatting sqref="N213">
    <cfRule type="cellIs" dxfId="5041" priority="553" operator="greaterThan">
      <formula>0.9</formula>
    </cfRule>
    <cfRule type="cellIs" dxfId="5040" priority="554" operator="greaterThan">
      <formula>0.85</formula>
    </cfRule>
  </conditionalFormatting>
  <conditionalFormatting sqref="E213">
    <cfRule type="expression" dxfId="5039" priority="549">
      <formula>AND(IF(OR($Q213=1,$Q213=2),1,0),IF($X213&lt;=20,1,0))</formula>
    </cfRule>
    <cfRule type="expression" dxfId="5038" priority="550">
      <formula>AND(IF($Q213=2,1,0),IF($X213&lt;30,1,0))</formula>
    </cfRule>
    <cfRule type="expression" dxfId="5037" priority="551">
      <formula>AND(IF($Q213=3,1,0),IF($X213&lt;30,1,0))</formula>
    </cfRule>
    <cfRule type="expression" dxfId="5036" priority="552">
      <formula>AND(IF($Q213=3,1,IF($Q213=4,1,0)),IF($F213&lt;=85,1,0))</formula>
    </cfRule>
  </conditionalFormatting>
  <conditionalFormatting sqref="X213">
    <cfRule type="expression" dxfId="5035" priority="545">
      <formula>AND(IF(OR($Q213=1,$Q213=2),1,0),IF($X213&lt;=20,1,0))</formula>
    </cfRule>
    <cfRule type="expression" dxfId="5034" priority="546">
      <formula>AND(IF($Q213=2,1,0),IF($X213&lt;30,1,0))</formula>
    </cfRule>
    <cfRule type="expression" dxfId="5033" priority="547">
      <formula>AND(IF($Q213=3,1,0),IF($X213&lt;30,1,0))</formula>
    </cfRule>
    <cfRule type="expression" dxfId="5032" priority="548">
      <formula>AND(IF($Q213=3,1,IF($Q213=4,1,0)),IF($F213&lt;=85,1,0))</formula>
    </cfRule>
  </conditionalFormatting>
  <conditionalFormatting sqref="AI213">
    <cfRule type="expression" dxfId="5031" priority="541">
      <formula>AND(IF(OR($Q213=1,$Q213=2),1,0),IF($X213&lt;=20,1,0))</formula>
    </cfRule>
    <cfRule type="expression" dxfId="5030" priority="542">
      <formula>AND(IF($Q213=2,1,0),IF($X213&lt;30,1,0))</formula>
    </cfRule>
    <cfRule type="expression" dxfId="5029" priority="543">
      <formula>AND(IF($Q213=3,1,0),IF($X213&lt;30,1,0))</formula>
    </cfRule>
    <cfRule type="expression" dxfId="5028" priority="544">
      <formula>AND(IF($Q213=3,1,IF($Q213=4,1,0)),IF($F213&lt;=85,1,0))</formula>
    </cfRule>
  </conditionalFormatting>
  <conditionalFormatting sqref="AV214">
    <cfRule type="expression" dxfId="5027" priority="539">
      <formula>AV214="X"</formula>
    </cfRule>
    <cfRule type="expression" dxfId="5026" priority="540">
      <formula>AV214="후보"</formula>
    </cfRule>
  </conditionalFormatting>
  <conditionalFormatting sqref="AC214">
    <cfRule type="cellIs" dxfId="5025" priority="537" operator="greaterThan">
      <formula>0.9</formula>
    </cfRule>
    <cfRule type="cellIs" dxfId="5024" priority="538" operator="greaterThan">
      <formula>0.85</formula>
    </cfRule>
  </conditionalFormatting>
  <conditionalFormatting sqref="N214">
    <cfRule type="cellIs" dxfId="5023" priority="535" operator="greaterThan">
      <formula>0.9</formula>
    </cfRule>
    <cfRule type="cellIs" dxfId="5022" priority="536" operator="greaterThan">
      <formula>0.85</formula>
    </cfRule>
  </conditionalFormatting>
  <conditionalFormatting sqref="E214">
    <cfRule type="expression" dxfId="5021" priority="531">
      <formula>AND(IF(OR($Q214=1,$Q214=2),1,0),IF($X214&lt;=20,1,0))</formula>
    </cfRule>
    <cfRule type="expression" dxfId="5020" priority="532">
      <formula>AND(IF($Q214=2,1,0),IF($X214&lt;30,1,0))</formula>
    </cfRule>
    <cfRule type="expression" dxfId="5019" priority="533">
      <formula>AND(IF($Q214=3,1,0),IF($X214&lt;30,1,0))</formula>
    </cfRule>
    <cfRule type="expression" dxfId="5018" priority="534">
      <formula>AND(IF($Q214=3,1,IF($Q214=4,1,0)),IF($F214&lt;=85,1,0))</formula>
    </cfRule>
  </conditionalFormatting>
  <conditionalFormatting sqref="X214">
    <cfRule type="expression" dxfId="5017" priority="527">
      <formula>AND(IF(OR($Q214=1,$Q214=2),1,0),IF($X214&lt;=20,1,0))</formula>
    </cfRule>
    <cfRule type="expression" dxfId="5016" priority="528">
      <formula>AND(IF($Q214=2,1,0),IF($X214&lt;30,1,0))</formula>
    </cfRule>
    <cfRule type="expression" dxfId="5015" priority="529">
      <formula>AND(IF($Q214=3,1,0),IF($X214&lt;30,1,0))</formula>
    </cfRule>
    <cfRule type="expression" dxfId="5014" priority="530">
      <formula>AND(IF($Q214=3,1,IF($Q214=4,1,0)),IF($F214&lt;=85,1,0))</formula>
    </cfRule>
  </conditionalFormatting>
  <conditionalFormatting sqref="AI214">
    <cfRule type="expression" dxfId="5013" priority="523">
      <formula>AND(IF(OR($Q214=1,$Q214=2),1,0),IF($X214&lt;=20,1,0))</formula>
    </cfRule>
    <cfRule type="expression" dxfId="5012" priority="524">
      <formula>AND(IF($Q214=2,1,0),IF($X214&lt;30,1,0))</formula>
    </cfRule>
    <cfRule type="expression" dxfId="5011" priority="525">
      <formula>AND(IF($Q214=3,1,0),IF($X214&lt;30,1,0))</formula>
    </cfRule>
    <cfRule type="expression" dxfId="5010" priority="526">
      <formula>AND(IF($Q214=3,1,IF($Q214=4,1,0)),IF($F214&lt;=85,1,0))</formula>
    </cfRule>
  </conditionalFormatting>
  <conditionalFormatting sqref="AV215">
    <cfRule type="expression" dxfId="5009" priority="521">
      <formula>AV215="X"</formula>
    </cfRule>
    <cfRule type="expression" dxfId="5008" priority="522">
      <formula>AV215="후보"</formula>
    </cfRule>
  </conditionalFormatting>
  <conditionalFormatting sqref="AC215">
    <cfRule type="cellIs" dxfId="5007" priority="519" operator="greaterThan">
      <formula>0.9</formula>
    </cfRule>
    <cfRule type="cellIs" dxfId="5006" priority="520" operator="greaterThan">
      <formula>0.85</formula>
    </cfRule>
  </conditionalFormatting>
  <conditionalFormatting sqref="N215">
    <cfRule type="cellIs" dxfId="5005" priority="517" operator="greaterThan">
      <formula>0.9</formula>
    </cfRule>
    <cfRule type="cellIs" dxfId="5004" priority="518" operator="greaterThan">
      <formula>0.85</formula>
    </cfRule>
  </conditionalFormatting>
  <conditionalFormatting sqref="E215">
    <cfRule type="expression" dxfId="5003" priority="513">
      <formula>AND(IF(OR($Q215=1,$Q215=2),1,0),IF($X215&lt;=20,1,0))</formula>
    </cfRule>
    <cfRule type="expression" dxfId="5002" priority="514">
      <formula>AND(IF($Q215=2,1,0),IF($X215&lt;30,1,0))</formula>
    </cfRule>
    <cfRule type="expression" dxfId="5001" priority="515">
      <formula>AND(IF($Q215=3,1,0),IF($X215&lt;30,1,0))</formula>
    </cfRule>
    <cfRule type="expression" dxfId="5000" priority="516">
      <formula>AND(IF($Q215=3,1,IF($Q215=4,1,0)),IF($F215&lt;=85,1,0))</formula>
    </cfRule>
  </conditionalFormatting>
  <conditionalFormatting sqref="X215">
    <cfRule type="expression" dxfId="4999" priority="509">
      <formula>AND(IF(OR($Q215=1,$Q215=2),1,0),IF($X215&lt;=20,1,0))</formula>
    </cfRule>
    <cfRule type="expression" dxfId="4998" priority="510">
      <formula>AND(IF($Q215=2,1,0),IF($X215&lt;30,1,0))</formula>
    </cfRule>
    <cfRule type="expression" dxfId="4997" priority="511">
      <formula>AND(IF($Q215=3,1,0),IF($X215&lt;30,1,0))</formula>
    </cfRule>
    <cfRule type="expression" dxfId="4996" priority="512">
      <formula>AND(IF($Q215=3,1,IF($Q215=4,1,0)),IF($F215&lt;=85,1,0))</formula>
    </cfRule>
  </conditionalFormatting>
  <conditionalFormatting sqref="AI215">
    <cfRule type="expression" dxfId="4995" priority="505">
      <formula>AND(IF(OR($Q215=1,$Q215=2),1,0),IF($X215&lt;=20,1,0))</formula>
    </cfRule>
    <cfRule type="expression" dxfId="4994" priority="506">
      <formula>AND(IF($Q215=2,1,0),IF($X215&lt;30,1,0))</formula>
    </cfRule>
    <cfRule type="expression" dxfId="4993" priority="507">
      <formula>AND(IF($Q215=3,1,0),IF($X215&lt;30,1,0))</formula>
    </cfRule>
    <cfRule type="expression" dxfId="4992" priority="508">
      <formula>AND(IF($Q215=3,1,IF($Q215=4,1,0)),IF($F215&lt;=85,1,0))</formula>
    </cfRule>
  </conditionalFormatting>
  <conditionalFormatting sqref="AV216">
    <cfRule type="expression" dxfId="4991" priority="503">
      <formula>AV216="X"</formula>
    </cfRule>
    <cfRule type="expression" dxfId="4990" priority="504">
      <formula>AV216="후보"</formula>
    </cfRule>
  </conditionalFormatting>
  <conditionalFormatting sqref="AC216">
    <cfRule type="cellIs" dxfId="4989" priority="501" operator="greaterThan">
      <formula>0.9</formula>
    </cfRule>
    <cfRule type="cellIs" dxfId="4988" priority="502" operator="greaterThan">
      <formula>0.85</formula>
    </cfRule>
  </conditionalFormatting>
  <conditionalFormatting sqref="N216">
    <cfRule type="cellIs" dxfId="4987" priority="499" operator="greaterThan">
      <formula>0.9</formula>
    </cfRule>
    <cfRule type="cellIs" dxfId="4986" priority="500" operator="greaterThan">
      <formula>0.85</formula>
    </cfRule>
  </conditionalFormatting>
  <conditionalFormatting sqref="E216">
    <cfRule type="expression" dxfId="4985" priority="495">
      <formula>AND(IF(OR($Q216=1,$Q216=2),1,0),IF($X216&lt;=20,1,0))</formula>
    </cfRule>
    <cfRule type="expression" dxfId="4984" priority="496">
      <formula>AND(IF($Q216=2,1,0),IF($X216&lt;30,1,0))</formula>
    </cfRule>
    <cfRule type="expression" dxfId="4983" priority="497">
      <formula>AND(IF($Q216=3,1,0),IF($X216&lt;30,1,0))</formula>
    </cfRule>
    <cfRule type="expression" dxfId="4982" priority="498">
      <formula>AND(IF($Q216=3,1,IF($Q216=4,1,0)),IF($F216&lt;=85,1,0))</formula>
    </cfRule>
  </conditionalFormatting>
  <conditionalFormatting sqref="X216">
    <cfRule type="expression" dxfId="4981" priority="491">
      <formula>AND(IF(OR($Q216=1,$Q216=2),1,0),IF($X216&lt;=20,1,0))</formula>
    </cfRule>
    <cfRule type="expression" dxfId="4980" priority="492">
      <formula>AND(IF($Q216=2,1,0),IF($X216&lt;30,1,0))</formula>
    </cfRule>
    <cfRule type="expression" dxfId="4979" priority="493">
      <formula>AND(IF($Q216=3,1,0),IF($X216&lt;30,1,0))</formula>
    </cfRule>
    <cfRule type="expression" dxfId="4978" priority="494">
      <formula>AND(IF($Q216=3,1,IF($Q216=4,1,0)),IF($F216&lt;=85,1,0))</formula>
    </cfRule>
  </conditionalFormatting>
  <conditionalFormatting sqref="AI216">
    <cfRule type="expression" dxfId="4977" priority="487">
      <formula>AND(IF(OR($Q216=1,$Q216=2),1,0),IF($X216&lt;=20,1,0))</formula>
    </cfRule>
    <cfRule type="expression" dxfId="4976" priority="488">
      <formula>AND(IF($Q216=2,1,0),IF($X216&lt;30,1,0))</formula>
    </cfRule>
    <cfRule type="expression" dxfId="4975" priority="489">
      <formula>AND(IF($Q216=3,1,0),IF($X216&lt;30,1,0))</formula>
    </cfRule>
    <cfRule type="expression" dxfId="4974" priority="490">
      <formula>AND(IF($Q216=3,1,IF($Q216=4,1,0)),IF($F216&lt;=85,1,0))</formula>
    </cfRule>
  </conditionalFormatting>
  <conditionalFormatting sqref="AV217">
    <cfRule type="expression" dxfId="4973" priority="485">
      <formula>AV217="X"</formula>
    </cfRule>
    <cfRule type="expression" dxfId="4972" priority="486">
      <formula>AV217="후보"</formula>
    </cfRule>
  </conditionalFormatting>
  <conditionalFormatting sqref="AC217">
    <cfRule type="cellIs" dxfId="4971" priority="483" operator="greaterThan">
      <formula>0.9</formula>
    </cfRule>
    <cfRule type="cellIs" dxfId="4970" priority="484" operator="greaterThan">
      <formula>0.85</formula>
    </cfRule>
  </conditionalFormatting>
  <conditionalFormatting sqref="N217">
    <cfRule type="cellIs" dxfId="4969" priority="481" operator="greaterThan">
      <formula>0.9</formula>
    </cfRule>
    <cfRule type="cellIs" dxfId="4968" priority="482" operator="greaterThan">
      <formula>0.85</formula>
    </cfRule>
  </conditionalFormatting>
  <conditionalFormatting sqref="E217">
    <cfRule type="expression" dxfId="4967" priority="477">
      <formula>AND(IF(OR($Q217=1,$Q217=2),1,0),IF($X217&lt;=20,1,0))</formula>
    </cfRule>
    <cfRule type="expression" dxfId="4966" priority="478">
      <formula>AND(IF($Q217=2,1,0),IF($X217&lt;30,1,0))</formula>
    </cfRule>
    <cfRule type="expression" dxfId="4965" priority="479">
      <formula>AND(IF($Q217=3,1,0),IF($X217&lt;30,1,0))</formula>
    </cfRule>
    <cfRule type="expression" dxfId="4964" priority="480">
      <formula>AND(IF($Q217=3,1,IF($Q217=4,1,0)),IF($F217&lt;=85,1,0))</formula>
    </cfRule>
  </conditionalFormatting>
  <conditionalFormatting sqref="X217">
    <cfRule type="expression" dxfId="4963" priority="473">
      <formula>AND(IF(OR($Q217=1,$Q217=2),1,0),IF($X217&lt;=20,1,0))</formula>
    </cfRule>
    <cfRule type="expression" dxfId="4962" priority="474">
      <formula>AND(IF($Q217=2,1,0),IF($X217&lt;30,1,0))</formula>
    </cfRule>
    <cfRule type="expression" dxfId="4961" priority="475">
      <formula>AND(IF($Q217=3,1,0),IF($X217&lt;30,1,0))</formula>
    </cfRule>
    <cfRule type="expression" dxfId="4960" priority="476">
      <formula>AND(IF($Q217=3,1,IF($Q217=4,1,0)),IF($F217&lt;=85,1,0))</formula>
    </cfRule>
  </conditionalFormatting>
  <conditionalFormatting sqref="AI217">
    <cfRule type="expression" dxfId="4959" priority="469">
      <formula>AND(IF(OR($Q217=1,$Q217=2),1,0),IF($X217&lt;=20,1,0))</formula>
    </cfRule>
    <cfRule type="expression" dxfId="4958" priority="470">
      <formula>AND(IF($Q217=2,1,0),IF($X217&lt;30,1,0))</formula>
    </cfRule>
    <cfRule type="expression" dxfId="4957" priority="471">
      <formula>AND(IF($Q217=3,1,0),IF($X217&lt;30,1,0))</formula>
    </cfRule>
    <cfRule type="expression" dxfId="4956" priority="472">
      <formula>AND(IF($Q217=3,1,IF($Q217=4,1,0)),IF($F217&lt;=85,1,0))</formula>
    </cfRule>
  </conditionalFormatting>
  <conditionalFormatting sqref="AV218">
    <cfRule type="expression" dxfId="4955" priority="467">
      <formula>AV218="X"</formula>
    </cfRule>
    <cfRule type="expression" dxfId="4954" priority="468">
      <formula>AV218="후보"</formula>
    </cfRule>
  </conditionalFormatting>
  <conditionalFormatting sqref="AC218">
    <cfRule type="cellIs" dxfId="4953" priority="465" operator="greaterThan">
      <formula>0.9</formula>
    </cfRule>
    <cfRule type="cellIs" dxfId="4952" priority="466" operator="greaterThan">
      <formula>0.85</formula>
    </cfRule>
  </conditionalFormatting>
  <conditionalFormatting sqref="N218">
    <cfRule type="cellIs" dxfId="4951" priority="463" operator="greaterThan">
      <formula>0.9</formula>
    </cfRule>
    <cfRule type="cellIs" dxfId="4950" priority="464" operator="greaterThan">
      <formula>0.85</formula>
    </cfRule>
  </conditionalFormatting>
  <conditionalFormatting sqref="E218">
    <cfRule type="expression" dxfId="4949" priority="459">
      <formula>AND(IF(OR($Q218=1,$Q218=2),1,0),IF($X218&lt;=20,1,0))</formula>
    </cfRule>
    <cfRule type="expression" dxfId="4948" priority="460">
      <formula>AND(IF($Q218=2,1,0),IF($X218&lt;30,1,0))</formula>
    </cfRule>
    <cfRule type="expression" dxfId="4947" priority="461">
      <formula>AND(IF($Q218=3,1,0),IF($X218&lt;30,1,0))</formula>
    </cfRule>
    <cfRule type="expression" dxfId="4946" priority="462">
      <formula>AND(IF($Q218=3,1,IF($Q218=4,1,0)),IF($F218&lt;=85,1,0))</formula>
    </cfRule>
  </conditionalFormatting>
  <conditionalFormatting sqref="X218">
    <cfRule type="expression" dxfId="4945" priority="455">
      <formula>AND(IF(OR($Q218=1,$Q218=2),1,0),IF($X218&lt;=20,1,0))</formula>
    </cfRule>
    <cfRule type="expression" dxfId="4944" priority="456">
      <formula>AND(IF($Q218=2,1,0),IF($X218&lt;30,1,0))</formula>
    </cfRule>
    <cfRule type="expression" dxfId="4943" priority="457">
      <formula>AND(IF($Q218=3,1,0),IF($X218&lt;30,1,0))</formula>
    </cfRule>
    <cfRule type="expression" dxfId="4942" priority="458">
      <formula>AND(IF($Q218=3,1,IF($Q218=4,1,0)),IF($F218&lt;=85,1,0))</formula>
    </cfRule>
  </conditionalFormatting>
  <conditionalFormatting sqref="AI218">
    <cfRule type="expression" dxfId="4941" priority="451">
      <formula>AND(IF(OR($Q218=1,$Q218=2),1,0),IF($X218&lt;=20,1,0))</formula>
    </cfRule>
    <cfRule type="expression" dxfId="4940" priority="452">
      <formula>AND(IF($Q218=2,1,0),IF($X218&lt;30,1,0))</formula>
    </cfRule>
    <cfRule type="expression" dxfId="4939" priority="453">
      <formula>AND(IF($Q218=3,1,0),IF($X218&lt;30,1,0))</formula>
    </cfRule>
    <cfRule type="expression" dxfId="4938" priority="454">
      <formula>AND(IF($Q218=3,1,IF($Q218=4,1,0)),IF($F218&lt;=85,1,0))</formula>
    </cfRule>
  </conditionalFormatting>
  <conditionalFormatting sqref="AV219">
    <cfRule type="expression" dxfId="4937" priority="449">
      <formula>AV219="X"</formula>
    </cfRule>
    <cfRule type="expression" dxfId="4936" priority="450">
      <formula>AV219="후보"</formula>
    </cfRule>
  </conditionalFormatting>
  <conditionalFormatting sqref="AC219">
    <cfRule type="cellIs" dxfId="4935" priority="447" operator="greaterThan">
      <formula>0.9</formula>
    </cfRule>
    <cfRule type="cellIs" dxfId="4934" priority="448" operator="greaterThan">
      <formula>0.85</formula>
    </cfRule>
  </conditionalFormatting>
  <conditionalFormatting sqref="N219">
    <cfRule type="cellIs" dxfId="4933" priority="445" operator="greaterThan">
      <formula>0.9</formula>
    </cfRule>
    <cfRule type="cellIs" dxfId="4932" priority="446" operator="greaterThan">
      <formula>0.85</formula>
    </cfRule>
  </conditionalFormatting>
  <conditionalFormatting sqref="E219">
    <cfRule type="expression" dxfId="4931" priority="441">
      <formula>AND(IF(OR($Q219=1,$Q219=2),1,0),IF($X219&lt;=20,1,0))</formula>
    </cfRule>
    <cfRule type="expression" dxfId="4930" priority="442">
      <formula>AND(IF($Q219=2,1,0),IF($X219&lt;30,1,0))</formula>
    </cfRule>
    <cfRule type="expression" dxfId="4929" priority="443">
      <formula>AND(IF($Q219=3,1,0),IF($X219&lt;30,1,0))</formula>
    </cfRule>
    <cfRule type="expression" dxfId="4928" priority="444">
      <formula>AND(IF($Q219=3,1,IF($Q219=4,1,0)),IF($F219&lt;=85,1,0))</formula>
    </cfRule>
  </conditionalFormatting>
  <conditionalFormatting sqref="X219">
    <cfRule type="expression" dxfId="4927" priority="437">
      <formula>AND(IF(OR($Q219=1,$Q219=2),1,0),IF($X219&lt;=20,1,0))</formula>
    </cfRule>
    <cfRule type="expression" dxfId="4926" priority="438">
      <formula>AND(IF($Q219=2,1,0),IF($X219&lt;30,1,0))</formula>
    </cfRule>
    <cfRule type="expression" dxfId="4925" priority="439">
      <formula>AND(IF($Q219=3,1,0),IF($X219&lt;30,1,0))</formula>
    </cfRule>
    <cfRule type="expression" dxfId="4924" priority="440">
      <formula>AND(IF($Q219=3,1,IF($Q219=4,1,0)),IF($F219&lt;=85,1,0))</formula>
    </cfRule>
  </conditionalFormatting>
  <conditionalFormatting sqref="AI219">
    <cfRule type="expression" dxfId="4923" priority="433">
      <formula>AND(IF(OR($Q219=1,$Q219=2),1,0),IF($X219&lt;=20,1,0))</formula>
    </cfRule>
    <cfRule type="expression" dxfId="4922" priority="434">
      <formula>AND(IF($Q219=2,1,0),IF($X219&lt;30,1,0))</formula>
    </cfRule>
    <cfRule type="expression" dxfId="4921" priority="435">
      <formula>AND(IF($Q219=3,1,0),IF($X219&lt;30,1,0))</formula>
    </cfRule>
    <cfRule type="expression" dxfId="4920" priority="436">
      <formula>AND(IF($Q219=3,1,IF($Q219=4,1,0)),IF($F219&lt;=85,1,0))</formula>
    </cfRule>
  </conditionalFormatting>
  <conditionalFormatting sqref="AV220">
    <cfRule type="expression" dxfId="4919" priority="431">
      <formula>AV220="X"</formula>
    </cfRule>
    <cfRule type="expression" dxfId="4918" priority="432">
      <formula>AV220="후보"</formula>
    </cfRule>
  </conditionalFormatting>
  <conditionalFormatting sqref="AC220">
    <cfRule type="cellIs" dxfId="4917" priority="429" operator="greaterThan">
      <formula>0.9</formula>
    </cfRule>
    <cfRule type="cellIs" dxfId="4916" priority="430" operator="greaterThan">
      <formula>0.85</formula>
    </cfRule>
  </conditionalFormatting>
  <conditionalFormatting sqref="N220">
    <cfRule type="cellIs" dxfId="4915" priority="427" operator="greaterThan">
      <formula>0.9</formula>
    </cfRule>
    <cfRule type="cellIs" dxfId="4914" priority="428" operator="greaterThan">
      <formula>0.85</formula>
    </cfRule>
  </conditionalFormatting>
  <conditionalFormatting sqref="E220">
    <cfRule type="expression" dxfId="4913" priority="423">
      <formula>AND(IF(OR($Q220=1,$Q220=2),1,0),IF($X220&lt;=20,1,0))</formula>
    </cfRule>
    <cfRule type="expression" dxfId="4912" priority="424">
      <formula>AND(IF($Q220=2,1,0),IF($X220&lt;30,1,0))</formula>
    </cfRule>
    <cfRule type="expression" dxfId="4911" priority="425">
      <formula>AND(IF($Q220=3,1,0),IF($X220&lt;30,1,0))</formula>
    </cfRule>
    <cfRule type="expression" dxfId="4910" priority="426">
      <formula>AND(IF($Q220=3,1,IF($Q220=4,1,0)),IF($F220&lt;=85,1,0))</formula>
    </cfRule>
  </conditionalFormatting>
  <conditionalFormatting sqref="X220">
    <cfRule type="expression" dxfId="4909" priority="419">
      <formula>AND(IF(OR($Q220=1,$Q220=2),1,0),IF($X220&lt;=20,1,0))</formula>
    </cfRule>
    <cfRule type="expression" dxfId="4908" priority="420">
      <formula>AND(IF($Q220=2,1,0),IF($X220&lt;30,1,0))</formula>
    </cfRule>
    <cfRule type="expression" dxfId="4907" priority="421">
      <formula>AND(IF($Q220=3,1,0),IF($X220&lt;30,1,0))</formula>
    </cfRule>
    <cfRule type="expression" dxfId="4906" priority="422">
      <formula>AND(IF($Q220=3,1,IF($Q220=4,1,0)),IF($F220&lt;=85,1,0))</formula>
    </cfRule>
  </conditionalFormatting>
  <conditionalFormatting sqref="AI220">
    <cfRule type="expression" dxfId="4905" priority="415">
      <formula>AND(IF(OR($Q220=1,$Q220=2),1,0),IF($X220&lt;=20,1,0))</formula>
    </cfRule>
    <cfRule type="expression" dxfId="4904" priority="416">
      <formula>AND(IF($Q220=2,1,0),IF($X220&lt;30,1,0))</formula>
    </cfRule>
    <cfRule type="expression" dxfId="4903" priority="417">
      <formula>AND(IF($Q220=3,1,0),IF($X220&lt;30,1,0))</formula>
    </cfRule>
    <cfRule type="expression" dxfId="4902" priority="418">
      <formula>AND(IF($Q220=3,1,IF($Q220=4,1,0)),IF($F220&lt;=85,1,0))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9" style="74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100</v>
      </c>
      <c r="M1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</row>
    <row r="4" spans="1:22" s="37" customFormat="1" ht="12" x14ac:dyDescent="0.3">
      <c r="A4" s="75" t="s">
        <v>1077</v>
      </c>
      <c r="B4" s="76" t="s">
        <v>1078</v>
      </c>
      <c r="C4" s="86">
        <v>789</v>
      </c>
      <c r="D4" s="87">
        <v>131.4</v>
      </c>
      <c r="E4" s="88">
        <v>40</v>
      </c>
      <c r="F4" s="87">
        <v>105.7</v>
      </c>
      <c r="G4" s="17">
        <v>32</v>
      </c>
      <c r="H4" s="89">
        <v>391</v>
      </c>
      <c r="I4" s="90">
        <v>62000</v>
      </c>
      <c r="J4" s="90" t="s">
        <v>68</v>
      </c>
      <c r="K4" s="90">
        <v>50000</v>
      </c>
      <c r="L4" s="90" t="s">
        <v>89</v>
      </c>
      <c r="M4" s="91">
        <f>I4-K4</f>
        <v>12000</v>
      </c>
      <c r="N4" s="4">
        <f>IF(ISERROR(K4/I4),"",K4/I4)</f>
        <v>0.80645161290322576</v>
      </c>
      <c r="O4" s="92">
        <f>I4/E4</f>
        <v>1550</v>
      </c>
      <c r="P4" s="92">
        <f>K4/E4</f>
        <v>1250</v>
      </c>
      <c r="Q4" s="80">
        <v>3</v>
      </c>
      <c r="R4" s="80">
        <v>2</v>
      </c>
      <c r="S4" s="80" t="s">
        <v>61</v>
      </c>
      <c r="T4" s="5">
        <v>131</v>
      </c>
      <c r="U4" s="9"/>
    </row>
    <row r="5" spans="1:22" s="37" customFormat="1" ht="12" x14ac:dyDescent="0.3">
      <c r="A5" s="75" t="s">
        <v>1018</v>
      </c>
      <c r="B5" s="76" t="s">
        <v>996</v>
      </c>
      <c r="C5" s="86">
        <v>478</v>
      </c>
      <c r="D5" s="87">
        <v>193.7</v>
      </c>
      <c r="E5" s="88">
        <v>59</v>
      </c>
      <c r="F5" s="87">
        <v>157.4</v>
      </c>
      <c r="G5" s="17">
        <v>48</v>
      </c>
      <c r="H5" s="89">
        <v>72</v>
      </c>
      <c r="I5" s="90">
        <v>60000</v>
      </c>
      <c r="J5" s="90" t="s">
        <v>86</v>
      </c>
      <c r="K5" s="90"/>
      <c r="L5" s="90"/>
      <c r="M5" s="91">
        <f>I5-K5</f>
        <v>60000</v>
      </c>
      <c r="N5" s="4">
        <f>IF(ISERROR(K5/I5),"",K5/I5)</f>
        <v>0</v>
      </c>
      <c r="O5" s="92">
        <f>I5/E5</f>
        <v>1016.9491525423729</v>
      </c>
      <c r="P5" s="92">
        <f>K5/E5</f>
        <v>0</v>
      </c>
      <c r="Q5" s="80">
        <v>4</v>
      </c>
      <c r="R5" s="80">
        <v>2</v>
      </c>
      <c r="S5" s="80" t="s">
        <v>61</v>
      </c>
      <c r="T5" s="5">
        <v>193</v>
      </c>
      <c r="U5" s="9"/>
    </row>
    <row r="6" spans="1:22" s="37" customFormat="1" ht="12" x14ac:dyDescent="0.3">
      <c r="A6" s="75" t="s">
        <v>1311</v>
      </c>
      <c r="B6" s="76" t="s">
        <v>1310</v>
      </c>
      <c r="C6" s="86">
        <v>1338</v>
      </c>
      <c r="D6" s="87">
        <v>186.1</v>
      </c>
      <c r="E6" s="88">
        <v>56</v>
      </c>
      <c r="F6" s="87">
        <v>147.80000000000001</v>
      </c>
      <c r="G6" s="17">
        <v>45</v>
      </c>
      <c r="H6" s="89">
        <v>72</v>
      </c>
      <c r="I6" s="90">
        <v>60000</v>
      </c>
      <c r="J6" s="90" t="s">
        <v>101</v>
      </c>
      <c r="K6" s="90"/>
      <c r="L6" s="90"/>
      <c r="M6" s="91">
        <f>I6-K6</f>
        <v>60000</v>
      </c>
      <c r="N6" s="4">
        <f>IF(ISERROR(K6/I6),"",K6/I6)</f>
        <v>0</v>
      </c>
      <c r="O6" s="92">
        <f>I6/E6</f>
        <v>1071.4285714285713</v>
      </c>
      <c r="P6" s="92">
        <f>K6/E6</f>
        <v>0</v>
      </c>
      <c r="Q6" s="80">
        <v>4</v>
      </c>
      <c r="R6" s="80">
        <v>2</v>
      </c>
      <c r="S6" s="80" t="s">
        <v>61</v>
      </c>
      <c r="T6" s="5">
        <v>186</v>
      </c>
      <c r="U6" s="9"/>
    </row>
    <row r="7" spans="1:22" s="37" customFormat="1" ht="12" x14ac:dyDescent="0.3">
      <c r="A7" s="75" t="s">
        <v>1315</v>
      </c>
      <c r="B7" s="76" t="s">
        <v>1316</v>
      </c>
      <c r="C7" s="86">
        <v>1602</v>
      </c>
      <c r="D7" s="87">
        <v>202.1</v>
      </c>
      <c r="E7" s="88">
        <v>61</v>
      </c>
      <c r="F7" s="87">
        <v>166.8</v>
      </c>
      <c r="G7" s="17">
        <v>50</v>
      </c>
      <c r="H7" s="89">
        <v>72</v>
      </c>
      <c r="I7" s="90">
        <v>55500</v>
      </c>
      <c r="J7" s="90" t="s">
        <v>70</v>
      </c>
      <c r="K7" s="90">
        <v>40000</v>
      </c>
      <c r="L7" s="90" t="s">
        <v>86</v>
      </c>
      <c r="M7" s="91">
        <f>I7-K7</f>
        <v>15500</v>
      </c>
      <c r="N7" s="4">
        <f>IF(ISERROR(K7/I7),"",K7/I7)</f>
        <v>0.72072072072072069</v>
      </c>
      <c r="O7" s="92">
        <f>I7/E7</f>
        <v>909.8360655737705</v>
      </c>
      <c r="P7" s="92">
        <f>K7/E7</f>
        <v>655.73770491803282</v>
      </c>
      <c r="Q7" s="80">
        <v>4</v>
      </c>
      <c r="R7" s="80">
        <v>2</v>
      </c>
      <c r="S7" s="80" t="s">
        <v>61</v>
      </c>
      <c r="T7" s="5">
        <v>202</v>
      </c>
      <c r="U7" s="9"/>
    </row>
    <row r="8" spans="1:22" s="37" customFormat="1" ht="12" x14ac:dyDescent="0.3">
      <c r="A8" s="75" t="s">
        <v>1317</v>
      </c>
      <c r="B8" s="76" t="s">
        <v>1310</v>
      </c>
      <c r="C8" s="86">
        <v>1529</v>
      </c>
      <c r="D8" s="87">
        <v>189.3</v>
      </c>
      <c r="E8" s="88">
        <v>57</v>
      </c>
      <c r="F8" s="87">
        <v>161.9</v>
      </c>
      <c r="G8" s="17">
        <v>49</v>
      </c>
      <c r="H8" s="89">
        <v>34</v>
      </c>
      <c r="I8" s="90">
        <v>52000</v>
      </c>
      <c r="J8" s="90" t="s">
        <v>68</v>
      </c>
      <c r="K8" s="90">
        <v>40000</v>
      </c>
      <c r="L8" s="90" t="s">
        <v>65</v>
      </c>
      <c r="M8" s="91">
        <f>I8-K8</f>
        <v>12000</v>
      </c>
      <c r="N8" s="4">
        <f>IF(ISERROR(K8/I8),"",K8/I8)</f>
        <v>0.76923076923076927</v>
      </c>
      <c r="O8" s="92">
        <f>I8/E8</f>
        <v>912.28070175438597</v>
      </c>
      <c r="P8" s="92">
        <f>K8/E8</f>
        <v>701.75438596491233</v>
      </c>
      <c r="Q8" s="80">
        <v>4</v>
      </c>
      <c r="R8" s="80">
        <v>2</v>
      </c>
      <c r="S8" s="80" t="s">
        <v>61</v>
      </c>
      <c r="T8" s="5">
        <v>189</v>
      </c>
      <c r="U8" s="9"/>
    </row>
    <row r="9" spans="1:22" s="37" customFormat="1" ht="12" x14ac:dyDescent="0.3">
      <c r="A9" s="75" t="s">
        <v>1077</v>
      </c>
      <c r="B9" s="76" t="s">
        <v>1078</v>
      </c>
      <c r="C9" s="86">
        <v>789</v>
      </c>
      <c r="D9" s="87">
        <v>109.9</v>
      </c>
      <c r="E9" s="88">
        <v>33</v>
      </c>
      <c r="F9" s="87">
        <v>84.8</v>
      </c>
      <c r="G9" s="17">
        <v>26</v>
      </c>
      <c r="H9" s="89">
        <v>168</v>
      </c>
      <c r="I9" s="90">
        <v>51500</v>
      </c>
      <c r="J9" s="90" t="s">
        <v>66</v>
      </c>
      <c r="K9" s="90">
        <v>38000</v>
      </c>
      <c r="L9" s="90" t="s">
        <v>68</v>
      </c>
      <c r="M9" s="91">
        <f>I9-K9</f>
        <v>13500</v>
      </c>
      <c r="N9" s="4">
        <f>IF(ISERROR(K9/I9),"",K9/I9)</f>
        <v>0.73786407766990292</v>
      </c>
      <c r="O9" s="92">
        <f>I9/E9</f>
        <v>1560.6060606060605</v>
      </c>
      <c r="P9" s="92">
        <f>K9/E9</f>
        <v>1151.5151515151515</v>
      </c>
      <c r="Q9" s="80">
        <v>3</v>
      </c>
      <c r="R9" s="80">
        <v>2</v>
      </c>
      <c r="S9" s="80" t="s">
        <v>61</v>
      </c>
      <c r="T9" s="5" t="s">
        <v>90</v>
      </c>
      <c r="U9" s="9"/>
    </row>
    <row r="10" spans="1:22" s="37" customFormat="1" ht="12" x14ac:dyDescent="0.3">
      <c r="A10" s="75" t="s">
        <v>1361</v>
      </c>
      <c r="B10" s="76" t="s">
        <v>1362</v>
      </c>
      <c r="C10" s="86">
        <v>321</v>
      </c>
      <c r="D10" s="87">
        <v>129.5</v>
      </c>
      <c r="E10" s="88">
        <v>39</v>
      </c>
      <c r="F10" s="87">
        <v>103.7</v>
      </c>
      <c r="G10" s="17">
        <v>31</v>
      </c>
      <c r="H10" s="89">
        <v>321</v>
      </c>
      <c r="I10" s="90">
        <v>51000</v>
      </c>
      <c r="J10" s="90" t="s">
        <v>79</v>
      </c>
      <c r="K10" s="90">
        <v>45000</v>
      </c>
      <c r="L10" s="90" t="s">
        <v>70</v>
      </c>
      <c r="M10" s="91">
        <f>I10-K10</f>
        <v>6000</v>
      </c>
      <c r="N10" s="4">
        <f>IF(ISERROR(K10/I10),"",K10/I10)</f>
        <v>0.88235294117647056</v>
      </c>
      <c r="O10" s="92">
        <f>I10/E10</f>
        <v>1307.6923076923076</v>
      </c>
      <c r="P10" s="92">
        <f>K10/E10</f>
        <v>1153.8461538461538</v>
      </c>
      <c r="Q10" s="80">
        <v>4</v>
      </c>
      <c r="R10" s="80">
        <v>2</v>
      </c>
      <c r="S10" s="80" t="s">
        <v>61</v>
      </c>
      <c r="T10" s="5">
        <v>129</v>
      </c>
      <c r="U10" s="9"/>
    </row>
    <row r="11" spans="1:22" s="37" customFormat="1" ht="12" x14ac:dyDescent="0.3">
      <c r="A11" s="75" t="s">
        <v>994</v>
      </c>
      <c r="B11" s="76" t="s">
        <v>996</v>
      </c>
      <c r="C11" s="86">
        <v>333</v>
      </c>
      <c r="D11" s="87">
        <v>193.3</v>
      </c>
      <c r="E11" s="88">
        <v>58</v>
      </c>
      <c r="F11" s="87">
        <v>157.4</v>
      </c>
      <c r="G11" s="17">
        <v>48</v>
      </c>
      <c r="H11" s="89">
        <v>70</v>
      </c>
      <c r="I11" s="90">
        <v>50000</v>
      </c>
      <c r="J11" s="90" t="s">
        <v>68</v>
      </c>
      <c r="K11" s="90"/>
      <c r="L11" s="90"/>
      <c r="M11" s="91">
        <f>I11-K11</f>
        <v>50000</v>
      </c>
      <c r="N11" s="4">
        <f>IF(ISERROR(K11/I11),"",K11/I11)</f>
        <v>0</v>
      </c>
      <c r="O11" s="92">
        <f>I11/E11</f>
        <v>862.06896551724139</v>
      </c>
      <c r="P11" s="92">
        <f>K11/E11</f>
        <v>0</v>
      </c>
      <c r="Q11" s="80">
        <v>3</v>
      </c>
      <c r="R11" s="80">
        <v>3</v>
      </c>
      <c r="S11" s="80" t="s">
        <v>61</v>
      </c>
      <c r="T11" s="5">
        <v>193</v>
      </c>
      <c r="U11" s="9"/>
    </row>
    <row r="12" spans="1:22" s="37" customFormat="1" ht="12" x14ac:dyDescent="0.3">
      <c r="A12" s="75" t="s">
        <v>1311</v>
      </c>
      <c r="B12" s="76" t="s">
        <v>1310</v>
      </c>
      <c r="C12" s="86">
        <v>1338</v>
      </c>
      <c r="D12" s="87">
        <v>160.6</v>
      </c>
      <c r="E12" s="88">
        <v>49</v>
      </c>
      <c r="F12" s="87">
        <v>129.19999999999999</v>
      </c>
      <c r="G12" s="17">
        <v>39</v>
      </c>
      <c r="H12" s="89">
        <v>144</v>
      </c>
      <c r="I12" s="90">
        <v>50000</v>
      </c>
      <c r="J12" s="90" t="s">
        <v>67</v>
      </c>
      <c r="K12" s="90"/>
      <c r="L12" s="90"/>
      <c r="M12" s="91">
        <f>I12-K12</f>
        <v>50000</v>
      </c>
      <c r="N12" s="4">
        <f>IF(ISERROR(K12/I12),"",K12/I12)</f>
        <v>0</v>
      </c>
      <c r="O12" s="92">
        <f>I12/E12</f>
        <v>1020.4081632653061</v>
      </c>
      <c r="P12" s="92">
        <f>K12/E12</f>
        <v>0</v>
      </c>
      <c r="Q12" s="80">
        <v>4</v>
      </c>
      <c r="R12" s="80">
        <v>2</v>
      </c>
      <c r="S12" s="80" t="s">
        <v>61</v>
      </c>
      <c r="T12" s="5">
        <v>160</v>
      </c>
      <c r="U12" s="9"/>
    </row>
    <row r="13" spans="1:22" s="37" customFormat="1" ht="12" x14ac:dyDescent="0.3">
      <c r="A13" s="75" t="s">
        <v>1323</v>
      </c>
      <c r="B13" s="76" t="s">
        <v>1324</v>
      </c>
      <c r="C13" s="86">
        <v>2500</v>
      </c>
      <c r="D13" s="87">
        <v>120</v>
      </c>
      <c r="E13" s="88">
        <v>36</v>
      </c>
      <c r="F13" s="87">
        <v>85</v>
      </c>
      <c r="G13" s="17">
        <v>26</v>
      </c>
      <c r="H13" s="89">
        <v>438</v>
      </c>
      <c r="I13" s="90">
        <v>49000</v>
      </c>
      <c r="J13" s="90" t="s">
        <v>102</v>
      </c>
      <c r="K13" s="90">
        <v>35000</v>
      </c>
      <c r="L13" s="90" t="s">
        <v>101</v>
      </c>
      <c r="M13" s="91">
        <f>I13-K13</f>
        <v>14000</v>
      </c>
      <c r="N13" s="4">
        <f>IF(ISERROR(K13/I13),"",K13/I13)</f>
        <v>0.7142857142857143</v>
      </c>
      <c r="O13" s="92">
        <f>I13/E13</f>
        <v>1361.1111111111111</v>
      </c>
      <c r="P13" s="92">
        <f>K13/E13</f>
        <v>972.22222222222217</v>
      </c>
      <c r="Q13" s="80">
        <v>3</v>
      </c>
      <c r="R13" s="80">
        <v>2</v>
      </c>
      <c r="S13" s="80" t="s">
        <v>61</v>
      </c>
      <c r="T13" s="5" t="s">
        <v>103</v>
      </c>
      <c r="U13" s="9"/>
    </row>
    <row r="14" spans="1:22" s="37" customFormat="1" ht="12" x14ac:dyDescent="0.3">
      <c r="A14" s="75" t="s">
        <v>1008</v>
      </c>
      <c r="B14" s="76" t="s">
        <v>1007</v>
      </c>
      <c r="C14" s="86">
        <v>729</v>
      </c>
      <c r="D14" s="87">
        <v>99</v>
      </c>
      <c r="E14" s="88">
        <v>30</v>
      </c>
      <c r="F14" s="87">
        <v>74.400000000000006</v>
      </c>
      <c r="G14" s="17">
        <v>23</v>
      </c>
      <c r="H14" s="89">
        <v>119</v>
      </c>
      <c r="I14" s="90">
        <v>48000</v>
      </c>
      <c r="J14" s="90" t="s">
        <v>104</v>
      </c>
      <c r="K14" s="90"/>
      <c r="L14" s="90"/>
      <c r="M14" s="91">
        <f>I14-K14</f>
        <v>48000</v>
      </c>
      <c r="N14" s="4">
        <f>IF(ISERROR(K14/I14),"",K14/I14)</f>
        <v>0</v>
      </c>
      <c r="O14" s="92">
        <f>I14/E14</f>
        <v>1600</v>
      </c>
      <c r="P14" s="92">
        <f>K14/E14</f>
        <v>0</v>
      </c>
      <c r="Q14" s="80">
        <v>3</v>
      </c>
      <c r="R14" s="80">
        <v>2</v>
      </c>
      <c r="S14" s="80" t="s">
        <v>61</v>
      </c>
      <c r="T14" s="5">
        <v>98</v>
      </c>
      <c r="U14" s="9"/>
    </row>
    <row r="15" spans="1:22" s="37" customFormat="1" ht="12" x14ac:dyDescent="0.3">
      <c r="A15" s="75" t="s">
        <v>957</v>
      </c>
      <c r="B15" s="76" t="s">
        <v>958</v>
      </c>
      <c r="C15" s="86">
        <v>508</v>
      </c>
      <c r="D15" s="87">
        <v>110.1</v>
      </c>
      <c r="E15" s="88">
        <v>33</v>
      </c>
      <c r="F15" s="87">
        <v>84.9</v>
      </c>
      <c r="G15" s="17">
        <v>26</v>
      </c>
      <c r="H15" s="89">
        <v>154</v>
      </c>
      <c r="I15" s="90">
        <v>47500</v>
      </c>
      <c r="J15" s="90" t="s">
        <v>80</v>
      </c>
      <c r="K15" s="90">
        <v>36000</v>
      </c>
      <c r="L15" s="90" t="s">
        <v>70</v>
      </c>
      <c r="M15" s="91">
        <f>I15-K15</f>
        <v>11500</v>
      </c>
      <c r="N15" s="4">
        <f>IF(ISERROR(K15/I15),"",K15/I15)</f>
        <v>0.75789473684210529</v>
      </c>
      <c r="O15" s="92">
        <f>I15/E15</f>
        <v>1439.3939393939395</v>
      </c>
      <c r="P15" s="92">
        <f>K15/E15</f>
        <v>1090.909090909091</v>
      </c>
      <c r="Q15" s="80">
        <v>3</v>
      </c>
      <c r="R15" s="80">
        <v>2</v>
      </c>
      <c r="S15" s="80" t="s">
        <v>61</v>
      </c>
      <c r="T15" s="5">
        <v>110</v>
      </c>
      <c r="U15" s="9"/>
    </row>
    <row r="16" spans="1:22" s="37" customFormat="1" ht="12" x14ac:dyDescent="0.3">
      <c r="A16" s="75" t="s">
        <v>1019</v>
      </c>
      <c r="B16" s="76" t="s">
        <v>996</v>
      </c>
      <c r="C16" s="86">
        <v>478</v>
      </c>
      <c r="D16" s="87">
        <v>154.1</v>
      </c>
      <c r="E16" s="88">
        <v>47</v>
      </c>
      <c r="F16" s="87">
        <v>124.6</v>
      </c>
      <c r="G16" s="17">
        <v>38</v>
      </c>
      <c r="H16" s="89">
        <v>88</v>
      </c>
      <c r="I16" s="90">
        <v>47000</v>
      </c>
      <c r="J16" s="90" t="s">
        <v>69</v>
      </c>
      <c r="K16" s="90">
        <v>35000</v>
      </c>
      <c r="L16" s="90" t="s">
        <v>65</v>
      </c>
      <c r="M16" s="91">
        <f>I16-K16</f>
        <v>12000</v>
      </c>
      <c r="N16" s="4">
        <f>IF(ISERROR(K16/I16),"",K16/I16)</f>
        <v>0.74468085106382975</v>
      </c>
      <c r="O16" s="92">
        <f>I16/E16</f>
        <v>1000</v>
      </c>
      <c r="P16" s="92">
        <f>K16/E16</f>
        <v>744.68085106382978</v>
      </c>
      <c r="Q16" s="80">
        <v>4</v>
      </c>
      <c r="R16" s="80">
        <v>2</v>
      </c>
      <c r="S16" s="80" t="s">
        <v>61</v>
      </c>
      <c r="T16" s="5">
        <v>154</v>
      </c>
      <c r="U16" s="9"/>
    </row>
    <row r="17" spans="1:21" s="37" customFormat="1" ht="12" x14ac:dyDescent="0.3">
      <c r="A17" s="75" t="s">
        <v>1295</v>
      </c>
      <c r="B17" s="76" t="s">
        <v>1292</v>
      </c>
      <c r="C17" s="86">
        <v>903</v>
      </c>
      <c r="D17" s="87">
        <v>108.8</v>
      </c>
      <c r="E17" s="88">
        <v>33</v>
      </c>
      <c r="F17" s="87">
        <v>84.8</v>
      </c>
      <c r="G17" s="17">
        <v>26</v>
      </c>
      <c r="H17" s="89">
        <v>475</v>
      </c>
      <c r="I17" s="90">
        <v>46000</v>
      </c>
      <c r="J17" s="90" t="s">
        <v>67</v>
      </c>
      <c r="K17" s="90">
        <v>35000</v>
      </c>
      <c r="L17" s="90" t="s">
        <v>59</v>
      </c>
      <c r="M17" s="91">
        <f>I17-K17</f>
        <v>11000</v>
      </c>
      <c r="N17" s="4">
        <f>IF(ISERROR(K17/I17),"",K17/I17)</f>
        <v>0.76086956521739135</v>
      </c>
      <c r="O17" s="92">
        <f>I17/E17</f>
        <v>1393.939393939394</v>
      </c>
      <c r="P17" s="92">
        <f>K17/E17</f>
        <v>1060.6060606060605</v>
      </c>
      <c r="Q17" s="80">
        <v>3</v>
      </c>
      <c r="R17" s="80">
        <v>2</v>
      </c>
      <c r="S17" s="80" t="s">
        <v>61</v>
      </c>
      <c r="T17" s="5" t="s">
        <v>105</v>
      </c>
      <c r="U17" s="9"/>
    </row>
    <row r="18" spans="1:21" s="37" customFormat="1" ht="12" x14ac:dyDescent="0.3">
      <c r="A18" s="75" t="s">
        <v>1315</v>
      </c>
      <c r="B18" s="76" t="s">
        <v>1316</v>
      </c>
      <c r="C18" s="86">
        <v>1602</v>
      </c>
      <c r="D18" s="87">
        <v>156.1</v>
      </c>
      <c r="E18" s="88">
        <v>47</v>
      </c>
      <c r="F18" s="87">
        <v>122.6</v>
      </c>
      <c r="G18" s="17">
        <v>37</v>
      </c>
      <c r="H18" s="89">
        <v>280</v>
      </c>
      <c r="I18" s="90">
        <v>45000</v>
      </c>
      <c r="J18" s="90" t="s">
        <v>68</v>
      </c>
      <c r="K18" s="90">
        <v>38500</v>
      </c>
      <c r="L18" s="90" t="s">
        <v>86</v>
      </c>
      <c r="M18" s="91">
        <f>I18-K18</f>
        <v>6500</v>
      </c>
      <c r="N18" s="4">
        <f>IF(ISERROR(K18/I18),"",K18/I18)</f>
        <v>0.85555555555555551</v>
      </c>
      <c r="O18" s="92">
        <f>I18/E18</f>
        <v>957.44680851063833</v>
      </c>
      <c r="P18" s="92">
        <f>K18/E18</f>
        <v>819.14893617021278</v>
      </c>
      <c r="Q18" s="80">
        <v>4</v>
      </c>
      <c r="R18" s="80">
        <v>2</v>
      </c>
      <c r="S18" s="80" t="s">
        <v>61</v>
      </c>
      <c r="T18" s="5">
        <v>156</v>
      </c>
      <c r="U18" s="9"/>
    </row>
    <row r="19" spans="1:21" s="37" customFormat="1" ht="12" x14ac:dyDescent="0.3">
      <c r="A19" s="75" t="s">
        <v>1364</v>
      </c>
      <c r="B19" s="76" t="s">
        <v>1076</v>
      </c>
      <c r="C19" s="86">
        <v>417</v>
      </c>
      <c r="D19" s="87">
        <v>112.5</v>
      </c>
      <c r="E19" s="88">
        <v>34</v>
      </c>
      <c r="F19" s="87">
        <v>85</v>
      </c>
      <c r="G19" s="17">
        <v>26</v>
      </c>
      <c r="H19" s="89">
        <v>228</v>
      </c>
      <c r="I19" s="90">
        <v>45000</v>
      </c>
      <c r="J19" s="90" t="s">
        <v>101</v>
      </c>
      <c r="K19" s="90">
        <v>33000</v>
      </c>
      <c r="L19" s="90" t="s">
        <v>60</v>
      </c>
      <c r="M19" s="91">
        <f>I19-K19</f>
        <v>12000</v>
      </c>
      <c r="N19" s="4">
        <f>IF(ISERROR(K19/I19),"",K19/I19)</f>
        <v>0.73333333333333328</v>
      </c>
      <c r="O19" s="92">
        <f>I19/E19</f>
        <v>1323.5294117647059</v>
      </c>
      <c r="P19" s="92">
        <f>K19/E19</f>
        <v>970.58823529411768</v>
      </c>
      <c r="Q19" s="80">
        <v>3</v>
      </c>
      <c r="R19" s="80">
        <v>2</v>
      </c>
      <c r="S19" s="80" t="s">
        <v>61</v>
      </c>
      <c r="T19" s="5" t="s">
        <v>87</v>
      </c>
      <c r="U19" s="9"/>
    </row>
    <row r="20" spans="1:21" s="37" customFormat="1" ht="12" x14ac:dyDescent="0.3">
      <c r="A20" s="75" t="s">
        <v>1079</v>
      </c>
      <c r="B20" s="76" t="s">
        <v>1080</v>
      </c>
      <c r="C20" s="86">
        <v>780</v>
      </c>
      <c r="D20" s="87">
        <v>109.2</v>
      </c>
      <c r="E20" s="88">
        <v>33</v>
      </c>
      <c r="F20" s="87">
        <v>84.8</v>
      </c>
      <c r="G20" s="17">
        <v>26</v>
      </c>
      <c r="H20" s="89">
        <v>414</v>
      </c>
      <c r="I20" s="90">
        <v>45000</v>
      </c>
      <c r="J20" s="90" t="s">
        <v>69</v>
      </c>
      <c r="K20" s="90">
        <v>39000</v>
      </c>
      <c r="L20" s="90" t="s">
        <v>89</v>
      </c>
      <c r="M20" s="91">
        <f>I20-K20</f>
        <v>6000</v>
      </c>
      <c r="N20" s="4">
        <f>IF(ISERROR(K20/I20),"",K20/I20)</f>
        <v>0.8666666666666667</v>
      </c>
      <c r="O20" s="92">
        <f>I20/E20</f>
        <v>1363.6363636363637</v>
      </c>
      <c r="P20" s="92">
        <f>K20/E20</f>
        <v>1181.8181818181818</v>
      </c>
      <c r="Q20" s="80">
        <v>3</v>
      </c>
      <c r="R20" s="80">
        <v>2</v>
      </c>
      <c r="S20" s="80" t="s">
        <v>61</v>
      </c>
      <c r="T20" s="5" t="s">
        <v>90</v>
      </c>
      <c r="U20" s="9"/>
    </row>
    <row r="21" spans="1:21" s="37" customFormat="1" ht="12" x14ac:dyDescent="0.3">
      <c r="A21" s="75" t="s">
        <v>1044</v>
      </c>
      <c r="B21" s="76" t="s">
        <v>1045</v>
      </c>
      <c r="C21" s="86">
        <v>614</v>
      </c>
      <c r="D21" s="87">
        <v>110.6</v>
      </c>
      <c r="E21" s="88">
        <v>33</v>
      </c>
      <c r="F21" s="87">
        <v>84.9</v>
      </c>
      <c r="G21" s="17">
        <v>26</v>
      </c>
      <c r="H21" s="89">
        <v>203</v>
      </c>
      <c r="I21" s="90">
        <v>44000</v>
      </c>
      <c r="J21" s="90" t="s">
        <v>64</v>
      </c>
      <c r="K21" s="90">
        <v>36000</v>
      </c>
      <c r="L21" s="90" t="s">
        <v>68</v>
      </c>
      <c r="M21" s="91">
        <f>I21-K21</f>
        <v>8000</v>
      </c>
      <c r="N21" s="4">
        <f>IF(ISERROR(K21/I21),"",K21/I21)</f>
        <v>0.81818181818181823</v>
      </c>
      <c r="O21" s="92">
        <f>I21/E21</f>
        <v>1333.3333333333333</v>
      </c>
      <c r="P21" s="92">
        <f>K21/E21</f>
        <v>1090.909090909091</v>
      </c>
      <c r="Q21" s="80">
        <v>3</v>
      </c>
      <c r="R21" s="80">
        <v>2</v>
      </c>
      <c r="S21" s="80" t="s">
        <v>61</v>
      </c>
      <c r="T21" s="5" t="s">
        <v>107</v>
      </c>
      <c r="U21" s="9"/>
    </row>
    <row r="22" spans="1:21" s="37" customFormat="1" ht="12" x14ac:dyDescent="0.3">
      <c r="A22" s="75" t="s">
        <v>1322</v>
      </c>
      <c r="B22" s="76" t="s">
        <v>1007</v>
      </c>
      <c r="C22" s="86">
        <v>2500</v>
      </c>
      <c r="D22" s="87">
        <v>100.7</v>
      </c>
      <c r="E22" s="88">
        <v>30</v>
      </c>
      <c r="F22" s="87">
        <v>71</v>
      </c>
      <c r="G22" s="17">
        <v>21</v>
      </c>
      <c r="H22" s="89">
        <v>226</v>
      </c>
      <c r="I22" s="90">
        <v>42500</v>
      </c>
      <c r="J22" s="90" t="s">
        <v>68</v>
      </c>
      <c r="K22" s="90">
        <v>33000</v>
      </c>
      <c r="L22" s="90" t="s">
        <v>919</v>
      </c>
      <c r="M22" s="91">
        <f>I22-K22</f>
        <v>9500</v>
      </c>
      <c r="N22" s="4">
        <f>IF(ISERROR(K22/I22),"",K22/I22)</f>
        <v>0.77647058823529413</v>
      </c>
      <c r="O22" s="92">
        <f>I22/E22</f>
        <v>1416.6666666666667</v>
      </c>
      <c r="P22" s="92">
        <f>K22/E22</f>
        <v>1100</v>
      </c>
      <c r="Q22" s="80">
        <v>3</v>
      </c>
      <c r="R22" s="80">
        <v>2</v>
      </c>
      <c r="S22" s="80" t="s">
        <v>61</v>
      </c>
      <c r="T22" s="5" t="s">
        <v>108</v>
      </c>
      <c r="U22" s="9"/>
    </row>
    <row r="23" spans="1:21" s="37" customFormat="1" ht="12" x14ac:dyDescent="0.3">
      <c r="A23" s="75" t="s">
        <v>1061</v>
      </c>
      <c r="B23" s="76" t="s">
        <v>1062</v>
      </c>
      <c r="C23" s="86">
        <v>748</v>
      </c>
      <c r="D23" s="87">
        <v>111.2</v>
      </c>
      <c r="E23" s="88">
        <v>34</v>
      </c>
      <c r="F23" s="87">
        <v>85</v>
      </c>
      <c r="G23" s="17">
        <v>26</v>
      </c>
      <c r="H23" s="89">
        <v>149</v>
      </c>
      <c r="I23" s="90">
        <v>41600</v>
      </c>
      <c r="J23" s="90" t="s">
        <v>68</v>
      </c>
      <c r="K23" s="90">
        <v>30000</v>
      </c>
      <c r="L23" s="90" t="s">
        <v>104</v>
      </c>
      <c r="M23" s="91">
        <f>I23-K23</f>
        <v>11600</v>
      </c>
      <c r="N23" s="4">
        <f>IF(ISERROR(K23/I23),"",K23/I23)</f>
        <v>0.72115384615384615</v>
      </c>
      <c r="O23" s="92">
        <f>I23/E23</f>
        <v>1223.5294117647059</v>
      </c>
      <c r="P23" s="92">
        <f>K23/E23</f>
        <v>882.35294117647061</v>
      </c>
      <c r="Q23" s="80">
        <v>3</v>
      </c>
      <c r="R23" s="80">
        <v>2</v>
      </c>
      <c r="S23" s="80" t="s">
        <v>61</v>
      </c>
      <c r="T23" s="5" t="s">
        <v>109</v>
      </c>
      <c r="U23" s="9"/>
    </row>
    <row r="24" spans="1:21" s="37" customFormat="1" ht="12" x14ac:dyDescent="0.3">
      <c r="A24" s="75" t="s">
        <v>1008</v>
      </c>
      <c r="B24" s="76" t="s">
        <v>1007</v>
      </c>
      <c r="C24" s="86">
        <v>729</v>
      </c>
      <c r="D24" s="87">
        <v>84.8</v>
      </c>
      <c r="E24" s="88">
        <v>26</v>
      </c>
      <c r="F24" s="87">
        <v>60</v>
      </c>
      <c r="G24" s="17">
        <v>18</v>
      </c>
      <c r="H24" s="89">
        <v>204</v>
      </c>
      <c r="I24" s="90">
        <v>40000</v>
      </c>
      <c r="J24" s="90" t="s">
        <v>909</v>
      </c>
      <c r="K24" s="90">
        <v>29000</v>
      </c>
      <c r="L24" s="90" t="s">
        <v>89</v>
      </c>
      <c r="M24" s="91">
        <f>I24-K24</f>
        <v>11000</v>
      </c>
      <c r="N24" s="4">
        <f>IF(ISERROR(K24/I24),"",K24/I24)</f>
        <v>0.72499999999999998</v>
      </c>
      <c r="O24" s="92">
        <f>I24/E24</f>
        <v>1538.4615384615386</v>
      </c>
      <c r="P24" s="92">
        <f>K24/E24</f>
        <v>1115.3846153846155</v>
      </c>
      <c r="Q24" s="80">
        <v>3</v>
      </c>
      <c r="R24" s="80">
        <v>2</v>
      </c>
      <c r="S24" s="80" t="s">
        <v>61</v>
      </c>
      <c r="T24" s="5">
        <v>84</v>
      </c>
      <c r="U24" s="9"/>
    </row>
    <row r="25" spans="1:21" s="37" customFormat="1" ht="12" x14ac:dyDescent="0.3">
      <c r="A25" s="75" t="s">
        <v>1023</v>
      </c>
      <c r="B25" s="76" t="s">
        <v>1024</v>
      </c>
      <c r="C25" s="86">
        <v>472</v>
      </c>
      <c r="D25" s="87">
        <v>110.5</v>
      </c>
      <c r="E25" s="88">
        <v>33</v>
      </c>
      <c r="F25" s="87">
        <v>85</v>
      </c>
      <c r="G25" s="17">
        <v>26</v>
      </c>
      <c r="H25" s="89">
        <v>401</v>
      </c>
      <c r="I25" s="90">
        <v>40000</v>
      </c>
      <c r="J25" s="90" t="s">
        <v>68</v>
      </c>
      <c r="K25" s="90">
        <v>32000</v>
      </c>
      <c r="L25" s="90" t="s">
        <v>68</v>
      </c>
      <c r="M25" s="91">
        <f>I25-K25</f>
        <v>8000</v>
      </c>
      <c r="N25" s="4">
        <f>IF(ISERROR(K25/I25),"",K25/I25)</f>
        <v>0.8</v>
      </c>
      <c r="O25" s="92">
        <f>I25/E25</f>
        <v>1212.121212121212</v>
      </c>
      <c r="P25" s="92">
        <f>K25/E25</f>
        <v>969.69696969696975</v>
      </c>
      <c r="Q25" s="80">
        <v>3</v>
      </c>
      <c r="R25" s="80">
        <v>2</v>
      </c>
      <c r="S25" s="80" t="s">
        <v>61</v>
      </c>
      <c r="T25" s="5">
        <v>110</v>
      </c>
      <c r="U25" s="9"/>
    </row>
    <row r="26" spans="1:21" s="37" customFormat="1" ht="12" x14ac:dyDescent="0.3">
      <c r="A26" s="75" t="s">
        <v>1333</v>
      </c>
      <c r="B26" s="76" t="s">
        <v>1310</v>
      </c>
      <c r="C26" s="86">
        <v>1120</v>
      </c>
      <c r="D26" s="87">
        <v>151</v>
      </c>
      <c r="E26" s="88">
        <v>46</v>
      </c>
      <c r="F26" s="87">
        <v>120.1</v>
      </c>
      <c r="G26" s="17">
        <v>36</v>
      </c>
      <c r="H26" s="89">
        <v>248</v>
      </c>
      <c r="I26" s="90">
        <v>40000</v>
      </c>
      <c r="J26" s="90" t="s">
        <v>80</v>
      </c>
      <c r="K26" s="90">
        <v>40000</v>
      </c>
      <c r="L26" s="90" t="s">
        <v>86</v>
      </c>
      <c r="M26" s="91">
        <f>I26-K26</f>
        <v>0</v>
      </c>
      <c r="N26" s="4">
        <f>IF(ISERROR(K26/I26),"",K26/I26)</f>
        <v>1</v>
      </c>
      <c r="O26" s="92">
        <f>I26/E26</f>
        <v>869.56521739130437</v>
      </c>
      <c r="P26" s="92">
        <f>K26/E26</f>
        <v>869.56521739130437</v>
      </c>
      <c r="Q26" s="80">
        <v>4</v>
      </c>
      <c r="R26" s="80">
        <v>2</v>
      </c>
      <c r="S26" s="80" t="s">
        <v>61</v>
      </c>
      <c r="T26" s="5">
        <v>150</v>
      </c>
      <c r="U26" s="9"/>
    </row>
    <row r="27" spans="1:21" s="37" customFormat="1" ht="12" x14ac:dyDescent="0.3">
      <c r="A27" s="75" t="s">
        <v>957</v>
      </c>
      <c r="B27" s="76" t="s">
        <v>1081</v>
      </c>
      <c r="C27" s="86">
        <v>508</v>
      </c>
      <c r="D27" s="87">
        <v>100.5</v>
      </c>
      <c r="E27" s="88">
        <v>30</v>
      </c>
      <c r="F27" s="87">
        <v>77.5</v>
      </c>
      <c r="G27" s="17">
        <v>23</v>
      </c>
      <c r="H27" s="89">
        <v>200</v>
      </c>
      <c r="I27" s="90">
        <v>39000</v>
      </c>
      <c r="J27" s="90" t="s">
        <v>68</v>
      </c>
      <c r="K27" s="90">
        <v>30000</v>
      </c>
      <c r="L27" s="90" t="s">
        <v>889</v>
      </c>
      <c r="M27" s="91">
        <f>I27-K27</f>
        <v>9000</v>
      </c>
      <c r="N27" s="4">
        <f>IF(ISERROR(K27/I27),"",K27/I27)</f>
        <v>0.76923076923076927</v>
      </c>
      <c r="O27" s="92">
        <f>I27/E27</f>
        <v>1300</v>
      </c>
      <c r="P27" s="92">
        <f>K27/E27</f>
        <v>1000</v>
      </c>
      <c r="Q27" s="80">
        <v>3</v>
      </c>
      <c r="R27" s="80">
        <v>2</v>
      </c>
      <c r="S27" s="80" t="s">
        <v>61</v>
      </c>
      <c r="T27" s="5">
        <v>100</v>
      </c>
      <c r="U27" s="9"/>
    </row>
    <row r="28" spans="1:21" s="37" customFormat="1" ht="12" x14ac:dyDescent="0.3">
      <c r="A28" s="75" t="s">
        <v>1020</v>
      </c>
      <c r="B28" s="76" t="s">
        <v>1021</v>
      </c>
      <c r="C28" s="86">
        <v>592</v>
      </c>
      <c r="D28" s="87">
        <v>111.5</v>
      </c>
      <c r="E28" s="88">
        <v>34</v>
      </c>
      <c r="F28" s="87">
        <v>85</v>
      </c>
      <c r="G28" s="17">
        <v>26</v>
      </c>
      <c r="H28" s="89">
        <v>408</v>
      </c>
      <c r="I28" s="90">
        <v>39000</v>
      </c>
      <c r="J28" s="90" t="s">
        <v>70</v>
      </c>
      <c r="K28" s="90">
        <v>33000</v>
      </c>
      <c r="L28" s="90" t="s">
        <v>69</v>
      </c>
      <c r="M28" s="91">
        <f>I28-K28</f>
        <v>6000</v>
      </c>
      <c r="N28" s="4">
        <f>IF(ISERROR(K28/I28),"",K28/I28)</f>
        <v>0.84615384615384615</v>
      </c>
      <c r="O28" s="92">
        <f>I28/E28</f>
        <v>1147.0588235294117</v>
      </c>
      <c r="P28" s="92">
        <f>K28/E28</f>
        <v>970.58823529411768</v>
      </c>
      <c r="Q28" s="80">
        <v>3</v>
      </c>
      <c r="R28" s="80">
        <v>2</v>
      </c>
      <c r="S28" s="80" t="s">
        <v>61</v>
      </c>
      <c r="T28" s="5" t="s">
        <v>109</v>
      </c>
      <c r="U28" s="9"/>
    </row>
    <row r="29" spans="1:21" s="37" customFormat="1" ht="12" x14ac:dyDescent="0.3">
      <c r="A29" s="75" t="s">
        <v>1331</v>
      </c>
      <c r="B29" s="76" t="s">
        <v>1332</v>
      </c>
      <c r="C29" s="86">
        <v>948</v>
      </c>
      <c r="D29" s="87">
        <v>156.69999999999999</v>
      </c>
      <c r="E29" s="88">
        <v>47</v>
      </c>
      <c r="F29" s="87">
        <v>127.9</v>
      </c>
      <c r="G29" s="17">
        <v>39</v>
      </c>
      <c r="H29" s="89">
        <v>142</v>
      </c>
      <c r="I29" s="90">
        <v>39000</v>
      </c>
      <c r="J29" s="90" t="s">
        <v>68</v>
      </c>
      <c r="K29" s="90">
        <v>38000</v>
      </c>
      <c r="L29" s="90" t="s">
        <v>77</v>
      </c>
      <c r="M29" s="91">
        <f>I29-K29</f>
        <v>1000</v>
      </c>
      <c r="N29" s="4">
        <f>IF(ISERROR(K29/I29),"",K29/I29)</f>
        <v>0.97435897435897434</v>
      </c>
      <c r="O29" s="92">
        <f>I29/E29</f>
        <v>829.78723404255322</v>
      </c>
      <c r="P29" s="92">
        <f>K29/E29</f>
        <v>808.51063829787233</v>
      </c>
      <c r="Q29" s="80">
        <v>4</v>
      </c>
      <c r="R29" s="80">
        <v>2</v>
      </c>
      <c r="S29" s="80" t="s">
        <v>61</v>
      </c>
      <c r="T29" s="5">
        <v>156</v>
      </c>
      <c r="U29" s="9"/>
    </row>
    <row r="30" spans="1:21" s="37" customFormat="1" ht="12" x14ac:dyDescent="0.3">
      <c r="A30" s="75" t="s">
        <v>1028</v>
      </c>
      <c r="B30" s="76" t="s">
        <v>1310</v>
      </c>
      <c r="C30" s="86">
        <v>1338</v>
      </c>
      <c r="D30" s="87">
        <v>130.6</v>
      </c>
      <c r="E30" s="88">
        <v>39</v>
      </c>
      <c r="F30" s="87">
        <v>102.2</v>
      </c>
      <c r="G30" s="17">
        <v>31</v>
      </c>
      <c r="H30" s="89">
        <v>142</v>
      </c>
      <c r="I30" s="90">
        <v>38000</v>
      </c>
      <c r="J30" s="90" t="s">
        <v>106</v>
      </c>
      <c r="K30" s="90"/>
      <c r="L30" s="90"/>
      <c r="M30" s="91">
        <f>I30-K30</f>
        <v>38000</v>
      </c>
      <c r="N30" s="4">
        <f>IF(ISERROR(K30/I30),"",K30/I30)</f>
        <v>0</v>
      </c>
      <c r="O30" s="92">
        <f>I30/E30</f>
        <v>974.35897435897436</v>
      </c>
      <c r="P30" s="92">
        <f>K30/E30</f>
        <v>0</v>
      </c>
      <c r="Q30" s="80">
        <v>3</v>
      </c>
      <c r="R30" s="80">
        <v>2</v>
      </c>
      <c r="S30" s="80" t="s">
        <v>61</v>
      </c>
      <c r="T30" s="5">
        <v>130</v>
      </c>
      <c r="U30" s="9"/>
    </row>
    <row r="31" spans="1:21" s="37" customFormat="1" ht="12" x14ac:dyDescent="0.3">
      <c r="A31" s="75" t="s">
        <v>1318</v>
      </c>
      <c r="B31" s="76" t="s">
        <v>1319</v>
      </c>
      <c r="C31" s="86">
        <v>1529</v>
      </c>
      <c r="D31" s="87">
        <v>133</v>
      </c>
      <c r="E31" s="88">
        <v>40</v>
      </c>
      <c r="F31" s="87">
        <v>108.5</v>
      </c>
      <c r="G31" s="17">
        <v>33</v>
      </c>
      <c r="H31" s="89">
        <v>142</v>
      </c>
      <c r="I31" s="90">
        <v>38000</v>
      </c>
      <c r="J31" s="90" t="s">
        <v>67</v>
      </c>
      <c r="K31" s="90"/>
      <c r="L31" s="90"/>
      <c r="M31" s="91">
        <f>I31-K31</f>
        <v>38000</v>
      </c>
      <c r="N31" s="4">
        <f>IF(ISERROR(K31/I31),"",K31/I31)</f>
        <v>0</v>
      </c>
      <c r="O31" s="92">
        <f>I31/E31</f>
        <v>950</v>
      </c>
      <c r="P31" s="92">
        <f>K31/E31</f>
        <v>0</v>
      </c>
      <c r="Q31" s="80">
        <v>3</v>
      </c>
      <c r="R31" s="80">
        <v>2</v>
      </c>
      <c r="S31" s="80" t="s">
        <v>61</v>
      </c>
      <c r="T31" s="5">
        <v>132</v>
      </c>
      <c r="U31" s="9"/>
    </row>
    <row r="32" spans="1:21" s="37" customFormat="1" ht="12" x14ac:dyDescent="0.3">
      <c r="A32" s="75" t="s">
        <v>1313</v>
      </c>
      <c r="B32" s="76" t="s">
        <v>1314</v>
      </c>
      <c r="C32" s="86">
        <v>587</v>
      </c>
      <c r="D32" s="87">
        <v>97.8</v>
      </c>
      <c r="E32" s="88">
        <v>30</v>
      </c>
      <c r="F32" s="87">
        <v>72.900000000000006</v>
      </c>
      <c r="G32" s="17">
        <v>22</v>
      </c>
      <c r="H32" s="89">
        <v>132</v>
      </c>
      <c r="I32" s="90">
        <v>37500</v>
      </c>
      <c r="J32" s="90" t="s">
        <v>68</v>
      </c>
      <c r="K32" s="90"/>
      <c r="L32" s="90"/>
      <c r="M32" s="91">
        <f>I32-K32</f>
        <v>37500</v>
      </c>
      <c r="N32" s="4">
        <f>IF(ISERROR(K32/I32),"",K32/I32)</f>
        <v>0</v>
      </c>
      <c r="O32" s="92">
        <f>I32/E32</f>
        <v>1250</v>
      </c>
      <c r="P32" s="92">
        <f>K32/E32</f>
        <v>0</v>
      </c>
      <c r="Q32" s="80">
        <v>3</v>
      </c>
      <c r="R32" s="80">
        <v>2</v>
      </c>
      <c r="S32" s="80" t="s">
        <v>61</v>
      </c>
      <c r="T32" s="5">
        <v>97</v>
      </c>
      <c r="U32" s="9"/>
    </row>
    <row r="33" spans="1:21" s="37" customFormat="1" ht="12" x14ac:dyDescent="0.3">
      <c r="A33" s="75" t="s">
        <v>1309</v>
      </c>
      <c r="B33" s="76" t="s">
        <v>1310</v>
      </c>
      <c r="C33" s="86">
        <v>622</v>
      </c>
      <c r="D33" s="87">
        <v>151.69999999999999</v>
      </c>
      <c r="E33" s="88">
        <v>46</v>
      </c>
      <c r="F33" s="87">
        <v>121.5</v>
      </c>
      <c r="G33" s="17">
        <v>37</v>
      </c>
      <c r="H33" s="89">
        <v>180</v>
      </c>
      <c r="I33" s="90">
        <v>37000</v>
      </c>
      <c r="J33" s="90" t="s">
        <v>70</v>
      </c>
      <c r="K33" s="90">
        <v>35000</v>
      </c>
      <c r="L33" s="90" t="s">
        <v>70</v>
      </c>
      <c r="M33" s="91">
        <f>I33-K33</f>
        <v>2000</v>
      </c>
      <c r="N33" s="4">
        <f>IF(ISERROR(K33/I33),"",K33/I33)</f>
        <v>0.94594594594594594</v>
      </c>
      <c r="O33" s="92">
        <f>I33/E33</f>
        <v>804.3478260869565</v>
      </c>
      <c r="P33" s="92">
        <f>K33/E33</f>
        <v>760.86956521739125</v>
      </c>
      <c r="Q33" s="80">
        <v>4</v>
      </c>
      <c r="R33" s="80">
        <v>2</v>
      </c>
      <c r="S33" s="80" t="s">
        <v>61</v>
      </c>
      <c r="T33" s="5">
        <v>151</v>
      </c>
      <c r="U33" s="9"/>
    </row>
    <row r="34" spans="1:21" s="37" customFormat="1" ht="12" x14ac:dyDescent="0.3">
      <c r="A34" s="75" t="s">
        <v>1036</v>
      </c>
      <c r="B34" s="76" t="s">
        <v>1007</v>
      </c>
      <c r="C34" s="86">
        <v>2500</v>
      </c>
      <c r="D34" s="87">
        <v>85.6</v>
      </c>
      <c r="E34" s="88">
        <v>26</v>
      </c>
      <c r="F34" s="87">
        <v>60</v>
      </c>
      <c r="G34" s="17">
        <v>18</v>
      </c>
      <c r="H34" s="89">
        <v>483</v>
      </c>
      <c r="I34" s="90">
        <v>37000</v>
      </c>
      <c r="J34" s="90" t="s">
        <v>59</v>
      </c>
      <c r="K34" s="90">
        <v>30000</v>
      </c>
      <c r="L34" s="90" t="s">
        <v>106</v>
      </c>
      <c r="M34" s="91">
        <f>I34-K34</f>
        <v>7000</v>
      </c>
      <c r="N34" s="4">
        <f>IF(ISERROR(K34/I34),"",K34/I34)</f>
        <v>0.81081081081081086</v>
      </c>
      <c r="O34" s="92">
        <f>I34/E34</f>
        <v>1423.0769230769231</v>
      </c>
      <c r="P34" s="92">
        <f>K34/E34</f>
        <v>1153.8461538461538</v>
      </c>
      <c r="Q34" s="80">
        <v>3</v>
      </c>
      <c r="R34" s="80">
        <v>2</v>
      </c>
      <c r="S34" s="80" t="s">
        <v>61</v>
      </c>
      <c r="T34" s="5" t="s">
        <v>110</v>
      </c>
      <c r="U34" s="9"/>
    </row>
    <row r="35" spans="1:21" s="37" customFormat="1" ht="12" x14ac:dyDescent="0.3">
      <c r="A35" s="75" t="s">
        <v>1325</v>
      </c>
      <c r="B35" s="76" t="s">
        <v>1326</v>
      </c>
      <c r="C35" s="86">
        <v>818</v>
      </c>
      <c r="D35" s="87">
        <v>146.1</v>
      </c>
      <c r="E35" s="88">
        <v>44</v>
      </c>
      <c r="F35" s="87">
        <v>119.3</v>
      </c>
      <c r="G35" s="17">
        <v>36</v>
      </c>
      <c r="H35" s="89">
        <v>180</v>
      </c>
      <c r="I35" s="90">
        <v>35000</v>
      </c>
      <c r="J35" s="90" t="s">
        <v>65</v>
      </c>
      <c r="K35" s="90"/>
      <c r="L35" s="90"/>
      <c r="M35" s="91">
        <f>I35-K35</f>
        <v>35000</v>
      </c>
      <c r="N35" s="4">
        <f>IF(ISERROR(K35/I35),"",K35/I35)</f>
        <v>0</v>
      </c>
      <c r="O35" s="92">
        <f>I35/E35</f>
        <v>795.4545454545455</v>
      </c>
      <c r="P35" s="92">
        <f>K35/E35</f>
        <v>0</v>
      </c>
      <c r="Q35" s="80">
        <v>4</v>
      </c>
      <c r="R35" s="80">
        <v>2</v>
      </c>
      <c r="S35" s="80" t="s">
        <v>61</v>
      </c>
      <c r="T35" s="5">
        <v>146</v>
      </c>
      <c r="U35" s="9"/>
    </row>
    <row r="36" spans="1:21" s="37" customFormat="1" ht="12" x14ac:dyDescent="0.3">
      <c r="A36" s="75" t="s">
        <v>1331</v>
      </c>
      <c r="B36" s="76" t="s">
        <v>1040</v>
      </c>
      <c r="C36" s="86">
        <v>948</v>
      </c>
      <c r="D36" s="87">
        <v>116.4</v>
      </c>
      <c r="E36" s="88">
        <v>35</v>
      </c>
      <c r="F36" s="87">
        <v>85</v>
      </c>
      <c r="G36" s="17">
        <v>26</v>
      </c>
      <c r="H36" s="89">
        <v>314</v>
      </c>
      <c r="I36" s="90">
        <v>35000</v>
      </c>
      <c r="J36" s="90" t="s">
        <v>106</v>
      </c>
      <c r="K36" s="90">
        <v>30000</v>
      </c>
      <c r="L36" s="90" t="s">
        <v>65</v>
      </c>
      <c r="M36" s="91">
        <f>I36-K36</f>
        <v>5000</v>
      </c>
      <c r="N36" s="4">
        <f>IF(ISERROR(K36/I36),"",K36/I36)</f>
        <v>0.8571428571428571</v>
      </c>
      <c r="O36" s="92">
        <f>I36/E36</f>
        <v>1000</v>
      </c>
      <c r="P36" s="92">
        <f>K36/E36</f>
        <v>857.14285714285711</v>
      </c>
      <c r="Q36" s="80">
        <v>3</v>
      </c>
      <c r="R36" s="80">
        <v>2</v>
      </c>
      <c r="S36" s="80" t="s">
        <v>61</v>
      </c>
      <c r="T36" s="5" t="s">
        <v>82</v>
      </c>
      <c r="U36" s="9"/>
    </row>
    <row r="37" spans="1:21" s="37" customFormat="1" ht="12" x14ac:dyDescent="0.3">
      <c r="A37" s="75" t="s">
        <v>1150</v>
      </c>
      <c r="B37" s="76" t="s">
        <v>1024</v>
      </c>
      <c r="C37" s="86">
        <v>472</v>
      </c>
      <c r="D37" s="87">
        <v>99.1</v>
      </c>
      <c r="E37" s="88">
        <v>30</v>
      </c>
      <c r="F37" s="87">
        <v>74.8</v>
      </c>
      <c r="G37" s="17">
        <v>23</v>
      </c>
      <c r="H37" s="89">
        <v>71</v>
      </c>
      <c r="I37" s="90">
        <v>34500</v>
      </c>
      <c r="J37" s="90" t="s">
        <v>70</v>
      </c>
      <c r="K37" s="90"/>
      <c r="L37" s="90"/>
      <c r="M37" s="91">
        <f>I37-K37</f>
        <v>34500</v>
      </c>
      <c r="N37" s="4">
        <f>IF(ISERROR(K37/I37),"",K37/I37)</f>
        <v>0</v>
      </c>
      <c r="O37" s="92">
        <f>I37/E37</f>
        <v>1150</v>
      </c>
      <c r="P37" s="92">
        <f>K37/E37</f>
        <v>0</v>
      </c>
      <c r="Q37" s="80">
        <v>3</v>
      </c>
      <c r="R37" s="80">
        <v>2</v>
      </c>
      <c r="S37" s="80" t="s">
        <v>61</v>
      </c>
      <c r="T37" s="5">
        <v>99</v>
      </c>
      <c r="U37" s="9"/>
    </row>
    <row r="38" spans="1:21" s="37" customFormat="1" ht="12" x14ac:dyDescent="0.3">
      <c r="A38" s="75" t="s">
        <v>1358</v>
      </c>
      <c r="B38" s="76" t="s">
        <v>1359</v>
      </c>
      <c r="C38" s="86">
        <v>422</v>
      </c>
      <c r="D38" s="87">
        <v>94.3</v>
      </c>
      <c r="E38" s="88">
        <v>29</v>
      </c>
      <c r="F38" s="87">
        <v>71.400000000000006</v>
      </c>
      <c r="G38" s="17">
        <v>22</v>
      </c>
      <c r="H38" s="89">
        <v>49</v>
      </c>
      <c r="I38" s="90">
        <v>34000</v>
      </c>
      <c r="J38" s="90" t="s">
        <v>66</v>
      </c>
      <c r="K38" s="90"/>
      <c r="L38" s="90"/>
      <c r="M38" s="91">
        <f>I38-K38</f>
        <v>34000</v>
      </c>
      <c r="N38" s="4">
        <f>IF(ISERROR(K38/I38),"",K38/I38)</f>
        <v>0</v>
      </c>
      <c r="O38" s="92">
        <f>I38/E38</f>
        <v>1172.4137931034484</v>
      </c>
      <c r="P38" s="92">
        <f>K38/E38</f>
        <v>0</v>
      </c>
      <c r="Q38" s="80">
        <v>3</v>
      </c>
      <c r="R38" s="80">
        <v>2</v>
      </c>
      <c r="S38" s="80" t="s">
        <v>61</v>
      </c>
      <c r="T38" s="5" t="s">
        <v>111</v>
      </c>
      <c r="U38" s="9"/>
    </row>
    <row r="39" spans="1:21" s="37" customFormat="1" ht="12" x14ac:dyDescent="0.3">
      <c r="A39" s="75" t="s">
        <v>994</v>
      </c>
      <c r="B39" s="76" t="s">
        <v>995</v>
      </c>
      <c r="C39" s="86">
        <v>333</v>
      </c>
      <c r="D39" s="87">
        <v>110.5</v>
      </c>
      <c r="E39" s="88">
        <v>33</v>
      </c>
      <c r="F39" s="87">
        <v>84.5</v>
      </c>
      <c r="G39" s="17">
        <v>26</v>
      </c>
      <c r="H39" s="89">
        <v>87</v>
      </c>
      <c r="I39" s="90">
        <v>33000</v>
      </c>
      <c r="J39" s="90" t="s">
        <v>66</v>
      </c>
      <c r="K39" s="90"/>
      <c r="L39" s="90"/>
      <c r="M39" s="91">
        <f>I39-K39</f>
        <v>33000</v>
      </c>
      <c r="N39" s="4">
        <f>IF(ISERROR(K39/I39),"",K39/I39)</f>
        <v>0</v>
      </c>
      <c r="O39" s="92">
        <f>I39/E39</f>
        <v>1000</v>
      </c>
      <c r="P39" s="92">
        <f>K39/E39</f>
        <v>0</v>
      </c>
      <c r="Q39" s="80">
        <v>3</v>
      </c>
      <c r="R39" s="80">
        <v>2</v>
      </c>
      <c r="S39" s="80" t="s">
        <v>61</v>
      </c>
      <c r="T39" s="5">
        <v>110</v>
      </c>
      <c r="U39" s="9"/>
    </row>
    <row r="40" spans="1:21" s="37" customFormat="1" ht="12" x14ac:dyDescent="0.3">
      <c r="A40" s="75" t="s">
        <v>1315</v>
      </c>
      <c r="B40" s="76" t="s">
        <v>1316</v>
      </c>
      <c r="C40" s="86">
        <v>1602</v>
      </c>
      <c r="D40" s="87">
        <v>113.1</v>
      </c>
      <c r="E40" s="88">
        <v>34</v>
      </c>
      <c r="F40" s="87">
        <v>85</v>
      </c>
      <c r="G40" s="17">
        <v>26</v>
      </c>
      <c r="H40" s="89">
        <v>685</v>
      </c>
      <c r="I40" s="90">
        <v>32000</v>
      </c>
      <c r="J40" s="90" t="s">
        <v>65</v>
      </c>
      <c r="K40" s="90">
        <v>27000</v>
      </c>
      <c r="L40" s="90" t="s">
        <v>59</v>
      </c>
      <c r="M40" s="91">
        <f>I40-K40</f>
        <v>5000</v>
      </c>
      <c r="N40" s="4">
        <f>IF(ISERROR(K40/I40),"",K40/I40)</f>
        <v>0.84375</v>
      </c>
      <c r="O40" s="92">
        <f>I40/E40</f>
        <v>941.17647058823525</v>
      </c>
      <c r="P40" s="92">
        <f>K40/E40</f>
        <v>794.11764705882354</v>
      </c>
      <c r="Q40" s="80">
        <v>3</v>
      </c>
      <c r="R40" s="80">
        <v>2</v>
      </c>
      <c r="S40" s="80" t="s">
        <v>61</v>
      </c>
      <c r="T40" s="5" t="s">
        <v>76</v>
      </c>
      <c r="U40" s="9"/>
    </row>
    <row r="41" spans="1:21" s="37" customFormat="1" ht="12" x14ac:dyDescent="0.3">
      <c r="A41" s="75" t="s">
        <v>1309</v>
      </c>
      <c r="B41" s="76" t="s">
        <v>1310</v>
      </c>
      <c r="C41" s="86">
        <v>622</v>
      </c>
      <c r="D41" s="87">
        <v>109.7</v>
      </c>
      <c r="E41" s="88">
        <v>33</v>
      </c>
      <c r="F41" s="87">
        <v>85</v>
      </c>
      <c r="G41" s="17">
        <v>26</v>
      </c>
      <c r="H41" s="89">
        <v>270</v>
      </c>
      <c r="I41" s="90">
        <v>31000</v>
      </c>
      <c r="J41" s="90" t="s">
        <v>79</v>
      </c>
      <c r="K41" s="90">
        <v>28000</v>
      </c>
      <c r="L41" s="90" t="s">
        <v>77</v>
      </c>
      <c r="M41" s="91">
        <f>I41-K41</f>
        <v>3000</v>
      </c>
      <c r="N41" s="4">
        <f>IF(ISERROR(K41/I41),"",K41/I41)</f>
        <v>0.90322580645161288</v>
      </c>
      <c r="O41" s="92">
        <f>I41/E41</f>
        <v>939.39393939393938</v>
      </c>
      <c r="P41" s="92">
        <f>K41/E41</f>
        <v>848.4848484848485</v>
      </c>
      <c r="Q41" s="80">
        <v>3</v>
      </c>
      <c r="R41" s="80">
        <v>2</v>
      </c>
      <c r="S41" s="80" t="s">
        <v>61</v>
      </c>
      <c r="T41" s="5">
        <v>109</v>
      </c>
      <c r="U41" s="9"/>
    </row>
    <row r="42" spans="1:21" s="37" customFormat="1" ht="12" x14ac:dyDescent="0.3">
      <c r="A42" s="75" t="s">
        <v>1028</v>
      </c>
      <c r="B42" s="76" t="s">
        <v>1310</v>
      </c>
      <c r="C42" s="86">
        <v>1338</v>
      </c>
      <c r="D42" s="87">
        <v>115.5</v>
      </c>
      <c r="E42" s="88">
        <v>35</v>
      </c>
      <c r="F42" s="87">
        <v>84.7</v>
      </c>
      <c r="G42" s="17">
        <v>26</v>
      </c>
      <c r="H42" s="89">
        <v>498</v>
      </c>
      <c r="I42" s="90">
        <v>31000</v>
      </c>
      <c r="J42" s="90" t="s">
        <v>66</v>
      </c>
      <c r="K42" s="90">
        <v>28000</v>
      </c>
      <c r="L42" s="90" t="s">
        <v>86</v>
      </c>
      <c r="M42" s="91">
        <f>I42-K42</f>
        <v>3000</v>
      </c>
      <c r="N42" s="4">
        <f>IF(ISERROR(K42/I42),"",K42/I42)</f>
        <v>0.90322580645161288</v>
      </c>
      <c r="O42" s="92">
        <f>I42/E42</f>
        <v>885.71428571428567</v>
      </c>
      <c r="P42" s="92">
        <f>K42/E42</f>
        <v>800</v>
      </c>
      <c r="Q42" s="80">
        <v>3</v>
      </c>
      <c r="R42" s="80">
        <v>2</v>
      </c>
      <c r="S42" s="80" t="s">
        <v>61</v>
      </c>
      <c r="T42" s="5" t="s">
        <v>71</v>
      </c>
      <c r="U42" s="9"/>
    </row>
    <row r="43" spans="1:21" s="37" customFormat="1" ht="12" x14ac:dyDescent="0.3">
      <c r="A43" s="75" t="s">
        <v>1333</v>
      </c>
      <c r="B43" s="76" t="s">
        <v>1310</v>
      </c>
      <c r="C43" s="86">
        <v>1120</v>
      </c>
      <c r="D43" s="87">
        <v>113.2</v>
      </c>
      <c r="E43" s="88">
        <v>34</v>
      </c>
      <c r="F43" s="87">
        <v>84.9</v>
      </c>
      <c r="G43" s="17">
        <v>26</v>
      </c>
      <c r="H43" s="89">
        <v>552</v>
      </c>
      <c r="I43" s="90">
        <v>31000</v>
      </c>
      <c r="J43" s="90" t="s">
        <v>66</v>
      </c>
      <c r="K43" s="90">
        <v>28000</v>
      </c>
      <c r="L43" s="90" t="s">
        <v>66</v>
      </c>
      <c r="M43" s="91">
        <f>I43-K43</f>
        <v>3000</v>
      </c>
      <c r="N43" s="4">
        <f>IF(ISERROR(K43/I43),"",K43/I43)</f>
        <v>0.90322580645161288</v>
      </c>
      <c r="O43" s="92">
        <f>I43/E43</f>
        <v>911.76470588235293</v>
      </c>
      <c r="P43" s="92">
        <f>K43/E43</f>
        <v>823.52941176470586</v>
      </c>
      <c r="Q43" s="80">
        <v>3</v>
      </c>
      <c r="R43" s="80">
        <v>2</v>
      </c>
      <c r="S43" s="80" t="s">
        <v>61</v>
      </c>
      <c r="T43" s="5">
        <v>113</v>
      </c>
      <c r="U43" s="9"/>
    </row>
    <row r="44" spans="1:21" s="37" customFormat="1" ht="12" x14ac:dyDescent="0.3">
      <c r="A44" s="75" t="s">
        <v>1061</v>
      </c>
      <c r="B44" s="76" t="s">
        <v>1062</v>
      </c>
      <c r="C44" s="86">
        <v>748</v>
      </c>
      <c r="D44" s="87">
        <v>79.8</v>
      </c>
      <c r="E44" s="88">
        <v>24</v>
      </c>
      <c r="F44" s="87">
        <v>59.9</v>
      </c>
      <c r="G44" s="17">
        <v>18</v>
      </c>
      <c r="H44" s="89">
        <v>152</v>
      </c>
      <c r="I44" s="90">
        <v>30600</v>
      </c>
      <c r="J44" s="90" t="s">
        <v>59</v>
      </c>
      <c r="K44" s="90">
        <v>25000</v>
      </c>
      <c r="L44" s="90" t="s">
        <v>106</v>
      </c>
      <c r="M44" s="91">
        <f>I44-K44</f>
        <v>5600</v>
      </c>
      <c r="N44" s="4">
        <f>IF(ISERROR(K44/I44),"",K44/I44)</f>
        <v>0.81699346405228757</v>
      </c>
      <c r="O44" s="92">
        <f>I44/E44</f>
        <v>1275</v>
      </c>
      <c r="P44" s="92">
        <f>K44/E44</f>
        <v>1041.6666666666667</v>
      </c>
      <c r="Q44" s="80">
        <v>3</v>
      </c>
      <c r="R44" s="80">
        <v>2</v>
      </c>
      <c r="S44" s="80" t="s">
        <v>61</v>
      </c>
      <c r="T44" s="5" t="s">
        <v>122</v>
      </c>
      <c r="U44" s="9"/>
    </row>
    <row r="45" spans="1:21" s="37" customFormat="1" ht="12" x14ac:dyDescent="0.3">
      <c r="A45" s="75" t="s">
        <v>1327</v>
      </c>
      <c r="B45" s="76" t="s">
        <v>1328</v>
      </c>
      <c r="C45" s="86">
        <v>464</v>
      </c>
      <c r="D45" s="87">
        <v>118.2</v>
      </c>
      <c r="E45" s="88">
        <v>36</v>
      </c>
      <c r="F45" s="87">
        <v>85</v>
      </c>
      <c r="G45" s="17">
        <v>26</v>
      </c>
      <c r="H45" s="89">
        <v>294</v>
      </c>
      <c r="I45" s="90">
        <v>30500</v>
      </c>
      <c r="J45" s="90" t="s">
        <v>66</v>
      </c>
      <c r="K45" s="90"/>
      <c r="L45" s="90"/>
      <c r="M45" s="91">
        <f>I45-K45</f>
        <v>30500</v>
      </c>
      <c r="N45" s="4">
        <f>IF(ISERROR(K45/I45),"",K45/I45)</f>
        <v>0</v>
      </c>
      <c r="O45" s="92">
        <f>I45/E45</f>
        <v>847.22222222222217</v>
      </c>
      <c r="P45" s="92">
        <f>K45/E45</f>
        <v>0</v>
      </c>
      <c r="Q45" s="80">
        <v>3</v>
      </c>
      <c r="R45" s="80">
        <v>2</v>
      </c>
      <c r="S45" s="80" t="s">
        <v>61</v>
      </c>
      <c r="T45" s="5">
        <v>118</v>
      </c>
      <c r="U45" s="9"/>
    </row>
    <row r="46" spans="1:21" s="37" customFormat="1" ht="12" x14ac:dyDescent="0.3">
      <c r="A46" s="75" t="s">
        <v>1317</v>
      </c>
      <c r="B46" s="76" t="s">
        <v>1310</v>
      </c>
      <c r="C46" s="86">
        <v>1529</v>
      </c>
      <c r="D46" s="87">
        <v>111</v>
      </c>
      <c r="E46" s="88">
        <v>34</v>
      </c>
      <c r="F46" s="87">
        <v>84.6</v>
      </c>
      <c r="G46" s="17">
        <v>26</v>
      </c>
      <c r="H46" s="89">
        <v>776</v>
      </c>
      <c r="I46" s="90">
        <v>30000</v>
      </c>
      <c r="J46" s="90" t="s">
        <v>79</v>
      </c>
      <c r="K46" s="90">
        <v>27000</v>
      </c>
      <c r="L46" s="90" t="s">
        <v>68</v>
      </c>
      <c r="M46" s="91">
        <f>I46-K46</f>
        <v>3000</v>
      </c>
      <c r="N46" s="4">
        <f>IF(ISERROR(K46/I46),"",K46/I46)</f>
        <v>0.9</v>
      </c>
      <c r="O46" s="92">
        <f>I46/E46</f>
        <v>882.35294117647061</v>
      </c>
      <c r="P46" s="92">
        <f>K46/E46</f>
        <v>794.11764705882354</v>
      </c>
      <c r="Q46" s="80">
        <v>3</v>
      </c>
      <c r="R46" s="80">
        <v>2</v>
      </c>
      <c r="S46" s="80" t="s">
        <v>61</v>
      </c>
      <c r="T46" s="5">
        <v>111</v>
      </c>
      <c r="U46" s="9"/>
    </row>
    <row r="47" spans="1:21" s="37" customFormat="1" ht="12" x14ac:dyDescent="0.3">
      <c r="A47" s="75" t="s">
        <v>1048</v>
      </c>
      <c r="B47" s="76" t="s">
        <v>1343</v>
      </c>
      <c r="C47" s="86">
        <v>489</v>
      </c>
      <c r="D47" s="87">
        <v>154.80000000000001</v>
      </c>
      <c r="E47" s="88">
        <v>47</v>
      </c>
      <c r="F47" s="87">
        <v>133.80000000000001</v>
      </c>
      <c r="G47" s="17">
        <v>40</v>
      </c>
      <c r="H47" s="89">
        <v>85</v>
      </c>
      <c r="I47" s="90">
        <v>30000</v>
      </c>
      <c r="J47" s="90" t="s">
        <v>66</v>
      </c>
      <c r="K47" s="90"/>
      <c r="L47" s="90"/>
      <c r="M47" s="91">
        <f>I47-K47</f>
        <v>30000</v>
      </c>
      <c r="N47" s="4">
        <f>IF(ISERROR(K47/I47),"",K47/I47)</f>
        <v>0</v>
      </c>
      <c r="O47" s="92">
        <f>I47/E47</f>
        <v>638.29787234042556</v>
      </c>
      <c r="P47" s="92">
        <f>K47/E47</f>
        <v>0</v>
      </c>
      <c r="Q47" s="80">
        <v>4</v>
      </c>
      <c r="R47" s="80">
        <v>2</v>
      </c>
      <c r="S47" s="80" t="s">
        <v>61</v>
      </c>
      <c r="T47" s="5">
        <v>154</v>
      </c>
      <c r="U47" s="9"/>
    </row>
    <row r="48" spans="1:21" s="37" customFormat="1" ht="12" x14ac:dyDescent="0.3">
      <c r="A48" s="75" t="s">
        <v>1312</v>
      </c>
      <c r="B48" s="76" t="s">
        <v>1024</v>
      </c>
      <c r="C48" s="86">
        <v>630</v>
      </c>
      <c r="D48" s="87">
        <v>84</v>
      </c>
      <c r="E48" s="88">
        <v>25</v>
      </c>
      <c r="F48" s="87">
        <v>60</v>
      </c>
      <c r="G48" s="17">
        <v>18</v>
      </c>
      <c r="H48" s="89">
        <v>506</v>
      </c>
      <c r="I48" s="90">
        <v>29000</v>
      </c>
      <c r="J48" s="90" t="s">
        <v>68</v>
      </c>
      <c r="K48" s="90">
        <v>26000</v>
      </c>
      <c r="L48" s="90" t="s">
        <v>68</v>
      </c>
      <c r="M48" s="91">
        <f>I48-K48</f>
        <v>3000</v>
      </c>
      <c r="N48" s="4">
        <f>IF(ISERROR(K48/I48),"",K48/I48)</f>
        <v>0.89655172413793105</v>
      </c>
      <c r="O48" s="92">
        <f>I48/E48</f>
        <v>1160</v>
      </c>
      <c r="P48" s="92">
        <f>K48/E48</f>
        <v>1040</v>
      </c>
      <c r="Q48" s="80">
        <v>3</v>
      </c>
      <c r="R48" s="80">
        <v>2</v>
      </c>
      <c r="S48" s="80" t="s">
        <v>61</v>
      </c>
      <c r="T48" s="5" t="s">
        <v>72</v>
      </c>
      <c r="U48" s="9"/>
    </row>
    <row r="49" spans="1:21" s="37" customFormat="1" ht="12" x14ac:dyDescent="0.3">
      <c r="A49" s="75" t="s">
        <v>1325</v>
      </c>
      <c r="B49" s="76" t="s">
        <v>1037</v>
      </c>
      <c r="C49" s="86">
        <v>818</v>
      </c>
      <c r="D49" s="87">
        <v>106.2</v>
      </c>
      <c r="E49" s="88">
        <v>32</v>
      </c>
      <c r="F49" s="87">
        <v>84.8</v>
      </c>
      <c r="G49" s="17">
        <v>26</v>
      </c>
      <c r="H49" s="89">
        <v>351</v>
      </c>
      <c r="I49" s="90">
        <v>26500</v>
      </c>
      <c r="J49" s="90" t="s">
        <v>70</v>
      </c>
      <c r="K49" s="90">
        <v>25000</v>
      </c>
      <c r="L49" s="90" t="s">
        <v>65</v>
      </c>
      <c r="M49" s="91">
        <f>I49-K49</f>
        <v>1500</v>
      </c>
      <c r="N49" s="4">
        <f>IF(ISERROR(K49/I49),"",K49/I49)</f>
        <v>0.94339622641509435</v>
      </c>
      <c r="O49" s="92">
        <f>I49/E49</f>
        <v>828.125</v>
      </c>
      <c r="P49" s="92">
        <f>K49/E49</f>
        <v>781.25</v>
      </c>
      <c r="Q49" s="80">
        <v>3</v>
      </c>
      <c r="R49" s="80">
        <v>2</v>
      </c>
      <c r="S49" s="80" t="s">
        <v>61</v>
      </c>
      <c r="T49" s="5" t="s">
        <v>81</v>
      </c>
      <c r="U49" s="9"/>
    </row>
    <row r="50" spans="1:21" s="37" customFormat="1" ht="12" x14ac:dyDescent="0.3">
      <c r="A50" s="75" t="s">
        <v>1311</v>
      </c>
      <c r="B50" s="76" t="s">
        <v>1310</v>
      </c>
      <c r="C50" s="86">
        <v>1338</v>
      </c>
      <c r="D50" s="87">
        <v>85.7</v>
      </c>
      <c r="E50" s="88">
        <v>26</v>
      </c>
      <c r="F50" s="87">
        <v>59.9</v>
      </c>
      <c r="G50" s="17">
        <v>18</v>
      </c>
      <c r="H50" s="89">
        <v>396</v>
      </c>
      <c r="I50" s="90">
        <v>24000</v>
      </c>
      <c r="J50" s="90" t="s">
        <v>70</v>
      </c>
      <c r="K50" s="90">
        <v>23000</v>
      </c>
      <c r="L50" s="90" t="s">
        <v>101</v>
      </c>
      <c r="M50" s="91">
        <f>I50-K50</f>
        <v>1000</v>
      </c>
      <c r="N50" s="4">
        <f>IF(ISERROR(K50/I50),"",K50/I50)</f>
        <v>0.95833333333333337</v>
      </c>
      <c r="O50" s="92">
        <f>I50/E50</f>
        <v>923.07692307692309</v>
      </c>
      <c r="P50" s="92">
        <f>K50/E50</f>
        <v>884.61538461538464</v>
      </c>
      <c r="Q50" s="80">
        <v>3</v>
      </c>
      <c r="R50" s="80">
        <v>2</v>
      </c>
      <c r="S50" s="80" t="s">
        <v>61</v>
      </c>
      <c r="T50" s="5">
        <v>85</v>
      </c>
      <c r="U50" s="9"/>
    </row>
    <row r="51" spans="1:21" s="37" customFormat="1" ht="12" x14ac:dyDescent="0.3">
      <c r="A51" s="75" t="s">
        <v>1331</v>
      </c>
      <c r="B51" s="76" t="s">
        <v>1332</v>
      </c>
      <c r="C51" s="86">
        <v>948</v>
      </c>
      <c r="D51" s="87">
        <v>86.4</v>
      </c>
      <c r="E51" s="88">
        <v>26</v>
      </c>
      <c r="F51" s="87">
        <v>60</v>
      </c>
      <c r="G51" s="17">
        <v>18</v>
      </c>
      <c r="H51" s="89">
        <v>315</v>
      </c>
      <c r="I51" s="90">
        <v>24000</v>
      </c>
      <c r="J51" s="90" t="s">
        <v>65</v>
      </c>
      <c r="K51" s="90"/>
      <c r="L51" s="90"/>
      <c r="M51" s="91">
        <f>I51-K51</f>
        <v>24000</v>
      </c>
      <c r="N51" s="4">
        <f>IF(ISERROR(K51/I51),"",K51/I51)</f>
        <v>0</v>
      </c>
      <c r="O51" s="92">
        <f>I51/E51</f>
        <v>923.07692307692309</v>
      </c>
      <c r="P51" s="92">
        <f>K51/E51</f>
        <v>0</v>
      </c>
      <c r="Q51" s="80">
        <v>3</v>
      </c>
      <c r="R51" s="80">
        <v>2</v>
      </c>
      <c r="S51" s="80" t="s">
        <v>61</v>
      </c>
      <c r="T51" s="5">
        <v>86</v>
      </c>
      <c r="U51" s="9"/>
    </row>
    <row r="52" spans="1:21" s="37" customFormat="1" ht="12" x14ac:dyDescent="0.3">
      <c r="A52" s="75" t="s">
        <v>1333</v>
      </c>
      <c r="B52" s="76" t="s">
        <v>1027</v>
      </c>
      <c r="C52" s="86">
        <v>1120</v>
      </c>
      <c r="D52" s="87">
        <v>84.7</v>
      </c>
      <c r="E52" s="88">
        <v>26</v>
      </c>
      <c r="F52" s="87">
        <v>59.9</v>
      </c>
      <c r="G52" s="17">
        <v>18</v>
      </c>
      <c r="H52" s="89">
        <v>284</v>
      </c>
      <c r="I52" s="90">
        <v>23500</v>
      </c>
      <c r="J52" s="90" t="s">
        <v>70</v>
      </c>
      <c r="K52" s="90">
        <v>23000</v>
      </c>
      <c r="L52" s="90" t="s">
        <v>67</v>
      </c>
      <c r="M52" s="91">
        <f>I52-K52</f>
        <v>500</v>
      </c>
      <c r="N52" s="4">
        <f>IF(ISERROR(K52/I52),"",K52/I52)</f>
        <v>0.97872340425531912</v>
      </c>
      <c r="O52" s="92">
        <f>I52/E52</f>
        <v>903.84615384615381</v>
      </c>
      <c r="P52" s="92">
        <f>K52/E52</f>
        <v>884.61538461538464</v>
      </c>
      <c r="Q52" s="80">
        <v>3</v>
      </c>
      <c r="R52" s="80">
        <v>2</v>
      </c>
      <c r="S52" s="80" t="s">
        <v>61</v>
      </c>
      <c r="T52" s="5" t="s">
        <v>83</v>
      </c>
      <c r="U52" s="9"/>
    </row>
    <row r="53" spans="1:21" s="37" customFormat="1" ht="12" x14ac:dyDescent="0.3">
      <c r="A53" s="75" t="s">
        <v>1327</v>
      </c>
      <c r="B53" s="76" t="s">
        <v>1328</v>
      </c>
      <c r="C53" s="86">
        <v>464</v>
      </c>
      <c r="D53" s="87">
        <v>81.2</v>
      </c>
      <c r="E53" s="88">
        <v>25</v>
      </c>
      <c r="F53" s="87">
        <v>60</v>
      </c>
      <c r="G53" s="17">
        <v>18</v>
      </c>
      <c r="H53" s="89">
        <v>170</v>
      </c>
      <c r="I53" s="90">
        <v>23000</v>
      </c>
      <c r="J53" s="90" t="s">
        <v>69</v>
      </c>
      <c r="K53" s="90">
        <v>22000</v>
      </c>
      <c r="L53" s="90" t="s">
        <v>80</v>
      </c>
      <c r="M53" s="91">
        <f>I53-K53</f>
        <v>1000</v>
      </c>
      <c r="N53" s="4">
        <f>IF(ISERROR(K53/I53),"",K53/I53)</f>
        <v>0.95652173913043481</v>
      </c>
      <c r="O53" s="92">
        <f>I53/E53</f>
        <v>920</v>
      </c>
      <c r="P53" s="92">
        <f>K53/E53</f>
        <v>880</v>
      </c>
      <c r="Q53" s="80">
        <v>3</v>
      </c>
      <c r="R53" s="80">
        <v>2</v>
      </c>
      <c r="S53" s="80" t="s">
        <v>61</v>
      </c>
      <c r="T53" s="5">
        <v>81</v>
      </c>
      <c r="U53" s="9"/>
    </row>
    <row r="54" spans="1:21" s="37" customFormat="1" ht="12" x14ac:dyDescent="0.3">
      <c r="A54" s="75" t="s">
        <v>1315</v>
      </c>
      <c r="B54" s="76" t="s">
        <v>1316</v>
      </c>
      <c r="C54" s="86">
        <v>1602</v>
      </c>
      <c r="D54" s="87">
        <v>86.6</v>
      </c>
      <c r="E54" s="88">
        <v>26</v>
      </c>
      <c r="F54" s="87">
        <v>59.9</v>
      </c>
      <c r="G54" s="17">
        <v>18</v>
      </c>
      <c r="H54" s="89">
        <v>391</v>
      </c>
      <c r="I54" s="90">
        <v>22500</v>
      </c>
      <c r="J54" s="90" t="s">
        <v>73</v>
      </c>
      <c r="K54" s="90">
        <v>22000</v>
      </c>
      <c r="L54" s="90" t="s">
        <v>67</v>
      </c>
      <c r="M54" s="91">
        <f>I54-K54</f>
        <v>500</v>
      </c>
      <c r="N54" s="4">
        <f>IF(ISERROR(K54/I54),"",K54/I54)</f>
        <v>0.97777777777777775</v>
      </c>
      <c r="O54" s="92">
        <f>I54/E54</f>
        <v>865.38461538461536</v>
      </c>
      <c r="P54" s="92">
        <f>K54/E54</f>
        <v>846.15384615384619</v>
      </c>
      <c r="Q54" s="80">
        <v>3</v>
      </c>
      <c r="R54" s="80">
        <v>2</v>
      </c>
      <c r="S54" s="80" t="s">
        <v>61</v>
      </c>
      <c r="T54" s="5" t="s">
        <v>74</v>
      </c>
      <c r="U54" s="9"/>
    </row>
    <row r="55" spans="1:21" s="37" customFormat="1" ht="12" x14ac:dyDescent="0.3">
      <c r="A55" s="75" t="s">
        <v>1317</v>
      </c>
      <c r="B55" s="76" t="s">
        <v>1310</v>
      </c>
      <c r="C55" s="86">
        <v>1529</v>
      </c>
      <c r="D55" s="87">
        <v>85.1</v>
      </c>
      <c r="E55" s="88">
        <v>26</v>
      </c>
      <c r="F55" s="87">
        <v>60</v>
      </c>
      <c r="G55" s="17">
        <v>18</v>
      </c>
      <c r="H55" s="89">
        <v>406</v>
      </c>
      <c r="I55" s="90">
        <v>22500</v>
      </c>
      <c r="J55" s="90" t="s">
        <v>68</v>
      </c>
      <c r="K55" s="90">
        <v>23000</v>
      </c>
      <c r="L55" s="90" t="s">
        <v>59</v>
      </c>
      <c r="M55" s="91">
        <f>I55-K55</f>
        <v>-500</v>
      </c>
      <c r="N55" s="4">
        <f>IF(ISERROR(K55/I55),"",K55/I55)</f>
        <v>1.0222222222222221</v>
      </c>
      <c r="O55" s="92">
        <f>I55/E55</f>
        <v>865.38461538461536</v>
      </c>
      <c r="P55" s="92">
        <f>K55/E55</f>
        <v>884.61538461538464</v>
      </c>
      <c r="Q55" s="80">
        <v>3</v>
      </c>
      <c r="R55" s="80">
        <v>2</v>
      </c>
      <c r="S55" s="80" t="s">
        <v>61</v>
      </c>
      <c r="T55" s="5">
        <v>85</v>
      </c>
      <c r="U55" s="9"/>
    </row>
    <row r="56" spans="1:21" s="37" customFormat="1" ht="12" x14ac:dyDescent="0.3">
      <c r="A56" s="75" t="s">
        <v>1309</v>
      </c>
      <c r="B56" s="76" t="s">
        <v>1027</v>
      </c>
      <c r="C56" s="86">
        <v>622</v>
      </c>
      <c r="D56" s="87">
        <v>83.8</v>
      </c>
      <c r="E56" s="88">
        <v>25</v>
      </c>
      <c r="F56" s="87">
        <v>59.9</v>
      </c>
      <c r="G56" s="17">
        <v>18</v>
      </c>
      <c r="H56" s="89">
        <v>172</v>
      </c>
      <c r="I56" s="90">
        <v>22000</v>
      </c>
      <c r="J56" s="90" t="s">
        <v>66</v>
      </c>
      <c r="K56" s="90">
        <v>22000</v>
      </c>
      <c r="L56" s="90" t="s">
        <v>67</v>
      </c>
      <c r="M56" s="91">
        <f>I56-K56</f>
        <v>0</v>
      </c>
      <c r="N56" s="4">
        <f>IF(ISERROR(K56/I56),"",K56/I56)</f>
        <v>1</v>
      </c>
      <c r="O56" s="92">
        <f>I56/E56</f>
        <v>880</v>
      </c>
      <c r="P56" s="92">
        <f>K56/E56</f>
        <v>880</v>
      </c>
      <c r="Q56" s="80">
        <v>3</v>
      </c>
      <c r="R56" s="80">
        <v>2</v>
      </c>
      <c r="S56" s="80" t="s">
        <v>61</v>
      </c>
      <c r="T56" s="5">
        <v>83</v>
      </c>
      <c r="U56" s="9"/>
    </row>
    <row r="57" spans="1:21" s="37" customFormat="1" ht="12" x14ac:dyDescent="0.3">
      <c r="A57" s="75" t="s">
        <v>1325</v>
      </c>
      <c r="B57" s="76" t="s">
        <v>1326</v>
      </c>
      <c r="C57" s="86">
        <v>818</v>
      </c>
      <c r="D57" s="87">
        <v>77.599999999999994</v>
      </c>
      <c r="E57" s="88">
        <v>23</v>
      </c>
      <c r="F57" s="87">
        <v>59.4</v>
      </c>
      <c r="G57" s="17">
        <v>18</v>
      </c>
      <c r="H57" s="89">
        <v>227</v>
      </c>
      <c r="I57" s="90">
        <v>22000</v>
      </c>
      <c r="J57" s="90" t="s">
        <v>69</v>
      </c>
      <c r="K57" s="90">
        <v>20000</v>
      </c>
      <c r="L57" s="90" t="s">
        <v>69</v>
      </c>
      <c r="M57" s="91">
        <f>I57-K57</f>
        <v>2000</v>
      </c>
      <c r="N57" s="4">
        <f>IF(ISERROR(K57/I57),"",K57/I57)</f>
        <v>0.90909090909090906</v>
      </c>
      <c r="O57" s="92">
        <f>I57/E57</f>
        <v>956.52173913043475</v>
      </c>
      <c r="P57" s="92">
        <f>K57/E57</f>
        <v>869.56521739130437</v>
      </c>
      <c r="Q57" s="80">
        <v>3</v>
      </c>
      <c r="R57" s="80">
        <v>2</v>
      </c>
      <c r="S57" s="80" t="s">
        <v>61</v>
      </c>
      <c r="T57" s="5">
        <v>77</v>
      </c>
      <c r="U57" s="9"/>
    </row>
    <row r="58" spans="1:21" s="37" customFormat="1" ht="12" x14ac:dyDescent="0.3">
      <c r="A58" s="75" t="s">
        <v>1059</v>
      </c>
      <c r="B58" s="76" t="s">
        <v>1060</v>
      </c>
      <c r="C58" s="86">
        <v>330</v>
      </c>
      <c r="D58" s="87">
        <v>159.1</v>
      </c>
      <c r="E58" s="88">
        <v>48</v>
      </c>
      <c r="F58" s="87">
        <v>134.5</v>
      </c>
      <c r="G58" s="17">
        <v>41</v>
      </c>
      <c r="H58" s="89">
        <v>60</v>
      </c>
      <c r="I58" s="90">
        <v>21900</v>
      </c>
      <c r="J58" s="90" t="s">
        <v>73</v>
      </c>
      <c r="K58" s="90"/>
      <c r="L58" s="90"/>
      <c r="M58" s="91">
        <f>I58-K58</f>
        <v>21900</v>
      </c>
      <c r="N58" s="4">
        <f>IF(ISERROR(K58/I58),"",K58/I58)</f>
        <v>0</v>
      </c>
      <c r="O58" s="92">
        <f>I58/E58</f>
        <v>456.25</v>
      </c>
      <c r="P58" s="92">
        <f>K58/E58</f>
        <v>0</v>
      </c>
      <c r="Q58" s="80">
        <v>4</v>
      </c>
      <c r="R58" s="80">
        <v>2</v>
      </c>
      <c r="S58" s="80" t="s">
        <v>61</v>
      </c>
      <c r="T58" s="5">
        <v>159</v>
      </c>
      <c r="U58" s="9"/>
    </row>
    <row r="59" spans="1:21" s="37" customFormat="1" ht="12" x14ac:dyDescent="0.3">
      <c r="A59" s="75" t="s">
        <v>1348</v>
      </c>
      <c r="B59" s="76" t="s">
        <v>1349</v>
      </c>
      <c r="C59" s="86">
        <v>365</v>
      </c>
      <c r="D59" s="87">
        <v>103</v>
      </c>
      <c r="E59" s="88">
        <v>31</v>
      </c>
      <c r="F59" s="87">
        <v>84.9</v>
      </c>
      <c r="G59" s="17">
        <v>26</v>
      </c>
      <c r="H59" s="89">
        <v>225</v>
      </c>
      <c r="I59" s="90">
        <v>21500</v>
      </c>
      <c r="J59" s="90" t="s">
        <v>60</v>
      </c>
      <c r="K59" s="90"/>
      <c r="L59" s="90"/>
      <c r="M59" s="91">
        <f>I59-K59</f>
        <v>21500</v>
      </c>
      <c r="N59" s="4">
        <f>IF(ISERROR(K59/I59),"",K59/I59)</f>
        <v>0</v>
      </c>
      <c r="O59" s="92">
        <f>I59/E59</f>
        <v>693.54838709677415</v>
      </c>
      <c r="P59" s="92">
        <f>K59/E59</f>
        <v>0</v>
      </c>
      <c r="Q59" s="80">
        <v>3</v>
      </c>
      <c r="R59" s="80">
        <v>2</v>
      </c>
      <c r="S59" s="80" t="s">
        <v>61</v>
      </c>
      <c r="T59" s="5">
        <v>103</v>
      </c>
      <c r="U59" s="9"/>
    </row>
    <row r="60" spans="1:21" s="37" customFormat="1" ht="12" x14ac:dyDescent="0.3">
      <c r="A60" s="75" t="s">
        <v>1068</v>
      </c>
      <c r="B60" s="76" t="s">
        <v>1069</v>
      </c>
      <c r="C60" s="86">
        <v>798</v>
      </c>
      <c r="D60" s="87">
        <v>104.2</v>
      </c>
      <c r="E60" s="88">
        <v>32</v>
      </c>
      <c r="F60" s="87">
        <v>84.7</v>
      </c>
      <c r="G60" s="17">
        <v>26</v>
      </c>
      <c r="H60" s="89">
        <v>386</v>
      </c>
      <c r="I60" s="90">
        <v>21200</v>
      </c>
      <c r="J60" s="90" t="s">
        <v>69</v>
      </c>
      <c r="K60" s="90">
        <v>16000</v>
      </c>
      <c r="L60" s="90" t="s">
        <v>73</v>
      </c>
      <c r="M60" s="91">
        <f>I60-K60</f>
        <v>5200</v>
      </c>
      <c r="N60" s="4">
        <f>IF(ISERROR(K60/I60),"",K60/I60)</f>
        <v>0.75471698113207553</v>
      </c>
      <c r="O60" s="92">
        <f>I60/E60</f>
        <v>662.5</v>
      </c>
      <c r="P60" s="92">
        <f>K60/E60</f>
        <v>500</v>
      </c>
      <c r="Q60" s="80">
        <v>3</v>
      </c>
      <c r="R60" s="80">
        <v>2</v>
      </c>
      <c r="S60" s="80" t="s">
        <v>61</v>
      </c>
      <c r="T60" s="5">
        <v>104</v>
      </c>
      <c r="U60" s="9"/>
    </row>
    <row r="61" spans="1:21" s="37" customFormat="1" ht="12" x14ac:dyDescent="0.3">
      <c r="A61" s="75" t="s">
        <v>1048</v>
      </c>
      <c r="B61" s="76" t="s">
        <v>1049</v>
      </c>
      <c r="C61" s="86">
        <v>489</v>
      </c>
      <c r="D61" s="87">
        <v>97.6</v>
      </c>
      <c r="E61" s="88">
        <v>30</v>
      </c>
      <c r="F61" s="87">
        <v>84.4</v>
      </c>
      <c r="G61" s="17">
        <v>26</v>
      </c>
      <c r="H61" s="89">
        <v>228</v>
      </c>
      <c r="I61" s="90">
        <v>21000</v>
      </c>
      <c r="J61" s="90" t="s">
        <v>69</v>
      </c>
      <c r="K61" s="90"/>
      <c r="L61" s="90"/>
      <c r="M61" s="91">
        <f>I61-K61</f>
        <v>21000</v>
      </c>
      <c r="N61" s="4">
        <f>IF(ISERROR(K61/I61),"",K61/I61)</f>
        <v>0</v>
      </c>
      <c r="O61" s="92">
        <f>I61/E61</f>
        <v>700</v>
      </c>
      <c r="P61" s="92">
        <f>K61/E61</f>
        <v>0</v>
      </c>
      <c r="Q61" s="80">
        <v>3</v>
      </c>
      <c r="R61" s="80">
        <v>2</v>
      </c>
      <c r="S61" s="80" t="s">
        <v>61</v>
      </c>
      <c r="T61" s="5">
        <v>97</v>
      </c>
      <c r="U61" s="9"/>
    </row>
    <row r="62" spans="1:21" s="37" customFormat="1" ht="12" x14ac:dyDescent="0.3">
      <c r="A62" s="75" t="s">
        <v>959</v>
      </c>
      <c r="B62" s="76" t="s">
        <v>960</v>
      </c>
      <c r="C62" s="86">
        <v>432</v>
      </c>
      <c r="D62" s="87">
        <v>162.1</v>
      </c>
      <c r="E62" s="88">
        <v>49</v>
      </c>
      <c r="F62" s="87">
        <v>133.69999999999999</v>
      </c>
      <c r="G62" s="17">
        <v>40</v>
      </c>
      <c r="H62" s="89">
        <v>80</v>
      </c>
      <c r="I62" s="90">
        <v>20000</v>
      </c>
      <c r="J62" s="90" t="s">
        <v>64</v>
      </c>
      <c r="K62" s="90"/>
      <c r="L62" s="90"/>
      <c r="M62" s="91">
        <f>I62-K62</f>
        <v>20000</v>
      </c>
      <c r="N62" s="4">
        <f>IF(ISERROR(K62/I62),"",K62/I62)</f>
        <v>0</v>
      </c>
      <c r="O62" s="92">
        <f>I62/E62</f>
        <v>408.16326530612247</v>
      </c>
      <c r="P62" s="92">
        <f>K62/E62</f>
        <v>0</v>
      </c>
      <c r="Q62" s="80">
        <v>4</v>
      </c>
      <c r="R62" s="80">
        <v>2</v>
      </c>
      <c r="S62" s="80" t="s">
        <v>61</v>
      </c>
      <c r="T62" s="5">
        <v>162</v>
      </c>
      <c r="U62" s="9"/>
    </row>
    <row r="63" spans="1:21" s="37" customFormat="1" ht="12" x14ac:dyDescent="0.3">
      <c r="A63" s="75" t="s">
        <v>1066</v>
      </c>
      <c r="B63" s="76" t="s">
        <v>1067</v>
      </c>
      <c r="C63" s="86">
        <v>764</v>
      </c>
      <c r="D63" s="87">
        <v>106.6</v>
      </c>
      <c r="E63" s="88">
        <v>32</v>
      </c>
      <c r="F63" s="87">
        <v>85</v>
      </c>
      <c r="G63" s="17">
        <v>26</v>
      </c>
      <c r="H63" s="89">
        <v>386</v>
      </c>
      <c r="I63" s="90">
        <v>19500</v>
      </c>
      <c r="J63" s="90" t="s">
        <v>68</v>
      </c>
      <c r="K63" s="90"/>
      <c r="L63" s="90"/>
      <c r="M63" s="91">
        <f>I63-K63</f>
        <v>19500</v>
      </c>
      <c r="N63" s="4">
        <f>IF(ISERROR(K63/I63),"",K63/I63)</f>
        <v>0</v>
      </c>
      <c r="O63" s="92">
        <f>I63/E63</f>
        <v>609.375</v>
      </c>
      <c r="P63" s="92">
        <f>K63/E63</f>
        <v>0</v>
      </c>
      <c r="Q63" s="80">
        <v>3</v>
      </c>
      <c r="R63" s="80">
        <v>2</v>
      </c>
      <c r="S63" s="80" t="s">
        <v>61</v>
      </c>
      <c r="T63" s="5">
        <v>106</v>
      </c>
      <c r="U63" s="9"/>
    </row>
    <row r="64" spans="1:21" s="37" customFormat="1" ht="12" x14ac:dyDescent="0.3">
      <c r="A64" s="75" t="s">
        <v>1345</v>
      </c>
      <c r="B64" s="76" t="s">
        <v>1346</v>
      </c>
      <c r="C64" s="86">
        <v>690</v>
      </c>
      <c r="D64" s="87">
        <v>102.7</v>
      </c>
      <c r="E64" s="88">
        <v>31</v>
      </c>
      <c r="F64" s="87">
        <v>85</v>
      </c>
      <c r="G64" s="17">
        <v>26</v>
      </c>
      <c r="H64" s="89">
        <v>480</v>
      </c>
      <c r="I64" s="90">
        <v>19000</v>
      </c>
      <c r="J64" s="90" t="s">
        <v>60</v>
      </c>
      <c r="K64" s="90"/>
      <c r="L64" s="90"/>
      <c r="M64" s="91">
        <f>I64-K64</f>
        <v>19000</v>
      </c>
      <c r="N64" s="4">
        <f>IF(ISERROR(K64/I64),"",K64/I64)</f>
        <v>0</v>
      </c>
      <c r="O64" s="92">
        <f>I64/E64</f>
        <v>612.90322580645159</v>
      </c>
      <c r="P64" s="92">
        <f>K64/E64</f>
        <v>0</v>
      </c>
      <c r="Q64" s="80">
        <v>3</v>
      </c>
      <c r="R64" s="80">
        <v>2</v>
      </c>
      <c r="S64" s="80" t="s">
        <v>61</v>
      </c>
      <c r="T64" s="5">
        <v>102</v>
      </c>
      <c r="U64" s="9"/>
    </row>
    <row r="65" spans="1:21" s="37" customFormat="1" ht="12" x14ac:dyDescent="0.3">
      <c r="A65" s="75" t="s">
        <v>1005</v>
      </c>
      <c r="B65" s="76" t="s">
        <v>1004</v>
      </c>
      <c r="C65" s="86">
        <v>398</v>
      </c>
      <c r="D65" s="87">
        <v>104</v>
      </c>
      <c r="E65" s="88">
        <v>31</v>
      </c>
      <c r="F65" s="87">
        <v>85</v>
      </c>
      <c r="G65" s="17">
        <v>26</v>
      </c>
      <c r="H65" s="89">
        <v>239</v>
      </c>
      <c r="I65" s="90">
        <v>18200</v>
      </c>
      <c r="J65" s="90" t="s">
        <v>60</v>
      </c>
      <c r="K65" s="90"/>
      <c r="L65" s="90"/>
      <c r="M65" s="91">
        <f>I65-K65</f>
        <v>18200</v>
      </c>
      <c r="N65" s="4">
        <f>IF(ISERROR(K65/I65),"",K65/I65)</f>
        <v>0</v>
      </c>
      <c r="O65" s="92">
        <f>I65/E65</f>
        <v>587.09677419354841</v>
      </c>
      <c r="P65" s="92">
        <f>K65/E65</f>
        <v>0</v>
      </c>
      <c r="Q65" s="80">
        <v>3</v>
      </c>
      <c r="R65" s="80">
        <v>2</v>
      </c>
      <c r="S65" s="80" t="s">
        <v>61</v>
      </c>
      <c r="T65" s="5">
        <v>104</v>
      </c>
      <c r="U65" s="9"/>
    </row>
    <row r="66" spans="1:21" s="37" customFormat="1" ht="12" x14ac:dyDescent="0.3">
      <c r="A66" s="75" t="s">
        <v>1066</v>
      </c>
      <c r="B66" s="76" t="s">
        <v>1067</v>
      </c>
      <c r="C66" s="86">
        <v>764</v>
      </c>
      <c r="D66" s="87">
        <v>95.2</v>
      </c>
      <c r="E66" s="88">
        <v>29</v>
      </c>
      <c r="F66" s="87">
        <v>75</v>
      </c>
      <c r="G66" s="17">
        <v>23</v>
      </c>
      <c r="H66" s="89">
        <v>224</v>
      </c>
      <c r="I66" s="90">
        <v>18000</v>
      </c>
      <c r="J66" s="90" t="s">
        <v>59</v>
      </c>
      <c r="K66" s="90"/>
      <c r="L66" s="90"/>
      <c r="M66" s="91">
        <f>I66-K66</f>
        <v>18000</v>
      </c>
      <c r="N66" s="4">
        <f>IF(ISERROR(K66/I66),"",K66/I66)</f>
        <v>0</v>
      </c>
      <c r="O66" s="92">
        <f>I66/E66</f>
        <v>620.68965517241384</v>
      </c>
      <c r="P66" s="92">
        <f>K66/E66</f>
        <v>0</v>
      </c>
      <c r="Q66" s="80">
        <v>3</v>
      </c>
      <c r="R66" s="80">
        <v>1</v>
      </c>
      <c r="S66" s="80" t="s">
        <v>61</v>
      </c>
      <c r="T66" s="5">
        <v>95</v>
      </c>
      <c r="U66" s="9"/>
    </row>
    <row r="67" spans="1:21" s="37" customFormat="1" ht="12" x14ac:dyDescent="0.3">
      <c r="A67" s="75" t="s">
        <v>1068</v>
      </c>
      <c r="B67" s="76" t="s">
        <v>1357</v>
      </c>
      <c r="C67" s="86">
        <v>798</v>
      </c>
      <c r="D67" s="87">
        <v>77.400000000000006</v>
      </c>
      <c r="E67" s="88">
        <v>23</v>
      </c>
      <c r="F67" s="87">
        <v>59.6</v>
      </c>
      <c r="G67" s="17">
        <v>18</v>
      </c>
      <c r="H67" s="89">
        <v>412</v>
      </c>
      <c r="I67" s="90">
        <v>18000</v>
      </c>
      <c r="J67" s="90" t="s">
        <v>68</v>
      </c>
      <c r="K67" s="90"/>
      <c r="L67" s="90"/>
      <c r="M67" s="91">
        <f>I67-K67</f>
        <v>18000</v>
      </c>
      <c r="N67" s="4">
        <f>IF(ISERROR(K67/I67),"",K67/I67)</f>
        <v>0</v>
      </c>
      <c r="O67" s="92">
        <f>I67/E67</f>
        <v>782.60869565217388</v>
      </c>
      <c r="P67" s="92">
        <f>K67/E67</f>
        <v>0</v>
      </c>
      <c r="Q67" s="80">
        <v>3</v>
      </c>
      <c r="R67" s="80">
        <v>1</v>
      </c>
      <c r="S67" s="80" t="s">
        <v>61</v>
      </c>
      <c r="T67" s="5">
        <v>77</v>
      </c>
      <c r="U67" s="9"/>
    </row>
    <row r="68" spans="1:21" s="37" customFormat="1" ht="12" x14ac:dyDescent="0.3">
      <c r="A68" s="75" t="s">
        <v>1054</v>
      </c>
      <c r="B68" s="76" t="s">
        <v>1055</v>
      </c>
      <c r="C68" s="86">
        <v>690</v>
      </c>
      <c r="D68" s="87">
        <v>93.8</v>
      </c>
      <c r="E68" s="88">
        <v>28</v>
      </c>
      <c r="F68" s="87">
        <v>76.5</v>
      </c>
      <c r="G68" s="17">
        <v>23</v>
      </c>
      <c r="H68" s="89">
        <v>210</v>
      </c>
      <c r="I68" s="90">
        <v>17500</v>
      </c>
      <c r="J68" s="90" t="s">
        <v>59</v>
      </c>
      <c r="K68" s="90"/>
      <c r="L68" s="90"/>
      <c r="M68" s="91">
        <f>I68-K68</f>
        <v>17500</v>
      </c>
      <c r="N68" s="4">
        <f>IF(ISERROR(K68/I68),"",K68/I68)</f>
        <v>0</v>
      </c>
      <c r="O68" s="92">
        <f>I68/E68</f>
        <v>625</v>
      </c>
      <c r="P68" s="92">
        <f>K68/E68</f>
        <v>0</v>
      </c>
      <c r="Q68" s="80">
        <v>3</v>
      </c>
      <c r="R68" s="80">
        <v>1</v>
      </c>
      <c r="S68" s="80" t="s">
        <v>61</v>
      </c>
      <c r="T68" s="5">
        <v>93</v>
      </c>
      <c r="U68" s="9"/>
    </row>
    <row r="69" spans="1:21" s="37" customFormat="1" ht="12" x14ac:dyDescent="0.3">
      <c r="A69" s="75" t="s">
        <v>1013</v>
      </c>
      <c r="B69" s="76" t="s">
        <v>1014</v>
      </c>
      <c r="C69" s="86">
        <v>958</v>
      </c>
      <c r="D69" s="87">
        <v>103</v>
      </c>
      <c r="E69" s="88">
        <v>31</v>
      </c>
      <c r="F69" s="87">
        <v>84.8</v>
      </c>
      <c r="G69" s="17">
        <v>26</v>
      </c>
      <c r="H69" s="89">
        <v>544</v>
      </c>
      <c r="I69" s="90">
        <v>16900</v>
      </c>
      <c r="J69" s="90" t="s">
        <v>59</v>
      </c>
      <c r="K69" s="90"/>
      <c r="L69" s="90"/>
      <c r="M69" s="91">
        <f>I69-K69</f>
        <v>16900</v>
      </c>
      <c r="N69" s="4">
        <f>IF(ISERROR(K69/I69),"",K69/I69)</f>
        <v>0</v>
      </c>
      <c r="O69" s="92">
        <f>I69/E69</f>
        <v>545.16129032258061</v>
      </c>
      <c r="P69" s="92">
        <f>K69/E69</f>
        <v>0</v>
      </c>
      <c r="Q69" s="80">
        <v>3</v>
      </c>
      <c r="R69" s="80">
        <v>2</v>
      </c>
      <c r="S69" s="80" t="s">
        <v>61</v>
      </c>
      <c r="T69" s="5">
        <v>103</v>
      </c>
      <c r="U69" s="9"/>
    </row>
    <row r="70" spans="1:21" s="37" customFormat="1" ht="12" x14ac:dyDescent="0.3">
      <c r="A70" s="75" t="s">
        <v>1059</v>
      </c>
      <c r="B70" s="76" t="s">
        <v>1060</v>
      </c>
      <c r="C70" s="86">
        <v>330</v>
      </c>
      <c r="D70" s="87">
        <v>104.8</v>
      </c>
      <c r="E70" s="88">
        <v>32</v>
      </c>
      <c r="F70" s="87">
        <v>84.9</v>
      </c>
      <c r="G70" s="17">
        <v>26</v>
      </c>
      <c r="H70" s="89">
        <v>120</v>
      </c>
      <c r="I70" s="90">
        <v>16800</v>
      </c>
      <c r="J70" s="90" t="s">
        <v>64</v>
      </c>
      <c r="K70" s="90"/>
      <c r="L70" s="90"/>
      <c r="M70" s="91">
        <f>I70-K70</f>
        <v>16800</v>
      </c>
      <c r="N70" s="4">
        <f>IF(ISERROR(K70/I70),"",K70/I70)</f>
        <v>0</v>
      </c>
      <c r="O70" s="92">
        <f>I70/E70</f>
        <v>525</v>
      </c>
      <c r="P70" s="92">
        <f>K70/E70</f>
        <v>0</v>
      </c>
      <c r="Q70" s="80">
        <v>3</v>
      </c>
      <c r="R70" s="80">
        <v>2</v>
      </c>
      <c r="S70" s="80" t="s">
        <v>61</v>
      </c>
      <c r="T70" s="5">
        <v>104</v>
      </c>
      <c r="U70" s="9"/>
    </row>
    <row r="71" spans="1:21" s="37" customFormat="1" ht="12" x14ac:dyDescent="0.3">
      <c r="A71" s="75" t="s">
        <v>959</v>
      </c>
      <c r="B71" s="76" t="s">
        <v>961</v>
      </c>
      <c r="C71" s="86">
        <v>432</v>
      </c>
      <c r="D71" s="87">
        <v>112.4</v>
      </c>
      <c r="E71" s="88">
        <v>34</v>
      </c>
      <c r="F71" s="87">
        <v>85</v>
      </c>
      <c r="G71" s="17">
        <v>26</v>
      </c>
      <c r="H71" s="89">
        <v>283</v>
      </c>
      <c r="I71" s="90">
        <v>16500</v>
      </c>
      <c r="J71" s="90" t="s">
        <v>73</v>
      </c>
      <c r="K71" s="90"/>
      <c r="L71" s="90"/>
      <c r="M71" s="91">
        <f>I71-K71</f>
        <v>16500</v>
      </c>
      <c r="N71" s="4">
        <f>IF(ISERROR(K71/I71),"",K71/I71)</f>
        <v>0</v>
      </c>
      <c r="O71" s="92">
        <f>I71/E71</f>
        <v>485.29411764705884</v>
      </c>
      <c r="P71" s="92">
        <f>K71/E71</f>
        <v>0</v>
      </c>
      <c r="Q71" s="80">
        <v>3</v>
      </c>
      <c r="R71" s="80">
        <v>2</v>
      </c>
      <c r="S71" s="80" t="s">
        <v>61</v>
      </c>
      <c r="T71" s="5">
        <v>112</v>
      </c>
      <c r="U71" s="9"/>
    </row>
    <row r="72" spans="1:21" s="37" customFormat="1" ht="12" x14ac:dyDescent="0.3">
      <c r="A72" s="75" t="s">
        <v>1048</v>
      </c>
      <c r="B72" s="76" t="s">
        <v>1049</v>
      </c>
      <c r="C72" s="86">
        <v>489</v>
      </c>
      <c r="D72" s="87">
        <v>69.2</v>
      </c>
      <c r="E72" s="88">
        <v>21</v>
      </c>
      <c r="F72" s="87">
        <v>59.8</v>
      </c>
      <c r="G72" s="17">
        <v>18</v>
      </c>
      <c r="H72" s="89">
        <v>176</v>
      </c>
      <c r="I72" s="90">
        <v>16500</v>
      </c>
      <c r="J72" s="90" t="s">
        <v>73</v>
      </c>
      <c r="K72" s="90"/>
      <c r="L72" s="90"/>
      <c r="M72" s="91">
        <f>I72-K72</f>
        <v>16500</v>
      </c>
      <c r="N72" s="4">
        <f>IF(ISERROR(K72/I72),"",K72/I72)</f>
        <v>0</v>
      </c>
      <c r="O72" s="92">
        <f>I72/E72</f>
        <v>785.71428571428567</v>
      </c>
      <c r="P72" s="92">
        <f>K72/E72</f>
        <v>0</v>
      </c>
      <c r="Q72" s="80">
        <v>3</v>
      </c>
      <c r="R72" s="80">
        <v>1</v>
      </c>
      <c r="S72" s="80" t="s">
        <v>61</v>
      </c>
      <c r="T72" s="5">
        <v>69</v>
      </c>
      <c r="U72" s="9"/>
    </row>
    <row r="73" spans="1:21" s="37" customFormat="1" ht="12" x14ac:dyDescent="0.3">
      <c r="A73" s="75" t="s">
        <v>1056</v>
      </c>
      <c r="B73" s="76" t="s">
        <v>1347</v>
      </c>
      <c r="C73" s="86">
        <v>365</v>
      </c>
      <c r="D73" s="87">
        <v>75.2</v>
      </c>
      <c r="E73" s="88">
        <v>23</v>
      </c>
      <c r="F73" s="87">
        <v>59.7</v>
      </c>
      <c r="G73" s="17">
        <v>18</v>
      </c>
      <c r="H73" s="89">
        <v>140</v>
      </c>
      <c r="I73" s="90">
        <v>16500</v>
      </c>
      <c r="J73" s="90" t="s">
        <v>65</v>
      </c>
      <c r="K73" s="90"/>
      <c r="L73" s="90"/>
      <c r="M73" s="91">
        <f>I73-K73</f>
        <v>16500</v>
      </c>
      <c r="N73" s="4">
        <f>IF(ISERROR(K73/I73),"",K73/I73)</f>
        <v>0</v>
      </c>
      <c r="O73" s="92">
        <f>I73/E73</f>
        <v>717.39130434782612</v>
      </c>
      <c r="P73" s="92">
        <f>K73/E73</f>
        <v>0</v>
      </c>
      <c r="Q73" s="80">
        <v>3</v>
      </c>
      <c r="R73" s="80">
        <v>1</v>
      </c>
      <c r="S73" s="80" t="s">
        <v>61</v>
      </c>
      <c r="T73" s="5">
        <v>75</v>
      </c>
      <c r="U73" s="9"/>
    </row>
    <row r="74" spans="1:21" s="37" customFormat="1" ht="12" x14ac:dyDescent="0.3">
      <c r="A74" s="75" t="s">
        <v>1353</v>
      </c>
      <c r="B74" s="76" t="s">
        <v>1060</v>
      </c>
      <c r="C74" s="86">
        <v>330</v>
      </c>
      <c r="D74" s="87">
        <v>93.5</v>
      </c>
      <c r="E74" s="88">
        <v>28</v>
      </c>
      <c r="F74" s="87">
        <v>75.099999999999994</v>
      </c>
      <c r="G74" s="17">
        <v>23</v>
      </c>
      <c r="H74" s="89">
        <v>150</v>
      </c>
      <c r="I74" s="90">
        <v>16000</v>
      </c>
      <c r="J74" s="90" t="s">
        <v>65</v>
      </c>
      <c r="K74" s="90"/>
      <c r="L74" s="90"/>
      <c r="M74" s="91">
        <f>I74-K74</f>
        <v>16000</v>
      </c>
      <c r="N74" s="4">
        <f>IF(ISERROR(K74/I74),"",K74/I74)</f>
        <v>0</v>
      </c>
      <c r="O74" s="92">
        <f>I74/E74</f>
        <v>571.42857142857144</v>
      </c>
      <c r="P74" s="92">
        <f>K74/E74</f>
        <v>0</v>
      </c>
      <c r="Q74" s="80">
        <v>3</v>
      </c>
      <c r="R74" s="80">
        <v>1</v>
      </c>
      <c r="S74" s="80" t="s">
        <v>61</v>
      </c>
      <c r="T74" s="5">
        <v>93</v>
      </c>
      <c r="U74" s="9"/>
    </row>
    <row r="75" spans="1:21" s="37" customFormat="1" ht="12" x14ac:dyDescent="0.3">
      <c r="A75" s="75" t="s">
        <v>1013</v>
      </c>
      <c r="B75" s="76" t="s">
        <v>1014</v>
      </c>
      <c r="C75" s="86">
        <v>958</v>
      </c>
      <c r="D75" s="87">
        <v>88.7</v>
      </c>
      <c r="E75" s="88">
        <v>27</v>
      </c>
      <c r="F75" s="87">
        <v>72.8</v>
      </c>
      <c r="G75" s="17">
        <v>22</v>
      </c>
      <c r="H75" s="89">
        <v>191</v>
      </c>
      <c r="I75" s="90">
        <v>15500</v>
      </c>
      <c r="J75" s="90" t="s">
        <v>77</v>
      </c>
      <c r="K75" s="90"/>
      <c r="L75" s="90"/>
      <c r="M75" s="91">
        <f>I75-K75</f>
        <v>15500</v>
      </c>
      <c r="N75" s="4">
        <f>IF(ISERROR(K75/I75),"",K75/I75)</f>
        <v>0</v>
      </c>
      <c r="O75" s="92">
        <f>I75/E75</f>
        <v>574.07407407407402</v>
      </c>
      <c r="P75" s="92">
        <f>K75/E75</f>
        <v>0</v>
      </c>
      <c r="Q75" s="80">
        <v>3</v>
      </c>
      <c r="R75" s="80">
        <v>1</v>
      </c>
      <c r="S75" s="80" t="s">
        <v>61</v>
      </c>
      <c r="T75" s="5" t="s">
        <v>118</v>
      </c>
      <c r="U75" s="9"/>
    </row>
    <row r="76" spans="1:21" s="37" customFormat="1" ht="12" x14ac:dyDescent="0.3">
      <c r="A76" s="75" t="s">
        <v>1064</v>
      </c>
      <c r="B76" s="76" t="s">
        <v>1065</v>
      </c>
      <c r="C76" s="86">
        <v>608</v>
      </c>
      <c r="D76" s="87">
        <v>74</v>
      </c>
      <c r="E76" s="88">
        <v>22</v>
      </c>
      <c r="F76" s="87">
        <v>59.4</v>
      </c>
      <c r="G76" s="17">
        <v>18</v>
      </c>
      <c r="H76" s="89">
        <v>147</v>
      </c>
      <c r="I76" s="90">
        <v>14500</v>
      </c>
      <c r="J76" s="90" t="s">
        <v>59</v>
      </c>
      <c r="K76" s="90"/>
      <c r="L76" s="90"/>
      <c r="M76" s="91">
        <f>I76-K76</f>
        <v>14500</v>
      </c>
      <c r="N76" s="4">
        <f>IF(ISERROR(K76/I76),"",K76/I76)</f>
        <v>0</v>
      </c>
      <c r="O76" s="92">
        <f>I76/E76</f>
        <v>659.09090909090912</v>
      </c>
      <c r="P76" s="92">
        <f>K76/E76</f>
        <v>0</v>
      </c>
      <c r="Q76" s="80">
        <v>3</v>
      </c>
      <c r="R76" s="80">
        <v>1</v>
      </c>
      <c r="S76" s="80" t="s">
        <v>61</v>
      </c>
      <c r="T76" s="5">
        <v>73</v>
      </c>
      <c r="U76" s="9"/>
    </row>
    <row r="77" spans="1:21" s="37" customFormat="1" ht="12" x14ac:dyDescent="0.3">
      <c r="A77" s="75" t="s">
        <v>959</v>
      </c>
      <c r="B77" s="76" t="s">
        <v>960</v>
      </c>
      <c r="C77" s="86">
        <v>432</v>
      </c>
      <c r="D77" s="87">
        <v>95.5</v>
      </c>
      <c r="E77" s="88">
        <v>29</v>
      </c>
      <c r="F77" s="87">
        <v>73.599999999999994</v>
      </c>
      <c r="G77" s="17">
        <v>22</v>
      </c>
      <c r="H77" s="89">
        <v>69</v>
      </c>
      <c r="I77" s="90">
        <v>14000</v>
      </c>
      <c r="J77" s="90" t="s">
        <v>67</v>
      </c>
      <c r="K77" s="90"/>
      <c r="L77" s="90"/>
      <c r="M77" s="91">
        <f>I77-K77</f>
        <v>14000</v>
      </c>
      <c r="N77" s="4">
        <f>IF(ISERROR(K77/I77),"",K77/I77)</f>
        <v>0</v>
      </c>
      <c r="O77" s="92">
        <f>I77/E77</f>
        <v>482.75862068965517</v>
      </c>
      <c r="P77" s="92">
        <f>K77/E77</f>
        <v>0</v>
      </c>
      <c r="Q77" s="80">
        <v>3</v>
      </c>
      <c r="R77" s="80">
        <v>1</v>
      </c>
      <c r="S77" s="80" t="s">
        <v>61</v>
      </c>
      <c r="T77" s="5">
        <v>95</v>
      </c>
      <c r="U77" s="9"/>
    </row>
    <row r="78" spans="1:21" s="37" customFormat="1" ht="12" x14ac:dyDescent="0.3">
      <c r="A78" s="75" t="s">
        <v>1073</v>
      </c>
      <c r="B78" s="76" t="s">
        <v>1074</v>
      </c>
      <c r="C78" s="86">
        <v>440</v>
      </c>
      <c r="D78" s="87">
        <v>83</v>
      </c>
      <c r="E78" s="88">
        <v>25</v>
      </c>
      <c r="F78" s="87">
        <v>59.9</v>
      </c>
      <c r="G78" s="17">
        <v>18</v>
      </c>
      <c r="H78" s="89">
        <v>158</v>
      </c>
      <c r="I78" s="90">
        <v>14000</v>
      </c>
      <c r="J78" s="90" t="s">
        <v>73</v>
      </c>
      <c r="K78" s="90">
        <v>11500</v>
      </c>
      <c r="L78" s="90" t="s">
        <v>70</v>
      </c>
      <c r="M78" s="91">
        <f>I78-K78</f>
        <v>2500</v>
      </c>
      <c r="N78" s="4">
        <f>IF(ISERROR(K78/I78),"",K78/I78)</f>
        <v>0.8214285714285714</v>
      </c>
      <c r="O78" s="92">
        <f>I78/E78</f>
        <v>560</v>
      </c>
      <c r="P78" s="92">
        <f>K78/E78</f>
        <v>460</v>
      </c>
      <c r="Q78" s="80">
        <v>3</v>
      </c>
      <c r="R78" s="80">
        <v>1</v>
      </c>
      <c r="S78" s="80" t="s">
        <v>85</v>
      </c>
      <c r="T78" s="5">
        <v>83</v>
      </c>
      <c r="U78" s="9"/>
    </row>
    <row r="79" spans="1:21" s="37" customFormat="1" ht="12" x14ac:dyDescent="0.3">
      <c r="A79" s="75" t="s">
        <v>1010</v>
      </c>
      <c r="B79" s="76" t="s">
        <v>1011</v>
      </c>
      <c r="C79" s="86">
        <v>356</v>
      </c>
      <c r="D79" s="87">
        <v>81.3</v>
      </c>
      <c r="E79" s="88">
        <v>25</v>
      </c>
      <c r="F79" s="87">
        <v>59.5</v>
      </c>
      <c r="G79" s="17">
        <v>18</v>
      </c>
      <c r="H79" s="89">
        <v>226</v>
      </c>
      <c r="I79" s="90">
        <v>11800</v>
      </c>
      <c r="J79" s="90" t="s">
        <v>59</v>
      </c>
      <c r="K79" s="90">
        <v>11500</v>
      </c>
      <c r="L79" s="90" t="s">
        <v>59</v>
      </c>
      <c r="M79" s="91">
        <f>I79-K79</f>
        <v>300</v>
      </c>
      <c r="N79" s="4">
        <f>IF(ISERROR(K79/I79),"",K79/I79)</f>
        <v>0.97457627118644063</v>
      </c>
      <c r="O79" s="92">
        <f>I79/E79</f>
        <v>472</v>
      </c>
      <c r="P79" s="92">
        <f>K79/E79</f>
        <v>460</v>
      </c>
      <c r="Q79" s="80">
        <v>3</v>
      </c>
      <c r="R79" s="80">
        <v>1</v>
      </c>
      <c r="S79" s="80" t="s">
        <v>61</v>
      </c>
      <c r="T79" s="5">
        <v>81</v>
      </c>
      <c r="U79" s="9"/>
    </row>
    <row r="80" spans="1:21" s="37" customFormat="1" ht="12" x14ac:dyDescent="0.3">
      <c r="A80" s="75" t="s">
        <v>1012</v>
      </c>
      <c r="B80" s="76" t="s">
        <v>1011</v>
      </c>
      <c r="C80" s="86">
        <v>356</v>
      </c>
      <c r="D80" s="87">
        <v>67.7</v>
      </c>
      <c r="E80" s="88">
        <v>20</v>
      </c>
      <c r="F80" s="87">
        <v>49.5</v>
      </c>
      <c r="G80" s="17">
        <v>15</v>
      </c>
      <c r="H80" s="89">
        <v>105</v>
      </c>
      <c r="I80" s="90">
        <v>9700</v>
      </c>
      <c r="J80" s="90" t="s">
        <v>68</v>
      </c>
      <c r="K80" s="90"/>
      <c r="L80" s="90"/>
      <c r="M80" s="91">
        <f>I80-K80</f>
        <v>9700</v>
      </c>
      <c r="N80" s="4">
        <f>IF(ISERROR(K80/I80),"",K80/I80)</f>
        <v>0</v>
      </c>
      <c r="O80" s="92">
        <f>I80/E80</f>
        <v>485</v>
      </c>
      <c r="P80" s="92">
        <f>K80/E80</f>
        <v>0</v>
      </c>
      <c r="Q80" s="80">
        <v>2</v>
      </c>
      <c r="R80" s="80">
        <v>1</v>
      </c>
      <c r="S80" s="80" t="s">
        <v>61</v>
      </c>
      <c r="T80" s="5">
        <v>67</v>
      </c>
      <c r="U80" s="9"/>
    </row>
    <row r="81" spans="1:21" s="37" customFormat="1" ht="12" x14ac:dyDescent="0.3">
      <c r="A81" s="75" t="s">
        <v>1073</v>
      </c>
      <c r="B81" s="76" t="s">
        <v>1074</v>
      </c>
      <c r="C81" s="86">
        <v>440</v>
      </c>
      <c r="D81" s="87">
        <v>63.5</v>
      </c>
      <c r="E81" s="88">
        <v>19</v>
      </c>
      <c r="F81" s="87">
        <v>45.3</v>
      </c>
      <c r="G81" s="17">
        <v>14</v>
      </c>
      <c r="H81" s="89">
        <v>178</v>
      </c>
      <c r="I81" s="90">
        <v>9500</v>
      </c>
      <c r="J81" s="90" t="s">
        <v>59</v>
      </c>
      <c r="K81" s="90"/>
      <c r="L81" s="90"/>
      <c r="M81" s="91">
        <f>I81-K81</f>
        <v>9500</v>
      </c>
      <c r="N81" s="4">
        <f>IF(ISERROR(K81/I81),"",K81/I81)</f>
        <v>0</v>
      </c>
      <c r="O81" s="92">
        <f>I81/E81</f>
        <v>500</v>
      </c>
      <c r="P81" s="92">
        <f>K81/E81</f>
        <v>0</v>
      </c>
      <c r="Q81" s="80">
        <v>2</v>
      </c>
      <c r="R81" s="80">
        <v>1</v>
      </c>
      <c r="S81" s="80" t="s">
        <v>85</v>
      </c>
      <c r="T81" s="5">
        <v>63</v>
      </c>
      <c r="U81" s="9"/>
    </row>
    <row r="82" spans="1:21" s="37" customFormat="1" ht="12" x14ac:dyDescent="0.3">
      <c r="A82" s="75" t="s">
        <v>978</v>
      </c>
      <c r="B82" s="76" t="s">
        <v>979</v>
      </c>
      <c r="C82" s="86">
        <v>883</v>
      </c>
      <c r="D82" s="87">
        <v>78.099999999999994</v>
      </c>
      <c r="E82" s="88">
        <v>24</v>
      </c>
      <c r="F82" s="87">
        <v>59.7</v>
      </c>
      <c r="G82" s="17">
        <v>18</v>
      </c>
      <c r="H82" s="89">
        <v>750</v>
      </c>
      <c r="I82" s="90">
        <v>7500</v>
      </c>
      <c r="J82" s="90" t="s">
        <v>69</v>
      </c>
      <c r="K82" s="90">
        <v>8000</v>
      </c>
      <c r="L82" s="90" t="s">
        <v>68</v>
      </c>
      <c r="M82" s="91">
        <f>I82-K82</f>
        <v>-500</v>
      </c>
      <c r="N82" s="4">
        <f>IF(ISERROR(K82/I82),"",K82/I82)</f>
        <v>1.0666666666666667</v>
      </c>
      <c r="O82" s="92">
        <f>I82/E82</f>
        <v>312.5</v>
      </c>
      <c r="P82" s="92">
        <f>K82/E82</f>
        <v>333.33333333333331</v>
      </c>
      <c r="Q82" s="80">
        <v>3</v>
      </c>
      <c r="R82" s="80">
        <v>1</v>
      </c>
      <c r="S82" s="80" t="s">
        <v>85</v>
      </c>
      <c r="T82" s="5" t="s">
        <v>112</v>
      </c>
      <c r="U82" s="9"/>
    </row>
    <row r="83" spans="1:21" s="37" customFormat="1" ht="12" x14ac:dyDescent="0.3">
      <c r="A83" s="75" t="s">
        <v>1355</v>
      </c>
      <c r="B83" s="76" t="s">
        <v>1356</v>
      </c>
      <c r="C83" s="86">
        <v>608</v>
      </c>
      <c r="D83" s="87">
        <v>40.799999999999997</v>
      </c>
      <c r="E83" s="88">
        <v>12</v>
      </c>
      <c r="F83" s="87">
        <v>32.799999999999997</v>
      </c>
      <c r="G83" s="17">
        <v>10</v>
      </c>
      <c r="H83" s="89">
        <v>243</v>
      </c>
      <c r="I83" s="90">
        <v>5700</v>
      </c>
      <c r="J83" s="90" t="s">
        <v>60</v>
      </c>
      <c r="K83" s="90"/>
      <c r="L83" s="90"/>
      <c r="M83" s="91">
        <f>I83-K83</f>
        <v>5700</v>
      </c>
      <c r="N83" s="4">
        <f>IF(ISERROR(K83/I83),"",K83/I83)</f>
        <v>0</v>
      </c>
      <c r="O83" s="92">
        <f>I83/E83</f>
        <v>475</v>
      </c>
      <c r="P83" s="92">
        <f>K83/E83</f>
        <v>0</v>
      </c>
      <c r="Q83" s="80">
        <v>1</v>
      </c>
      <c r="R83" s="80">
        <v>1</v>
      </c>
      <c r="S83" s="80" t="s">
        <v>85</v>
      </c>
      <c r="T83" s="5">
        <v>40</v>
      </c>
      <c r="U83" s="9"/>
    </row>
    <row r="84" spans="1:21" s="37" customFormat="1" ht="12" x14ac:dyDescent="0.3">
      <c r="A84" s="75" t="s">
        <v>987</v>
      </c>
      <c r="B84" s="76" t="s">
        <v>989</v>
      </c>
      <c r="C84" s="86">
        <v>425</v>
      </c>
      <c r="D84" s="87">
        <v>67.5</v>
      </c>
      <c r="E84" s="88">
        <v>20</v>
      </c>
      <c r="F84" s="87">
        <v>59.9</v>
      </c>
      <c r="G84" s="17">
        <v>18</v>
      </c>
      <c r="H84" s="89">
        <v>358</v>
      </c>
      <c r="I84" s="90">
        <v>5200</v>
      </c>
      <c r="J84" s="90" t="s">
        <v>73</v>
      </c>
      <c r="K84" s="90"/>
      <c r="L84" s="90"/>
      <c r="M84" s="91">
        <f>I84-K84</f>
        <v>5200</v>
      </c>
      <c r="N84" s="4">
        <f>IF(ISERROR(K84/I84),"",K84/I84)</f>
        <v>0</v>
      </c>
      <c r="O84" s="92">
        <f>I84/E84</f>
        <v>260</v>
      </c>
      <c r="P84" s="92">
        <f>K84/E84</f>
        <v>0</v>
      </c>
      <c r="Q84" s="80">
        <v>2</v>
      </c>
      <c r="R84" s="80">
        <v>1</v>
      </c>
      <c r="S84" s="80" t="s">
        <v>61</v>
      </c>
      <c r="T84" s="5" t="s">
        <v>113</v>
      </c>
      <c r="U84" s="9"/>
    </row>
    <row r="85" spans="1:21" s="37" customFormat="1" ht="12" x14ac:dyDescent="0.3">
      <c r="A85" s="75" t="s">
        <v>1339</v>
      </c>
      <c r="B85" s="76" t="s">
        <v>1042</v>
      </c>
      <c r="C85" s="86">
        <v>345</v>
      </c>
      <c r="D85" s="87">
        <v>33.6</v>
      </c>
      <c r="E85" s="88">
        <v>10</v>
      </c>
      <c r="F85" s="87">
        <v>26.1</v>
      </c>
      <c r="G85" s="17">
        <v>8</v>
      </c>
      <c r="H85" s="89">
        <v>179</v>
      </c>
      <c r="I85" s="90">
        <v>5000</v>
      </c>
      <c r="J85" s="90" t="s">
        <v>70</v>
      </c>
      <c r="K85" s="90"/>
      <c r="L85" s="90"/>
      <c r="M85" s="91">
        <f>I85-K85</f>
        <v>5000</v>
      </c>
      <c r="N85" s="4">
        <f>IF(ISERROR(K85/I85),"",K85/I85)</f>
        <v>0</v>
      </c>
      <c r="O85" s="92">
        <f>I85/E85</f>
        <v>500</v>
      </c>
      <c r="P85" s="92">
        <f>K85/E85</f>
        <v>0</v>
      </c>
      <c r="Q85" s="80">
        <v>1</v>
      </c>
      <c r="R85" s="80">
        <v>1</v>
      </c>
      <c r="S85" s="80" t="s">
        <v>61</v>
      </c>
      <c r="T85" s="5">
        <v>33</v>
      </c>
      <c r="U85" s="9"/>
    </row>
    <row r="86" spans="1:21" s="37" customFormat="1" ht="12" x14ac:dyDescent="0.3">
      <c r="A86" s="75" t="s">
        <v>1058</v>
      </c>
      <c r="B86" s="76" t="s">
        <v>1350</v>
      </c>
      <c r="C86" s="86">
        <v>523</v>
      </c>
      <c r="D86" s="87">
        <v>40.9</v>
      </c>
      <c r="E86" s="88">
        <v>12</v>
      </c>
      <c r="F86" s="87">
        <v>30.3</v>
      </c>
      <c r="G86" s="17">
        <v>9</v>
      </c>
      <c r="H86" s="89">
        <v>299</v>
      </c>
      <c r="I86" s="90">
        <v>5000</v>
      </c>
      <c r="J86" s="90" t="s">
        <v>67</v>
      </c>
      <c r="K86" s="90"/>
      <c r="L86" s="90"/>
      <c r="M86" s="91">
        <f>I86-K86</f>
        <v>5000</v>
      </c>
      <c r="N86" s="4">
        <f>IF(ISERROR(K86/I86),"",K86/I86)</f>
        <v>0</v>
      </c>
      <c r="O86" s="92">
        <f>I86/E86</f>
        <v>416.66666666666669</v>
      </c>
      <c r="P86" s="92">
        <f>K86/E86</f>
        <v>0</v>
      </c>
      <c r="Q86" s="80">
        <v>1</v>
      </c>
      <c r="R86" s="80">
        <v>1</v>
      </c>
      <c r="S86" s="80" t="s">
        <v>85</v>
      </c>
      <c r="T86" s="5">
        <v>40</v>
      </c>
      <c r="U86" s="9"/>
    </row>
    <row r="87" spans="1:21" s="37" customFormat="1" ht="12" x14ac:dyDescent="0.3">
      <c r="A87" s="75" t="s">
        <v>1000</v>
      </c>
      <c r="B87" s="76" t="s">
        <v>1001</v>
      </c>
      <c r="C87" s="86">
        <v>411</v>
      </c>
      <c r="D87" s="87">
        <v>50.4</v>
      </c>
      <c r="E87" s="88">
        <v>15</v>
      </c>
      <c r="F87" s="87">
        <v>35.9</v>
      </c>
      <c r="G87" s="17">
        <v>11</v>
      </c>
      <c r="H87" s="89">
        <v>56</v>
      </c>
      <c r="I87" s="90">
        <v>4700</v>
      </c>
      <c r="J87" s="90" t="s">
        <v>80</v>
      </c>
      <c r="K87" s="90"/>
      <c r="L87" s="90"/>
      <c r="M87" s="91">
        <f>I87-K87</f>
        <v>4700</v>
      </c>
      <c r="N87" s="4">
        <f>IF(ISERROR(K87/I87),"",K87/I87)</f>
        <v>0</v>
      </c>
      <c r="O87" s="92">
        <f>I87/E87</f>
        <v>313.33333333333331</v>
      </c>
      <c r="P87" s="92">
        <f>K87/E87</f>
        <v>0</v>
      </c>
      <c r="Q87" s="80">
        <v>2</v>
      </c>
      <c r="R87" s="80">
        <v>1</v>
      </c>
      <c r="S87" s="80" t="s">
        <v>85</v>
      </c>
      <c r="T87" s="5">
        <v>50</v>
      </c>
      <c r="U87" s="9"/>
    </row>
    <row r="88" spans="1:21" s="37" customFormat="1" ht="12" x14ac:dyDescent="0.3">
      <c r="A88" s="75" t="s">
        <v>1016</v>
      </c>
      <c r="B88" s="76" t="s">
        <v>1017</v>
      </c>
      <c r="C88" s="86">
        <v>499</v>
      </c>
      <c r="D88" s="87">
        <v>41.1</v>
      </c>
      <c r="E88" s="88">
        <v>12</v>
      </c>
      <c r="F88" s="87">
        <v>29.9</v>
      </c>
      <c r="G88" s="17">
        <v>9</v>
      </c>
      <c r="H88" s="89">
        <v>499</v>
      </c>
      <c r="I88" s="90">
        <v>4600</v>
      </c>
      <c r="J88" s="90" t="s">
        <v>68</v>
      </c>
      <c r="K88" s="90"/>
      <c r="L88" s="90"/>
      <c r="M88" s="91">
        <f>I88-K88</f>
        <v>4600</v>
      </c>
      <c r="N88" s="4">
        <f>IF(ISERROR(K88/I88),"",K88/I88)</f>
        <v>0</v>
      </c>
      <c r="O88" s="92">
        <f>I88/E88</f>
        <v>383.33333333333331</v>
      </c>
      <c r="P88" s="92">
        <f>K88/E88</f>
        <v>0</v>
      </c>
      <c r="Q88" s="80">
        <v>1</v>
      </c>
      <c r="R88" s="80">
        <v>1</v>
      </c>
      <c r="S88" s="80" t="s">
        <v>85</v>
      </c>
      <c r="T88" s="5">
        <v>41</v>
      </c>
      <c r="U88" s="9"/>
    </row>
    <row r="89" spans="1:21" s="37" customFormat="1" ht="12" x14ac:dyDescent="0.3">
      <c r="A89" s="75" t="s">
        <v>974</v>
      </c>
      <c r="B89" s="76" t="s">
        <v>975</v>
      </c>
      <c r="C89" s="86">
        <v>700</v>
      </c>
      <c r="D89" s="87">
        <v>52.2</v>
      </c>
      <c r="E89" s="88">
        <v>16</v>
      </c>
      <c r="F89" s="87">
        <v>39.799999999999997</v>
      </c>
      <c r="G89" s="17">
        <v>12</v>
      </c>
      <c r="H89" s="89">
        <v>460</v>
      </c>
      <c r="I89" s="90">
        <v>4500</v>
      </c>
      <c r="J89" s="90" t="s">
        <v>69</v>
      </c>
      <c r="K89" s="90"/>
      <c r="L89" s="90"/>
      <c r="M89" s="91">
        <f>I89-K89</f>
        <v>4500</v>
      </c>
      <c r="N89" s="4">
        <f>IF(ISERROR(K89/I89),"",K89/I89)</f>
        <v>0</v>
      </c>
      <c r="O89" s="92">
        <f>I89/E89</f>
        <v>281.25</v>
      </c>
      <c r="P89" s="92">
        <f>K89/E89</f>
        <v>0</v>
      </c>
      <c r="Q89" s="80">
        <v>2</v>
      </c>
      <c r="R89" s="80">
        <v>1</v>
      </c>
      <c r="S89" s="80" t="s">
        <v>61</v>
      </c>
      <c r="T89" s="5">
        <v>52</v>
      </c>
      <c r="U89" s="9"/>
    </row>
    <row r="90" spans="1:21" s="37" customFormat="1" ht="12" x14ac:dyDescent="0.3">
      <c r="A90" s="75" t="s">
        <v>985</v>
      </c>
      <c r="B90" s="76" t="s">
        <v>986</v>
      </c>
      <c r="C90" s="86">
        <v>910</v>
      </c>
      <c r="D90" s="87">
        <v>61</v>
      </c>
      <c r="E90" s="88">
        <v>18</v>
      </c>
      <c r="F90" s="87">
        <v>45.3</v>
      </c>
      <c r="G90" s="17">
        <v>14</v>
      </c>
      <c r="H90" s="89">
        <v>360</v>
      </c>
      <c r="I90" s="90">
        <v>4500</v>
      </c>
      <c r="J90" s="90" t="s">
        <v>65</v>
      </c>
      <c r="K90" s="90"/>
      <c r="L90" s="90"/>
      <c r="M90" s="91">
        <f>I90-K90</f>
        <v>4500</v>
      </c>
      <c r="N90" s="4">
        <f>IF(ISERROR(K90/I90),"",K90/I90)</f>
        <v>0</v>
      </c>
      <c r="O90" s="92">
        <f>I90/E90</f>
        <v>250</v>
      </c>
      <c r="P90" s="92">
        <f>K90/E90</f>
        <v>0</v>
      </c>
      <c r="Q90" s="80">
        <v>2</v>
      </c>
      <c r="R90" s="80">
        <v>1</v>
      </c>
      <c r="S90" s="80" t="s">
        <v>85</v>
      </c>
      <c r="T90" s="5">
        <v>61</v>
      </c>
      <c r="U90" s="9"/>
    </row>
    <row r="91" spans="1:21" s="37" customFormat="1" ht="12" x14ac:dyDescent="0.3">
      <c r="A91" s="75" t="s">
        <v>1000</v>
      </c>
      <c r="B91" s="76" t="s">
        <v>1002</v>
      </c>
      <c r="C91" s="86">
        <v>411</v>
      </c>
      <c r="D91" s="87">
        <v>46.8</v>
      </c>
      <c r="E91" s="88">
        <v>14</v>
      </c>
      <c r="F91" s="87">
        <v>33.299999999999997</v>
      </c>
      <c r="G91" s="17">
        <v>10</v>
      </c>
      <c r="H91" s="89">
        <v>355</v>
      </c>
      <c r="I91" s="90">
        <v>4500</v>
      </c>
      <c r="J91" s="90" t="s">
        <v>67</v>
      </c>
      <c r="K91" s="90"/>
      <c r="L91" s="90"/>
      <c r="M91" s="91">
        <f>I91-K91</f>
        <v>4500</v>
      </c>
      <c r="N91" s="4">
        <f>IF(ISERROR(K91/I91),"",K91/I91)</f>
        <v>0</v>
      </c>
      <c r="O91" s="92">
        <f>I91/E91</f>
        <v>321.42857142857144</v>
      </c>
      <c r="P91" s="92">
        <f>K91/E91</f>
        <v>0</v>
      </c>
      <c r="Q91" s="80">
        <v>2</v>
      </c>
      <c r="R91" s="80">
        <v>1</v>
      </c>
      <c r="S91" s="80" t="s">
        <v>85</v>
      </c>
      <c r="T91" s="5">
        <v>46</v>
      </c>
      <c r="U91" s="9"/>
    </row>
    <row r="92" spans="1:21" s="37" customFormat="1" ht="12" x14ac:dyDescent="0.3">
      <c r="A92" s="75" t="s">
        <v>985</v>
      </c>
      <c r="B92" s="76" t="s">
        <v>986</v>
      </c>
      <c r="C92" s="86">
        <v>910</v>
      </c>
      <c r="D92" s="87">
        <v>50.2</v>
      </c>
      <c r="E92" s="88">
        <v>15</v>
      </c>
      <c r="F92" s="87">
        <v>38.6</v>
      </c>
      <c r="G92" s="17">
        <v>12</v>
      </c>
      <c r="H92" s="89">
        <v>440</v>
      </c>
      <c r="I92" s="90">
        <v>3000</v>
      </c>
      <c r="J92" s="90" t="s">
        <v>66</v>
      </c>
      <c r="K92" s="90">
        <v>1500</v>
      </c>
      <c r="L92" s="90" t="s">
        <v>66</v>
      </c>
      <c r="M92" s="91">
        <f>I92-K92</f>
        <v>1500</v>
      </c>
      <c r="N92" s="4">
        <f>IF(ISERROR(K92/I92),"",K92/I92)</f>
        <v>0.5</v>
      </c>
      <c r="O92" s="92">
        <f>I92/E92</f>
        <v>200</v>
      </c>
      <c r="P92" s="92">
        <f>K92/E92</f>
        <v>100</v>
      </c>
      <c r="Q92" s="80">
        <v>1</v>
      </c>
      <c r="R92" s="80">
        <v>1</v>
      </c>
      <c r="S92" s="80" t="s">
        <v>85</v>
      </c>
      <c r="T92" s="5">
        <v>50</v>
      </c>
      <c r="U92" s="9"/>
    </row>
    <row r="93" spans="1:21" s="37" customFormat="1" ht="12" x14ac:dyDescent="0.3">
      <c r="A93" s="75" t="s">
        <v>1083</v>
      </c>
      <c r="B93" s="76" t="s">
        <v>956</v>
      </c>
      <c r="C93" s="86">
        <v>236</v>
      </c>
      <c r="D93" s="87">
        <v>112.9</v>
      </c>
      <c r="E93" s="88">
        <v>34</v>
      </c>
      <c r="F93" s="87">
        <v>84.9</v>
      </c>
      <c r="G93" s="17">
        <v>26</v>
      </c>
      <c r="H93" s="89">
        <v>120</v>
      </c>
      <c r="I93" s="90"/>
      <c r="J93" s="90"/>
      <c r="K93" s="90"/>
      <c r="L93" s="90"/>
      <c r="M93" s="91">
        <f>I93-K93</f>
        <v>0</v>
      </c>
      <c r="N93" s="4" t="str">
        <f>IF(ISERROR(K93/I93),"",K93/I93)</f>
        <v/>
      </c>
      <c r="O93" s="92">
        <f>I93/E93</f>
        <v>0</v>
      </c>
      <c r="P93" s="92">
        <f>K93/E93</f>
        <v>0</v>
      </c>
      <c r="Q93" s="80">
        <v>3</v>
      </c>
      <c r="R93" s="80">
        <v>2</v>
      </c>
      <c r="S93" s="80" t="s">
        <v>61</v>
      </c>
      <c r="T93" s="5" t="s">
        <v>114</v>
      </c>
      <c r="U93" s="9"/>
    </row>
    <row r="94" spans="1:21" s="37" customFormat="1" ht="12" x14ac:dyDescent="0.3">
      <c r="A94" s="75" t="s">
        <v>1304</v>
      </c>
      <c r="B94" s="76" t="s">
        <v>1305</v>
      </c>
      <c r="C94" s="86">
        <v>200</v>
      </c>
      <c r="D94" s="87">
        <v>109.1</v>
      </c>
      <c r="E94" s="88">
        <v>33</v>
      </c>
      <c r="F94" s="87">
        <v>85</v>
      </c>
      <c r="G94" s="17">
        <v>26</v>
      </c>
      <c r="H94" s="89">
        <v>200</v>
      </c>
      <c r="I94" s="90"/>
      <c r="J94" s="90"/>
      <c r="K94" s="90"/>
      <c r="L94" s="90"/>
      <c r="M94" s="91">
        <f>I94-K94</f>
        <v>0</v>
      </c>
      <c r="N94" s="4" t="str">
        <f>IF(ISERROR(K94/I94),"",K94/I94)</f>
        <v/>
      </c>
      <c r="O94" s="92">
        <f>I94/E94</f>
        <v>0</v>
      </c>
      <c r="P94" s="92">
        <f>K94/E94</f>
        <v>0</v>
      </c>
      <c r="Q94" s="80">
        <v>3</v>
      </c>
      <c r="R94" s="80">
        <v>2</v>
      </c>
      <c r="S94" s="80" t="s">
        <v>61</v>
      </c>
      <c r="T94" s="5">
        <v>109</v>
      </c>
      <c r="U94" s="9"/>
    </row>
    <row r="95" spans="1:21" s="37" customFormat="1" ht="12" x14ac:dyDescent="0.3">
      <c r="A95" s="75" t="s">
        <v>964</v>
      </c>
      <c r="B95" s="76" t="s">
        <v>963</v>
      </c>
      <c r="C95" s="86">
        <v>777</v>
      </c>
      <c r="D95" s="87">
        <v>99.7</v>
      </c>
      <c r="E95" s="88">
        <v>30</v>
      </c>
      <c r="F95" s="87">
        <v>76</v>
      </c>
      <c r="G95" s="17">
        <v>23</v>
      </c>
      <c r="H95" s="89">
        <v>98</v>
      </c>
      <c r="I95" s="90"/>
      <c r="J95" s="90"/>
      <c r="K95" s="90"/>
      <c r="L95" s="90"/>
      <c r="M95" s="91">
        <f>I95-K95</f>
        <v>0</v>
      </c>
      <c r="N95" s="4" t="str">
        <f>IF(ISERROR(K95/I95),"",K95/I95)</f>
        <v/>
      </c>
      <c r="O95" s="92">
        <f>I95/E95</f>
        <v>0</v>
      </c>
      <c r="P95" s="92">
        <f>K95/E95</f>
        <v>0</v>
      </c>
      <c r="Q95" s="80">
        <v>3</v>
      </c>
      <c r="R95" s="80">
        <v>2</v>
      </c>
      <c r="S95" s="80" t="s">
        <v>61</v>
      </c>
      <c r="T95" s="5" t="s">
        <v>115</v>
      </c>
      <c r="U95" s="9"/>
    </row>
    <row r="96" spans="1:21" s="37" customFormat="1" ht="12" x14ac:dyDescent="0.3">
      <c r="A96" s="75" t="s">
        <v>964</v>
      </c>
      <c r="B96" s="76" t="s">
        <v>965</v>
      </c>
      <c r="C96" s="86">
        <v>777</v>
      </c>
      <c r="D96" s="87">
        <v>110.4</v>
      </c>
      <c r="E96" s="88">
        <v>33</v>
      </c>
      <c r="F96" s="87">
        <v>85</v>
      </c>
      <c r="G96" s="17">
        <v>26</v>
      </c>
      <c r="H96" s="89">
        <v>304</v>
      </c>
      <c r="I96" s="90"/>
      <c r="J96" s="90"/>
      <c r="K96" s="90"/>
      <c r="L96" s="90"/>
      <c r="M96" s="91">
        <f>I96-K96</f>
        <v>0</v>
      </c>
      <c r="N96" s="4" t="str">
        <f>IF(ISERROR(K96/I96),"",K96/I96)</f>
        <v/>
      </c>
      <c r="O96" s="92">
        <f>I96/E96</f>
        <v>0</v>
      </c>
      <c r="P96" s="92">
        <f>K96/E96</f>
        <v>0</v>
      </c>
      <c r="Q96" s="80">
        <v>3</v>
      </c>
      <c r="R96" s="80">
        <v>2</v>
      </c>
      <c r="S96" s="80" t="s">
        <v>61</v>
      </c>
      <c r="T96" s="5" t="s">
        <v>107</v>
      </c>
      <c r="U96" s="9"/>
    </row>
    <row r="97" spans="1:21" s="37" customFormat="1" ht="12" x14ac:dyDescent="0.3">
      <c r="A97" s="75" t="s">
        <v>964</v>
      </c>
      <c r="B97" s="76" t="s">
        <v>965</v>
      </c>
      <c r="C97" s="86">
        <v>777</v>
      </c>
      <c r="D97" s="87">
        <v>132</v>
      </c>
      <c r="E97" s="88">
        <v>40</v>
      </c>
      <c r="F97" s="87">
        <v>101.9</v>
      </c>
      <c r="G97" s="17">
        <v>31</v>
      </c>
      <c r="H97" s="89">
        <v>46</v>
      </c>
      <c r="I97" s="90"/>
      <c r="J97" s="90"/>
      <c r="K97" s="90"/>
      <c r="L97" s="90"/>
      <c r="M97" s="91">
        <f>I97-K97</f>
        <v>0</v>
      </c>
      <c r="N97" s="4" t="str">
        <f>IF(ISERROR(K97/I97),"",K97/I97)</f>
        <v/>
      </c>
      <c r="O97" s="92">
        <f>I97/E97</f>
        <v>0</v>
      </c>
      <c r="P97" s="92">
        <f>K97/E97</f>
        <v>0</v>
      </c>
      <c r="Q97" s="80">
        <v>4</v>
      </c>
      <c r="R97" s="80">
        <v>2</v>
      </c>
      <c r="S97" s="80" t="s">
        <v>61</v>
      </c>
      <c r="T97" s="5">
        <v>132</v>
      </c>
      <c r="U97" s="9"/>
    </row>
    <row r="98" spans="1:21" s="37" customFormat="1" ht="12" x14ac:dyDescent="0.3">
      <c r="A98" s="75" t="s">
        <v>966</v>
      </c>
      <c r="B98" s="76" t="s">
        <v>967</v>
      </c>
      <c r="C98" s="86">
        <v>280</v>
      </c>
      <c r="D98" s="87">
        <v>41</v>
      </c>
      <c r="E98" s="88">
        <v>12</v>
      </c>
      <c r="F98" s="87">
        <v>30.3</v>
      </c>
      <c r="G98" s="17">
        <v>9</v>
      </c>
      <c r="H98" s="89">
        <v>250</v>
      </c>
      <c r="I98" s="90"/>
      <c r="J98" s="90"/>
      <c r="K98" s="90"/>
      <c r="L98" s="90"/>
      <c r="M98" s="91">
        <f>I98-K98</f>
        <v>0</v>
      </c>
      <c r="N98" s="4" t="str">
        <f>IF(ISERROR(K98/I98),"",K98/I98)</f>
        <v/>
      </c>
      <c r="O98" s="92">
        <f>I98/E98</f>
        <v>0</v>
      </c>
      <c r="P98" s="92">
        <f>K98/E98</f>
        <v>0</v>
      </c>
      <c r="Q98" s="80">
        <v>2</v>
      </c>
      <c r="R98" s="80">
        <v>1</v>
      </c>
      <c r="S98" s="80" t="s">
        <v>61</v>
      </c>
      <c r="T98" s="5">
        <v>40</v>
      </c>
      <c r="U98" s="9"/>
    </row>
    <row r="99" spans="1:21" s="37" customFormat="1" ht="12" x14ac:dyDescent="0.3">
      <c r="A99" s="75" t="s">
        <v>1306</v>
      </c>
      <c r="B99" s="76" t="s">
        <v>1105</v>
      </c>
      <c r="C99" s="86">
        <v>280</v>
      </c>
      <c r="D99" s="87">
        <v>57.1</v>
      </c>
      <c r="E99" s="88">
        <v>17</v>
      </c>
      <c r="F99" s="87">
        <v>43.3</v>
      </c>
      <c r="G99" s="17">
        <v>13</v>
      </c>
      <c r="H99" s="89">
        <v>30</v>
      </c>
      <c r="I99" s="90"/>
      <c r="J99" s="90"/>
      <c r="K99" s="90"/>
      <c r="L99" s="90"/>
      <c r="M99" s="91">
        <f>I99-K99</f>
        <v>0</v>
      </c>
      <c r="N99" s="4" t="str">
        <f>IF(ISERROR(K99/I99),"",K99/I99)</f>
        <v/>
      </c>
      <c r="O99" s="92">
        <f>I99/E99</f>
        <v>0</v>
      </c>
      <c r="P99" s="92">
        <f>K99/E99</f>
        <v>0</v>
      </c>
      <c r="Q99" s="80">
        <v>2</v>
      </c>
      <c r="R99" s="80">
        <v>1</v>
      </c>
      <c r="S99" s="80" t="s">
        <v>61</v>
      </c>
      <c r="T99" s="5">
        <v>57</v>
      </c>
      <c r="U99" s="9"/>
    </row>
    <row r="100" spans="1:21" s="37" customFormat="1" ht="12" x14ac:dyDescent="0.3">
      <c r="A100" s="75" t="s">
        <v>968</v>
      </c>
      <c r="B100" s="76" t="s">
        <v>970</v>
      </c>
      <c r="C100" s="86">
        <v>252</v>
      </c>
      <c r="D100" s="87">
        <v>55.1</v>
      </c>
      <c r="E100" s="88">
        <v>17</v>
      </c>
      <c r="F100" s="87">
        <v>43.9</v>
      </c>
      <c r="G100" s="17">
        <v>13</v>
      </c>
      <c r="H100" s="89">
        <v>156</v>
      </c>
      <c r="I100" s="90"/>
      <c r="J100" s="90"/>
      <c r="K100" s="90"/>
      <c r="L100" s="90"/>
      <c r="M100" s="91">
        <f>I100-K100</f>
        <v>0</v>
      </c>
      <c r="N100" s="4" t="str">
        <f>IF(ISERROR(K100/I100),"",K100/I100)</f>
        <v/>
      </c>
      <c r="O100" s="92">
        <f>I100/E100</f>
        <v>0</v>
      </c>
      <c r="P100" s="92">
        <f>K100/E100</f>
        <v>0</v>
      </c>
      <c r="Q100" s="80">
        <v>3</v>
      </c>
      <c r="R100" s="80">
        <v>1</v>
      </c>
      <c r="S100" s="80" t="s">
        <v>61</v>
      </c>
      <c r="T100" s="5">
        <v>55</v>
      </c>
      <c r="U100" s="9"/>
    </row>
    <row r="101" spans="1:21" s="37" customFormat="1" ht="12" x14ac:dyDescent="0.3">
      <c r="A101" s="75" t="s">
        <v>968</v>
      </c>
      <c r="B101" s="76" t="s">
        <v>970</v>
      </c>
      <c r="C101" s="86">
        <v>252</v>
      </c>
      <c r="D101" s="87">
        <v>68.400000000000006</v>
      </c>
      <c r="E101" s="88">
        <v>21</v>
      </c>
      <c r="F101" s="87">
        <v>55.4</v>
      </c>
      <c r="G101" s="17">
        <v>17</v>
      </c>
      <c r="H101" s="89">
        <v>96</v>
      </c>
      <c r="I101" s="90"/>
      <c r="J101" s="90"/>
      <c r="K101" s="90"/>
      <c r="L101" s="90"/>
      <c r="M101" s="91">
        <f>I101-K101</f>
        <v>0</v>
      </c>
      <c r="N101" s="4" t="str">
        <f>IF(ISERROR(K101/I101),"",K101/I101)</f>
        <v/>
      </c>
      <c r="O101" s="92">
        <f>I101/E101</f>
        <v>0</v>
      </c>
      <c r="P101" s="92">
        <f>K101/E101</f>
        <v>0</v>
      </c>
      <c r="Q101" s="80">
        <v>3</v>
      </c>
      <c r="R101" s="80">
        <v>1</v>
      </c>
      <c r="S101" s="80" t="s">
        <v>61</v>
      </c>
      <c r="T101" s="5">
        <v>68</v>
      </c>
      <c r="U101" s="9"/>
    </row>
    <row r="102" spans="1:21" s="37" customFormat="1" ht="12" x14ac:dyDescent="0.3">
      <c r="A102" s="75" t="s">
        <v>971</v>
      </c>
      <c r="B102" s="76" t="s">
        <v>972</v>
      </c>
      <c r="C102" s="86">
        <v>300</v>
      </c>
      <c r="D102" s="87">
        <v>51.8</v>
      </c>
      <c r="E102" s="88">
        <v>16</v>
      </c>
      <c r="F102" s="87">
        <v>45.1</v>
      </c>
      <c r="G102" s="17">
        <v>14</v>
      </c>
      <c r="H102" s="89">
        <v>60</v>
      </c>
      <c r="I102" s="90"/>
      <c r="J102" s="90"/>
      <c r="K102" s="90"/>
      <c r="L102" s="90"/>
      <c r="M102" s="91">
        <f>I102-K102</f>
        <v>0</v>
      </c>
      <c r="N102" s="4" t="str">
        <f>IF(ISERROR(K102/I102),"",K102/I102)</f>
        <v/>
      </c>
      <c r="O102" s="92">
        <f>I102/E102</f>
        <v>0</v>
      </c>
      <c r="P102" s="92">
        <f>K102/E102</f>
        <v>0</v>
      </c>
      <c r="Q102" s="80">
        <v>2</v>
      </c>
      <c r="R102" s="80">
        <v>1</v>
      </c>
      <c r="S102" s="80" t="s">
        <v>61</v>
      </c>
      <c r="T102" s="5" t="s">
        <v>116</v>
      </c>
      <c r="U102" s="9"/>
    </row>
    <row r="103" spans="1:21" s="37" customFormat="1" ht="12" x14ac:dyDescent="0.3">
      <c r="A103" s="75" t="s">
        <v>971</v>
      </c>
      <c r="B103" s="76" t="s">
        <v>972</v>
      </c>
      <c r="C103" s="86">
        <v>300</v>
      </c>
      <c r="D103" s="87">
        <v>61.7</v>
      </c>
      <c r="E103" s="88">
        <v>19</v>
      </c>
      <c r="F103" s="87">
        <v>54.2</v>
      </c>
      <c r="G103" s="17">
        <v>16</v>
      </c>
      <c r="H103" s="89">
        <v>100</v>
      </c>
      <c r="I103" s="90"/>
      <c r="J103" s="90"/>
      <c r="K103" s="90"/>
      <c r="L103" s="90"/>
      <c r="M103" s="91">
        <f>I103-K103</f>
        <v>0</v>
      </c>
      <c r="N103" s="4" t="str">
        <f>IF(ISERROR(K103/I103),"",K103/I103)</f>
        <v/>
      </c>
      <c r="O103" s="92">
        <f>I103/E103</f>
        <v>0</v>
      </c>
      <c r="P103" s="92">
        <f>K103/E103</f>
        <v>0</v>
      </c>
      <c r="Q103" s="80">
        <v>3</v>
      </c>
      <c r="R103" s="80">
        <v>1</v>
      </c>
      <c r="S103" s="80" t="s">
        <v>61</v>
      </c>
      <c r="T103" s="5">
        <v>61</v>
      </c>
      <c r="U103" s="9"/>
    </row>
    <row r="104" spans="1:21" s="37" customFormat="1" ht="12" x14ac:dyDescent="0.3">
      <c r="A104" s="75" t="s">
        <v>974</v>
      </c>
      <c r="B104" s="76" t="s">
        <v>975</v>
      </c>
      <c r="C104" s="86">
        <v>700</v>
      </c>
      <c r="D104" s="87">
        <v>43.1</v>
      </c>
      <c r="E104" s="88">
        <v>13</v>
      </c>
      <c r="F104" s="87">
        <v>33.6</v>
      </c>
      <c r="G104" s="17">
        <v>10</v>
      </c>
      <c r="H104" s="89">
        <v>240</v>
      </c>
      <c r="I104" s="90"/>
      <c r="J104" s="90"/>
      <c r="K104" s="90"/>
      <c r="L104" s="90"/>
      <c r="M104" s="91">
        <f>I104-K104</f>
        <v>0</v>
      </c>
      <c r="N104" s="4" t="str">
        <f>IF(ISERROR(K104/I104),"",K104/I104)</f>
        <v/>
      </c>
      <c r="O104" s="92">
        <f>I104/E104</f>
        <v>0</v>
      </c>
      <c r="P104" s="92">
        <f>K104/E104</f>
        <v>0</v>
      </c>
      <c r="Q104" s="80">
        <v>1</v>
      </c>
      <c r="R104" s="80">
        <v>1</v>
      </c>
      <c r="S104" s="80" t="s">
        <v>61</v>
      </c>
      <c r="T104" s="5">
        <v>43</v>
      </c>
      <c r="U104" s="9"/>
    </row>
    <row r="105" spans="1:21" s="37" customFormat="1" ht="12" x14ac:dyDescent="0.3">
      <c r="A105" s="75" t="s">
        <v>1110</v>
      </c>
      <c r="B105" s="76" t="s">
        <v>1307</v>
      </c>
      <c r="C105" s="86">
        <v>298</v>
      </c>
      <c r="D105" s="87">
        <v>78.599999999999994</v>
      </c>
      <c r="E105" s="88">
        <v>24</v>
      </c>
      <c r="F105" s="87">
        <v>59.7</v>
      </c>
      <c r="G105" s="17">
        <v>18</v>
      </c>
      <c r="H105" s="89">
        <v>298</v>
      </c>
      <c r="I105" s="90"/>
      <c r="J105" s="90"/>
      <c r="K105" s="90"/>
      <c r="L105" s="90"/>
      <c r="M105" s="91">
        <f>I105-K105</f>
        <v>0</v>
      </c>
      <c r="N105" s="4" t="str">
        <f>IF(ISERROR(K105/I105),"",K105/I105)</f>
        <v/>
      </c>
      <c r="O105" s="92">
        <f>I105/E105</f>
        <v>0</v>
      </c>
      <c r="P105" s="92">
        <f>K105/E105</f>
        <v>0</v>
      </c>
      <c r="Q105" s="80">
        <v>3</v>
      </c>
      <c r="R105" s="80">
        <v>1</v>
      </c>
      <c r="S105" s="80" t="s">
        <v>85</v>
      </c>
      <c r="T105" s="5">
        <v>78</v>
      </c>
      <c r="U105" s="9"/>
    </row>
    <row r="106" spans="1:21" s="37" customFormat="1" ht="12" x14ac:dyDescent="0.3">
      <c r="A106" s="75" t="s">
        <v>977</v>
      </c>
      <c r="B106" s="76" t="s">
        <v>1308</v>
      </c>
      <c r="C106" s="86">
        <v>494</v>
      </c>
      <c r="D106" s="87">
        <v>71.599999999999994</v>
      </c>
      <c r="E106" s="88">
        <v>22</v>
      </c>
      <c r="F106" s="87">
        <v>59.7</v>
      </c>
      <c r="G106" s="17">
        <v>18</v>
      </c>
      <c r="H106" s="89">
        <v>494</v>
      </c>
      <c r="I106" s="90"/>
      <c r="J106" s="90"/>
      <c r="K106" s="90"/>
      <c r="L106" s="90"/>
      <c r="M106" s="91">
        <f>I106-K106</f>
        <v>0</v>
      </c>
      <c r="N106" s="4" t="str">
        <f>IF(ISERROR(K106/I106),"",K106/I106)</f>
        <v/>
      </c>
      <c r="O106" s="92">
        <f>I106/E106</f>
        <v>0</v>
      </c>
      <c r="P106" s="92">
        <f>K106/E106</f>
        <v>0</v>
      </c>
      <c r="Q106" s="80">
        <v>3</v>
      </c>
      <c r="R106" s="80">
        <v>1</v>
      </c>
      <c r="S106" s="80" t="s">
        <v>61</v>
      </c>
      <c r="T106" s="5">
        <v>71</v>
      </c>
      <c r="U106" s="9"/>
    </row>
    <row r="107" spans="1:21" s="37" customFormat="1" ht="12" x14ac:dyDescent="0.3">
      <c r="A107" s="75" t="s">
        <v>978</v>
      </c>
      <c r="B107" s="76" t="s">
        <v>979</v>
      </c>
      <c r="C107" s="86">
        <v>883</v>
      </c>
      <c r="D107" s="87">
        <v>36.1</v>
      </c>
      <c r="E107" s="88">
        <v>11</v>
      </c>
      <c r="F107" s="87">
        <v>26.6</v>
      </c>
      <c r="G107" s="17">
        <v>8</v>
      </c>
      <c r="H107" s="89">
        <v>132</v>
      </c>
      <c r="I107" s="90"/>
      <c r="J107" s="90"/>
      <c r="K107" s="90"/>
      <c r="L107" s="90"/>
      <c r="M107" s="91">
        <f>I107-K107</f>
        <v>0</v>
      </c>
      <c r="N107" s="4" t="str">
        <f>IF(ISERROR(K107/I107),"",K107/I107)</f>
        <v/>
      </c>
      <c r="O107" s="92">
        <f>I107/E107</f>
        <v>0</v>
      </c>
      <c r="P107" s="92">
        <f>K107/E107</f>
        <v>0</v>
      </c>
      <c r="Q107" s="80">
        <v>1</v>
      </c>
      <c r="R107" s="80">
        <v>1</v>
      </c>
      <c r="S107" s="80" t="s">
        <v>85</v>
      </c>
      <c r="T107" s="5">
        <v>36</v>
      </c>
      <c r="U107" s="9"/>
    </row>
    <row r="108" spans="1:21" s="37" customFormat="1" ht="12" x14ac:dyDescent="0.3">
      <c r="A108" s="75" t="s">
        <v>1118</v>
      </c>
      <c r="B108" s="76" t="s">
        <v>1119</v>
      </c>
      <c r="C108" s="86">
        <v>264</v>
      </c>
      <c r="D108" s="87">
        <v>63.1</v>
      </c>
      <c r="E108" s="88">
        <v>19</v>
      </c>
      <c r="F108" s="87">
        <v>49.8</v>
      </c>
      <c r="G108" s="17">
        <v>15</v>
      </c>
      <c r="H108" s="89">
        <v>132</v>
      </c>
      <c r="I108" s="90"/>
      <c r="J108" s="90"/>
      <c r="K108" s="90"/>
      <c r="L108" s="90"/>
      <c r="M108" s="91">
        <f>I108-K108</f>
        <v>0</v>
      </c>
      <c r="N108" s="4" t="str">
        <f>IF(ISERROR(K108/I108),"",K108/I108)</f>
        <v/>
      </c>
      <c r="O108" s="92">
        <f>I108/E108</f>
        <v>0</v>
      </c>
      <c r="P108" s="92">
        <f>K108/E108</f>
        <v>0</v>
      </c>
      <c r="Q108" s="80">
        <v>2</v>
      </c>
      <c r="R108" s="80">
        <v>1</v>
      </c>
      <c r="S108" s="80" t="s">
        <v>85</v>
      </c>
      <c r="T108" s="5">
        <v>63</v>
      </c>
      <c r="U108" s="9"/>
    </row>
    <row r="109" spans="1:21" s="37" customFormat="1" ht="12" x14ac:dyDescent="0.3">
      <c r="A109" s="75" t="s">
        <v>981</v>
      </c>
      <c r="B109" s="76" t="s">
        <v>982</v>
      </c>
      <c r="C109" s="86">
        <v>264</v>
      </c>
      <c r="D109" s="87">
        <v>75.2</v>
      </c>
      <c r="E109" s="88">
        <v>23</v>
      </c>
      <c r="F109" s="87">
        <v>60</v>
      </c>
      <c r="G109" s="17">
        <v>18</v>
      </c>
      <c r="H109" s="89">
        <v>132</v>
      </c>
      <c r="I109" s="90"/>
      <c r="J109" s="90"/>
      <c r="K109" s="90"/>
      <c r="L109" s="90"/>
      <c r="M109" s="91">
        <f>I109-K109</f>
        <v>0</v>
      </c>
      <c r="N109" s="4" t="str">
        <f>IF(ISERROR(K109/I109),"",K109/I109)</f>
        <v/>
      </c>
      <c r="O109" s="92">
        <f>I109/E109</f>
        <v>0</v>
      </c>
      <c r="P109" s="92">
        <f>K109/E109</f>
        <v>0</v>
      </c>
      <c r="Q109" s="80">
        <v>3</v>
      </c>
      <c r="R109" s="80">
        <v>1</v>
      </c>
      <c r="S109" s="80" t="s">
        <v>85</v>
      </c>
      <c r="T109" s="5">
        <v>75</v>
      </c>
      <c r="U109" s="9"/>
    </row>
    <row r="110" spans="1:21" s="37" customFormat="1" ht="12" x14ac:dyDescent="0.3">
      <c r="A110" s="75" t="s">
        <v>987</v>
      </c>
      <c r="B110" s="76" t="s">
        <v>988</v>
      </c>
      <c r="C110" s="86">
        <v>425</v>
      </c>
      <c r="D110" s="87">
        <v>38.299999999999997</v>
      </c>
      <c r="E110" s="88">
        <v>12</v>
      </c>
      <c r="F110" s="87">
        <v>28.7</v>
      </c>
      <c r="G110" s="17">
        <v>9</v>
      </c>
      <c r="H110" s="89">
        <v>61</v>
      </c>
      <c r="I110" s="90"/>
      <c r="J110" s="90"/>
      <c r="K110" s="90"/>
      <c r="L110" s="90"/>
      <c r="M110" s="91">
        <f>I110-K110</f>
        <v>0</v>
      </c>
      <c r="N110" s="4" t="str">
        <f>IF(ISERROR(K110/I110),"",K110/I110)</f>
        <v/>
      </c>
      <c r="O110" s="92">
        <f>I110/E110</f>
        <v>0</v>
      </c>
      <c r="P110" s="92">
        <f>K110/E110</f>
        <v>0</v>
      </c>
      <c r="Q110" s="80">
        <v>1</v>
      </c>
      <c r="R110" s="80">
        <v>1</v>
      </c>
      <c r="S110" s="80" t="s">
        <v>61</v>
      </c>
      <c r="T110" s="5">
        <v>38</v>
      </c>
      <c r="U110" s="9"/>
    </row>
    <row r="111" spans="1:21" s="37" customFormat="1" ht="12" x14ac:dyDescent="0.3">
      <c r="A111" s="75" t="s">
        <v>990</v>
      </c>
      <c r="B111" s="76" t="s">
        <v>991</v>
      </c>
      <c r="C111" s="86">
        <v>295</v>
      </c>
      <c r="D111" s="87">
        <v>84.7</v>
      </c>
      <c r="E111" s="88">
        <v>26</v>
      </c>
      <c r="F111" s="87">
        <v>59.9</v>
      </c>
      <c r="G111" s="17">
        <v>18</v>
      </c>
      <c r="H111" s="89">
        <v>242</v>
      </c>
      <c r="I111" s="90"/>
      <c r="J111" s="90"/>
      <c r="K111" s="90"/>
      <c r="L111" s="90"/>
      <c r="M111" s="91">
        <f>I111-K111</f>
        <v>0</v>
      </c>
      <c r="N111" s="4" t="str">
        <f>IF(ISERROR(K111/I111),"",K111/I111)</f>
        <v/>
      </c>
      <c r="O111" s="92">
        <f>I111/E111</f>
        <v>0</v>
      </c>
      <c r="P111" s="92">
        <f>K111/E111</f>
        <v>0</v>
      </c>
      <c r="Q111" s="80">
        <v>2</v>
      </c>
      <c r="R111" s="80">
        <v>1</v>
      </c>
      <c r="S111" s="80" t="s">
        <v>85</v>
      </c>
      <c r="T111" s="5" t="s">
        <v>83</v>
      </c>
      <c r="U111" s="9"/>
    </row>
    <row r="112" spans="1:21" s="37" customFormat="1" ht="12" x14ac:dyDescent="0.3">
      <c r="A112" s="75" t="s">
        <v>992</v>
      </c>
      <c r="B112" s="76" t="s">
        <v>1126</v>
      </c>
      <c r="C112" s="86">
        <v>299</v>
      </c>
      <c r="D112" s="87">
        <v>75.7</v>
      </c>
      <c r="E112" s="88">
        <v>23</v>
      </c>
      <c r="F112" s="87">
        <v>60</v>
      </c>
      <c r="G112" s="17">
        <v>18</v>
      </c>
      <c r="H112" s="89">
        <v>233</v>
      </c>
      <c r="I112" s="90"/>
      <c r="J112" s="90"/>
      <c r="K112" s="90"/>
      <c r="L112" s="90"/>
      <c r="M112" s="91">
        <f>I112-K112</f>
        <v>0</v>
      </c>
      <c r="N112" s="4" t="str">
        <f>IF(ISERROR(K112/I112),"",K112/I112)</f>
        <v/>
      </c>
      <c r="O112" s="92">
        <f>I112/E112</f>
        <v>0</v>
      </c>
      <c r="P112" s="92">
        <f>K112/E112</f>
        <v>0</v>
      </c>
      <c r="Q112" s="80">
        <v>2</v>
      </c>
      <c r="R112" s="80">
        <v>1</v>
      </c>
      <c r="S112" s="80" t="s">
        <v>61</v>
      </c>
      <c r="T112" s="5">
        <v>75</v>
      </c>
      <c r="U112" s="9"/>
    </row>
    <row r="113" spans="1:21" s="37" customFormat="1" ht="12" x14ac:dyDescent="0.3">
      <c r="A113" s="75" t="s">
        <v>994</v>
      </c>
      <c r="B113" s="76" t="s">
        <v>996</v>
      </c>
      <c r="C113" s="86">
        <v>333</v>
      </c>
      <c r="D113" s="87">
        <v>131.69999999999999</v>
      </c>
      <c r="E113" s="88">
        <v>40</v>
      </c>
      <c r="F113" s="87">
        <v>102.2</v>
      </c>
      <c r="G113" s="17">
        <v>31</v>
      </c>
      <c r="H113" s="89">
        <v>98</v>
      </c>
      <c r="I113" s="90"/>
      <c r="J113" s="90"/>
      <c r="K113" s="90"/>
      <c r="L113" s="90"/>
      <c r="M113" s="91">
        <f>I113-K113</f>
        <v>0</v>
      </c>
      <c r="N113" s="4" t="str">
        <f>IF(ISERROR(K113/I113),"",K113/I113)</f>
        <v/>
      </c>
      <c r="O113" s="92">
        <f>I113/E113</f>
        <v>0</v>
      </c>
      <c r="P113" s="92">
        <f>K113/E113</f>
        <v>0</v>
      </c>
      <c r="Q113" s="80">
        <v>3</v>
      </c>
      <c r="R113" s="80">
        <v>2</v>
      </c>
      <c r="S113" s="80" t="s">
        <v>61</v>
      </c>
      <c r="T113" s="5">
        <v>131</v>
      </c>
      <c r="U113" s="9"/>
    </row>
    <row r="114" spans="1:21" s="37" customFormat="1" ht="12" x14ac:dyDescent="0.3">
      <c r="A114" s="75" t="s">
        <v>994</v>
      </c>
      <c r="B114" s="76" t="s">
        <v>996</v>
      </c>
      <c r="C114" s="86">
        <v>333</v>
      </c>
      <c r="D114" s="87">
        <v>153.5</v>
      </c>
      <c r="E114" s="88">
        <v>46</v>
      </c>
      <c r="F114" s="87">
        <v>124.6</v>
      </c>
      <c r="G114" s="17">
        <v>38</v>
      </c>
      <c r="H114" s="89">
        <v>64</v>
      </c>
      <c r="I114" s="90"/>
      <c r="J114" s="90"/>
      <c r="K114" s="90"/>
      <c r="L114" s="90"/>
      <c r="M114" s="91">
        <f>I114-K114</f>
        <v>0</v>
      </c>
      <c r="N114" s="4" t="str">
        <f>IF(ISERROR(K114/I114),"",K114/I114)</f>
        <v/>
      </c>
      <c r="O114" s="92">
        <f>I114/E114</f>
        <v>0</v>
      </c>
      <c r="P114" s="92">
        <f>K114/E114</f>
        <v>0</v>
      </c>
      <c r="Q114" s="80">
        <v>4</v>
      </c>
      <c r="R114" s="80">
        <v>2</v>
      </c>
      <c r="S114" s="80" t="s">
        <v>61</v>
      </c>
      <c r="T114" s="5">
        <v>153</v>
      </c>
      <c r="U114" s="9"/>
    </row>
    <row r="115" spans="1:21" s="37" customFormat="1" ht="12" x14ac:dyDescent="0.3">
      <c r="A115" s="75" t="s">
        <v>997</v>
      </c>
      <c r="B115" s="76" t="s">
        <v>998</v>
      </c>
      <c r="C115" s="86">
        <v>461</v>
      </c>
      <c r="D115" s="87">
        <v>103.6</v>
      </c>
      <c r="E115" s="88">
        <v>31</v>
      </c>
      <c r="F115" s="87">
        <v>84.8</v>
      </c>
      <c r="G115" s="17">
        <v>26</v>
      </c>
      <c r="H115" s="89">
        <v>319</v>
      </c>
      <c r="I115" s="90"/>
      <c r="J115" s="90"/>
      <c r="K115" s="90"/>
      <c r="L115" s="90"/>
      <c r="M115" s="91">
        <f>I115-K115</f>
        <v>0</v>
      </c>
      <c r="N115" s="4" t="str">
        <f>IF(ISERROR(K115/I115),"",K115/I115)</f>
        <v/>
      </c>
      <c r="O115" s="92">
        <f>I115/E115</f>
        <v>0</v>
      </c>
      <c r="P115" s="92">
        <f>K115/E115</f>
        <v>0</v>
      </c>
      <c r="Q115" s="80">
        <v>3</v>
      </c>
      <c r="R115" s="80">
        <v>2</v>
      </c>
      <c r="S115" s="80" t="s">
        <v>61</v>
      </c>
      <c r="T115" s="5">
        <v>103</v>
      </c>
      <c r="U115" s="9"/>
    </row>
    <row r="116" spans="1:21" s="37" customFormat="1" ht="12" x14ac:dyDescent="0.3">
      <c r="A116" s="75" t="s">
        <v>997</v>
      </c>
      <c r="B116" s="76" t="s">
        <v>999</v>
      </c>
      <c r="C116" s="86">
        <v>461</v>
      </c>
      <c r="D116" s="87">
        <v>156</v>
      </c>
      <c r="E116" s="88">
        <v>47</v>
      </c>
      <c r="F116" s="87">
        <v>134.1</v>
      </c>
      <c r="G116" s="17">
        <v>41</v>
      </c>
      <c r="H116" s="89">
        <v>57</v>
      </c>
      <c r="I116" s="90"/>
      <c r="J116" s="90"/>
      <c r="K116" s="90"/>
      <c r="L116" s="90"/>
      <c r="M116" s="91">
        <f>I116-K116</f>
        <v>0</v>
      </c>
      <c r="N116" s="4" t="str">
        <f>IF(ISERROR(K116/I116),"",K116/I116)</f>
        <v/>
      </c>
      <c r="O116" s="92">
        <f>I116/E116</f>
        <v>0</v>
      </c>
      <c r="P116" s="92">
        <f>K116/E116</f>
        <v>0</v>
      </c>
      <c r="Q116" s="80">
        <v>4</v>
      </c>
      <c r="R116" s="80">
        <v>2</v>
      </c>
      <c r="S116" s="80" t="s">
        <v>61</v>
      </c>
      <c r="T116" s="5">
        <v>156</v>
      </c>
      <c r="U116" s="9"/>
    </row>
    <row r="117" spans="1:21" s="37" customFormat="1" ht="12" x14ac:dyDescent="0.3">
      <c r="A117" s="75" t="s">
        <v>997</v>
      </c>
      <c r="B117" s="76" t="s">
        <v>998</v>
      </c>
      <c r="C117" s="86">
        <v>461</v>
      </c>
      <c r="D117" s="87">
        <v>189</v>
      </c>
      <c r="E117" s="88">
        <v>57</v>
      </c>
      <c r="F117" s="87">
        <v>164.6</v>
      </c>
      <c r="G117" s="17">
        <v>50</v>
      </c>
      <c r="H117" s="89">
        <v>84</v>
      </c>
      <c r="I117" s="90"/>
      <c r="J117" s="90"/>
      <c r="K117" s="90"/>
      <c r="L117" s="90"/>
      <c r="M117" s="91">
        <f>I117-K117</f>
        <v>0</v>
      </c>
      <c r="N117" s="4" t="str">
        <f>IF(ISERROR(K117/I117),"",K117/I117)</f>
        <v/>
      </c>
      <c r="O117" s="92">
        <f>I117/E117</f>
        <v>0</v>
      </c>
      <c r="P117" s="92">
        <f>K117/E117</f>
        <v>0</v>
      </c>
      <c r="Q117" s="80">
        <v>4</v>
      </c>
      <c r="R117" s="80">
        <v>2</v>
      </c>
      <c r="S117" s="80" t="s">
        <v>61</v>
      </c>
      <c r="T117" s="5" t="s">
        <v>117</v>
      </c>
      <c r="U117" s="9"/>
    </row>
    <row r="118" spans="1:21" s="37" customFormat="1" ht="12" x14ac:dyDescent="0.3">
      <c r="A118" s="75" t="s">
        <v>1005</v>
      </c>
      <c r="B118" s="76" t="s">
        <v>1004</v>
      </c>
      <c r="C118" s="86">
        <v>398</v>
      </c>
      <c r="D118" s="87">
        <v>76.599999999999994</v>
      </c>
      <c r="E118" s="88">
        <v>23</v>
      </c>
      <c r="F118" s="87">
        <v>60</v>
      </c>
      <c r="G118" s="17">
        <v>18</v>
      </c>
      <c r="H118" s="89">
        <v>131</v>
      </c>
      <c r="I118" s="90"/>
      <c r="J118" s="90"/>
      <c r="K118" s="90"/>
      <c r="L118" s="90"/>
      <c r="M118" s="91">
        <f>I118-K118</f>
        <v>0</v>
      </c>
      <c r="N118" s="4" t="str">
        <f>IF(ISERROR(K118/I118),"",K118/I118)</f>
        <v/>
      </c>
      <c r="O118" s="92">
        <f>I118/E118</f>
        <v>0</v>
      </c>
      <c r="P118" s="92">
        <f>K118/E118</f>
        <v>0</v>
      </c>
      <c r="Q118" s="80">
        <v>3</v>
      </c>
      <c r="R118" s="80">
        <v>1</v>
      </c>
      <c r="S118" s="80" t="s">
        <v>61</v>
      </c>
      <c r="T118" s="5">
        <v>76</v>
      </c>
      <c r="U118" s="9"/>
    </row>
    <row r="119" spans="1:21" s="37" customFormat="1" ht="12" x14ac:dyDescent="0.3">
      <c r="A119" s="75" t="s">
        <v>1008</v>
      </c>
      <c r="B119" s="76" t="s">
        <v>1007</v>
      </c>
      <c r="C119" s="86">
        <v>729</v>
      </c>
      <c r="D119" s="87">
        <v>112.1</v>
      </c>
      <c r="E119" s="88">
        <v>34</v>
      </c>
      <c r="F119" s="87">
        <v>85</v>
      </c>
      <c r="G119" s="17">
        <v>26</v>
      </c>
      <c r="H119" s="89">
        <v>406</v>
      </c>
      <c r="I119" s="90"/>
      <c r="J119" s="90"/>
      <c r="K119" s="90"/>
      <c r="L119" s="90"/>
      <c r="M119" s="91">
        <f>I119-K119</f>
        <v>0</v>
      </c>
      <c r="N119" s="4" t="str">
        <f>IF(ISERROR(K119/I119),"",K119/I119)</f>
        <v/>
      </c>
      <c r="O119" s="92">
        <f>I119/E119</f>
        <v>0</v>
      </c>
      <c r="P119" s="92">
        <f>K119/E119</f>
        <v>0</v>
      </c>
      <c r="Q119" s="80">
        <v>4</v>
      </c>
      <c r="R119" s="80">
        <v>2</v>
      </c>
      <c r="S119" s="80" t="s">
        <v>61</v>
      </c>
      <c r="T119" s="5">
        <v>112</v>
      </c>
      <c r="U119" s="9"/>
    </row>
    <row r="120" spans="1:21" s="37" customFormat="1" ht="12" x14ac:dyDescent="0.3">
      <c r="A120" s="75" t="s">
        <v>1013</v>
      </c>
      <c r="B120" s="76" t="s">
        <v>1014</v>
      </c>
      <c r="C120" s="86">
        <v>958</v>
      </c>
      <c r="D120" s="87">
        <v>146</v>
      </c>
      <c r="E120" s="88">
        <v>44</v>
      </c>
      <c r="F120" s="87">
        <v>123.8</v>
      </c>
      <c r="G120" s="17">
        <v>37</v>
      </c>
      <c r="H120" s="89">
        <v>178</v>
      </c>
      <c r="I120" s="90"/>
      <c r="J120" s="90"/>
      <c r="K120" s="90"/>
      <c r="L120" s="90"/>
      <c r="M120" s="91">
        <f>I120-K120</f>
        <v>0</v>
      </c>
      <c r="N120" s="4" t="str">
        <f>IF(ISERROR(K120/I120),"",K120/I120)</f>
        <v/>
      </c>
      <c r="O120" s="92">
        <f>I120/E120</f>
        <v>0</v>
      </c>
      <c r="P120" s="92">
        <f>K120/E120</f>
        <v>0</v>
      </c>
      <c r="Q120" s="80">
        <v>4</v>
      </c>
      <c r="R120" s="80">
        <v>2</v>
      </c>
      <c r="S120" s="80" t="s">
        <v>61</v>
      </c>
      <c r="T120" s="5">
        <v>145</v>
      </c>
      <c r="U120" s="9"/>
    </row>
    <row r="121" spans="1:21" s="37" customFormat="1" ht="12" x14ac:dyDescent="0.3">
      <c r="A121" s="75" t="s">
        <v>1018</v>
      </c>
      <c r="B121" s="76" t="s">
        <v>996</v>
      </c>
      <c r="C121" s="86">
        <v>478</v>
      </c>
      <c r="D121" s="87">
        <v>112.8</v>
      </c>
      <c r="E121" s="88">
        <v>34</v>
      </c>
      <c r="F121" s="87">
        <v>84.5</v>
      </c>
      <c r="G121" s="17">
        <v>26</v>
      </c>
      <c r="H121" s="89">
        <v>155</v>
      </c>
      <c r="I121" s="90"/>
      <c r="J121" s="90"/>
      <c r="K121" s="90"/>
      <c r="L121" s="90"/>
      <c r="M121" s="91">
        <f>I121-K121</f>
        <v>0</v>
      </c>
      <c r="N121" s="4" t="str">
        <f>IF(ISERROR(K121/I121),"",K121/I121)</f>
        <v/>
      </c>
      <c r="O121" s="92">
        <f>I121/E121</f>
        <v>0</v>
      </c>
      <c r="P121" s="92">
        <f>K121/E121</f>
        <v>0</v>
      </c>
      <c r="Q121" s="80">
        <v>3</v>
      </c>
      <c r="R121" s="80">
        <v>2</v>
      </c>
      <c r="S121" s="80" t="s">
        <v>61</v>
      </c>
      <c r="T121" s="5" t="s">
        <v>87</v>
      </c>
      <c r="U121" s="9"/>
    </row>
    <row r="122" spans="1:21" s="37" customFormat="1" ht="12" x14ac:dyDescent="0.3">
      <c r="A122" s="75" t="s">
        <v>1018</v>
      </c>
      <c r="B122" s="76" t="s">
        <v>996</v>
      </c>
      <c r="C122" s="86">
        <v>478</v>
      </c>
      <c r="D122" s="87">
        <v>130</v>
      </c>
      <c r="E122" s="88">
        <v>39</v>
      </c>
      <c r="F122" s="87">
        <v>102.2</v>
      </c>
      <c r="G122" s="17">
        <v>31</v>
      </c>
      <c r="H122" s="89">
        <v>108</v>
      </c>
      <c r="I122" s="90"/>
      <c r="J122" s="90"/>
      <c r="K122" s="90"/>
      <c r="L122" s="90"/>
      <c r="M122" s="91">
        <f>I122-K122</f>
        <v>0</v>
      </c>
      <c r="N122" s="4" t="str">
        <f>IF(ISERROR(K122/I122),"",K122/I122)</f>
        <v/>
      </c>
      <c r="O122" s="92">
        <f>I122/E122</f>
        <v>0</v>
      </c>
      <c r="P122" s="92">
        <f>K122/E122</f>
        <v>0</v>
      </c>
      <c r="Q122" s="80">
        <v>3</v>
      </c>
      <c r="R122" s="80">
        <v>2</v>
      </c>
      <c r="S122" s="80" t="s">
        <v>61</v>
      </c>
      <c r="T122" s="5">
        <v>130</v>
      </c>
      <c r="U122" s="9"/>
    </row>
    <row r="123" spans="1:21" s="37" customFormat="1" ht="12" x14ac:dyDescent="0.3">
      <c r="A123" s="75" t="s">
        <v>1020</v>
      </c>
      <c r="B123" s="76" t="s">
        <v>1021</v>
      </c>
      <c r="C123" s="86">
        <v>592</v>
      </c>
      <c r="D123" s="87">
        <v>98.6</v>
      </c>
      <c r="E123" s="88">
        <v>30</v>
      </c>
      <c r="F123" s="87">
        <v>75.3</v>
      </c>
      <c r="G123" s="17">
        <v>23</v>
      </c>
      <c r="H123" s="89">
        <v>126</v>
      </c>
      <c r="I123" s="90"/>
      <c r="J123" s="90"/>
      <c r="K123" s="90"/>
      <c r="L123" s="90"/>
      <c r="M123" s="91">
        <f>I123-K123</f>
        <v>0</v>
      </c>
      <c r="N123" s="4" t="str">
        <f>IF(ISERROR(K123/I123),"",K123/I123)</f>
        <v/>
      </c>
      <c r="O123" s="92">
        <f>I123/E123</f>
        <v>0</v>
      </c>
      <c r="P123" s="92">
        <f>K123/E123</f>
        <v>0</v>
      </c>
      <c r="Q123" s="80">
        <v>3</v>
      </c>
      <c r="R123" s="80">
        <v>2</v>
      </c>
      <c r="S123" s="80" t="s">
        <v>61</v>
      </c>
      <c r="T123" s="5">
        <v>98</v>
      </c>
      <c r="U123" s="9"/>
    </row>
    <row r="124" spans="1:21" s="37" customFormat="1" ht="12" x14ac:dyDescent="0.3">
      <c r="A124" s="75" t="s">
        <v>1313</v>
      </c>
      <c r="B124" s="76" t="s">
        <v>1030</v>
      </c>
      <c r="C124" s="86">
        <v>587</v>
      </c>
      <c r="D124" s="87">
        <v>110.5</v>
      </c>
      <c r="E124" s="88">
        <v>33</v>
      </c>
      <c r="F124" s="87">
        <v>84.9</v>
      </c>
      <c r="G124" s="17">
        <v>26</v>
      </c>
      <c r="H124" s="89">
        <v>455</v>
      </c>
      <c r="I124" s="90"/>
      <c r="J124" s="90"/>
      <c r="K124" s="90"/>
      <c r="L124" s="90"/>
      <c r="M124" s="91">
        <f>I124-K124</f>
        <v>0</v>
      </c>
      <c r="N124" s="4" t="str">
        <f>IF(ISERROR(K124/I124),"",K124/I124)</f>
        <v/>
      </c>
      <c r="O124" s="92">
        <f>I124/E124</f>
        <v>0</v>
      </c>
      <c r="P124" s="92">
        <f>K124/E124</f>
        <v>0</v>
      </c>
      <c r="Q124" s="80">
        <v>4</v>
      </c>
      <c r="R124" s="80">
        <v>2</v>
      </c>
      <c r="S124" s="80" t="s">
        <v>61</v>
      </c>
      <c r="T124" s="5">
        <v>110</v>
      </c>
      <c r="U124" s="9"/>
    </row>
    <row r="125" spans="1:21" s="37" customFormat="1" ht="12" x14ac:dyDescent="0.3">
      <c r="A125" s="75" t="s">
        <v>1317</v>
      </c>
      <c r="B125" s="76" t="s">
        <v>1310</v>
      </c>
      <c r="C125" s="86">
        <v>1529</v>
      </c>
      <c r="D125" s="87">
        <v>153.30000000000001</v>
      </c>
      <c r="E125" s="88">
        <v>46</v>
      </c>
      <c r="F125" s="87">
        <v>129.9</v>
      </c>
      <c r="G125" s="17">
        <v>39</v>
      </c>
      <c r="H125" s="89">
        <v>167</v>
      </c>
      <c r="I125" s="90"/>
      <c r="J125" s="90"/>
      <c r="K125" s="90"/>
      <c r="L125" s="90"/>
      <c r="M125" s="91">
        <f>I125-K125</f>
        <v>0</v>
      </c>
      <c r="N125" s="4" t="str">
        <f>IF(ISERROR(K125/I125),"",K125/I125)</f>
        <v/>
      </c>
      <c r="O125" s="92">
        <f>I125/E125</f>
        <v>0</v>
      </c>
      <c r="P125" s="92">
        <f>K125/E125</f>
        <v>0</v>
      </c>
      <c r="Q125" s="80">
        <v>4</v>
      </c>
      <c r="R125" s="80">
        <v>2</v>
      </c>
      <c r="S125" s="80" t="s">
        <v>61</v>
      </c>
      <c r="T125" s="5">
        <v>153</v>
      </c>
      <c r="U125" s="9"/>
    </row>
    <row r="126" spans="1:21" s="37" customFormat="1" ht="12" x14ac:dyDescent="0.3">
      <c r="A126" s="75" t="s">
        <v>1320</v>
      </c>
      <c r="B126" s="76" t="s">
        <v>1321</v>
      </c>
      <c r="C126" s="86">
        <v>1210</v>
      </c>
      <c r="D126" s="87">
        <v>115.4</v>
      </c>
      <c r="E126" s="88">
        <v>35</v>
      </c>
      <c r="F126" s="87">
        <v>85</v>
      </c>
      <c r="G126" s="17">
        <v>26</v>
      </c>
      <c r="H126" s="89">
        <v>307</v>
      </c>
      <c r="I126" s="90"/>
      <c r="J126" s="90"/>
      <c r="K126" s="90"/>
      <c r="L126" s="90"/>
      <c r="M126" s="91">
        <f>I126-K126</f>
        <v>0</v>
      </c>
      <c r="N126" s="4" t="str">
        <f>IF(ISERROR(K126/I126),"",K126/I126)</f>
        <v/>
      </c>
      <c r="O126" s="92">
        <f>I126/E126</f>
        <v>0</v>
      </c>
      <c r="P126" s="92">
        <f>K126/E126</f>
        <v>0</v>
      </c>
      <c r="Q126" s="80">
        <v>3</v>
      </c>
      <c r="R126" s="80">
        <v>2</v>
      </c>
      <c r="S126" s="80" t="s">
        <v>61</v>
      </c>
      <c r="T126" s="5" t="s">
        <v>119</v>
      </c>
      <c r="U126" s="9"/>
    </row>
    <row r="127" spans="1:21" s="37" customFormat="1" ht="12" x14ac:dyDescent="0.3">
      <c r="A127" s="75" t="s">
        <v>1322</v>
      </c>
      <c r="B127" s="76" t="s">
        <v>1007</v>
      </c>
      <c r="C127" s="86">
        <v>2500</v>
      </c>
      <c r="D127" s="87">
        <v>152.6</v>
      </c>
      <c r="E127" s="88">
        <v>46</v>
      </c>
      <c r="F127" s="87">
        <v>109.4</v>
      </c>
      <c r="G127" s="17">
        <v>33</v>
      </c>
      <c r="H127" s="89">
        <v>75</v>
      </c>
      <c r="I127" s="90"/>
      <c r="J127" s="90"/>
      <c r="K127" s="90"/>
      <c r="L127" s="90"/>
      <c r="M127" s="91">
        <f>I127-K127</f>
        <v>0</v>
      </c>
      <c r="N127" s="4" t="str">
        <f>IF(ISERROR(K127/I127),"",K127/I127)</f>
        <v/>
      </c>
      <c r="O127" s="92">
        <f>I127/E127</f>
        <v>0</v>
      </c>
      <c r="P127" s="92">
        <f>K127/E127</f>
        <v>0</v>
      </c>
      <c r="Q127" s="80">
        <v>4</v>
      </c>
      <c r="R127" s="80">
        <v>2</v>
      </c>
      <c r="S127" s="80" t="s">
        <v>61</v>
      </c>
      <c r="T127" s="5" t="s">
        <v>120</v>
      </c>
      <c r="U127" s="9"/>
    </row>
    <row r="128" spans="1:21" s="37" customFormat="1" ht="12" x14ac:dyDescent="0.3">
      <c r="A128" s="75" t="s">
        <v>1329</v>
      </c>
      <c r="B128" s="76" t="s">
        <v>1330</v>
      </c>
      <c r="C128" s="86">
        <v>572</v>
      </c>
      <c r="D128" s="87">
        <v>80</v>
      </c>
      <c r="E128" s="88">
        <v>24</v>
      </c>
      <c r="F128" s="87">
        <v>60</v>
      </c>
      <c r="G128" s="17">
        <v>18</v>
      </c>
      <c r="H128" s="89">
        <v>250</v>
      </c>
      <c r="I128" s="90"/>
      <c r="J128" s="90"/>
      <c r="K128" s="90"/>
      <c r="L128" s="90"/>
      <c r="M128" s="91">
        <f>I128-K128</f>
        <v>0</v>
      </c>
      <c r="N128" s="4" t="str">
        <f>IF(ISERROR(K128/I128),"",K128/I128)</f>
        <v/>
      </c>
      <c r="O128" s="92">
        <f>I128/E128</f>
        <v>0</v>
      </c>
      <c r="P128" s="92">
        <f>K128/E128</f>
        <v>0</v>
      </c>
      <c r="Q128" s="80">
        <v>3</v>
      </c>
      <c r="R128" s="80">
        <v>2</v>
      </c>
      <c r="S128" s="80" t="s">
        <v>61</v>
      </c>
      <c r="T128" s="5">
        <v>80</v>
      </c>
      <c r="U128" s="9"/>
    </row>
    <row r="129" spans="1:21" s="37" customFormat="1" ht="12" x14ac:dyDescent="0.3">
      <c r="A129" s="75" t="s">
        <v>1329</v>
      </c>
      <c r="B129" s="76" t="s">
        <v>1330</v>
      </c>
      <c r="C129" s="86">
        <v>572</v>
      </c>
      <c r="D129" s="87">
        <v>100.3</v>
      </c>
      <c r="E129" s="88">
        <v>30</v>
      </c>
      <c r="F129" s="87">
        <v>74.5</v>
      </c>
      <c r="G129" s="17">
        <v>23</v>
      </c>
      <c r="H129" s="89">
        <v>74</v>
      </c>
      <c r="I129" s="90"/>
      <c r="J129" s="90"/>
      <c r="K129" s="90"/>
      <c r="L129" s="90"/>
      <c r="M129" s="91">
        <f>I129-K129</f>
        <v>0</v>
      </c>
      <c r="N129" s="4" t="str">
        <f>IF(ISERROR(K129/I129),"",K129/I129)</f>
        <v/>
      </c>
      <c r="O129" s="92">
        <f>I129/E129</f>
        <v>0</v>
      </c>
      <c r="P129" s="92">
        <f>K129/E129</f>
        <v>0</v>
      </c>
      <c r="Q129" s="80">
        <v>3</v>
      </c>
      <c r="R129" s="80">
        <v>2</v>
      </c>
      <c r="S129" s="80" t="s">
        <v>61</v>
      </c>
      <c r="T129" s="5">
        <v>100</v>
      </c>
      <c r="U129" s="9"/>
    </row>
    <row r="130" spans="1:21" s="37" customFormat="1" ht="12" x14ac:dyDescent="0.3">
      <c r="A130" s="75" t="s">
        <v>1329</v>
      </c>
      <c r="B130" s="76" t="s">
        <v>1330</v>
      </c>
      <c r="C130" s="86">
        <v>572</v>
      </c>
      <c r="D130" s="87">
        <v>112.2</v>
      </c>
      <c r="E130" s="88">
        <v>34</v>
      </c>
      <c r="F130" s="87">
        <v>84.9</v>
      </c>
      <c r="G130" s="17">
        <v>26</v>
      </c>
      <c r="H130" s="89">
        <v>100</v>
      </c>
      <c r="I130" s="90"/>
      <c r="J130" s="90"/>
      <c r="K130" s="90"/>
      <c r="L130" s="90"/>
      <c r="M130" s="91">
        <f>I130-K130</f>
        <v>0</v>
      </c>
      <c r="N130" s="4" t="str">
        <f>IF(ISERROR(K130/I130),"",K130/I130)</f>
        <v/>
      </c>
      <c r="O130" s="92">
        <f>I130/E130</f>
        <v>0</v>
      </c>
      <c r="P130" s="92">
        <f>K130/E130</f>
        <v>0</v>
      </c>
      <c r="Q130" s="80">
        <v>3</v>
      </c>
      <c r="R130" s="80">
        <v>2</v>
      </c>
      <c r="S130" s="80" t="s">
        <v>61</v>
      </c>
      <c r="T130" s="5" t="s">
        <v>88</v>
      </c>
      <c r="U130" s="9"/>
    </row>
    <row r="131" spans="1:21" s="37" customFormat="1" ht="12" x14ac:dyDescent="0.3">
      <c r="A131" s="75" t="s">
        <v>1334</v>
      </c>
      <c r="B131" s="76" t="s">
        <v>1335</v>
      </c>
      <c r="C131" s="86">
        <v>210</v>
      </c>
      <c r="D131" s="87">
        <v>74.599999999999994</v>
      </c>
      <c r="E131" s="88">
        <v>23</v>
      </c>
      <c r="F131" s="87">
        <v>60</v>
      </c>
      <c r="G131" s="17">
        <v>18</v>
      </c>
      <c r="H131" s="89">
        <v>210</v>
      </c>
      <c r="I131" s="90"/>
      <c r="J131" s="90"/>
      <c r="K131" s="90"/>
      <c r="L131" s="90"/>
      <c r="M131" s="91">
        <f>I131-K131</f>
        <v>0</v>
      </c>
      <c r="N131" s="4" t="str">
        <f>IF(ISERROR(K131/I131),"",K131/I131)</f>
        <v/>
      </c>
      <c r="O131" s="92">
        <f>I131/E131</f>
        <v>0</v>
      </c>
      <c r="P131" s="92">
        <f>K131/E131</f>
        <v>0</v>
      </c>
      <c r="Q131" s="80">
        <v>3</v>
      </c>
      <c r="R131" s="80">
        <v>1</v>
      </c>
      <c r="S131" s="80" t="s">
        <v>61</v>
      </c>
      <c r="T131" s="5">
        <v>74</v>
      </c>
      <c r="U131" s="9"/>
    </row>
    <row r="132" spans="1:21" s="37" customFormat="1" ht="12" x14ac:dyDescent="0.3">
      <c r="A132" s="75" t="s">
        <v>1336</v>
      </c>
      <c r="B132" s="76" t="s">
        <v>1337</v>
      </c>
      <c r="C132" s="86">
        <v>236</v>
      </c>
      <c r="D132" s="87">
        <v>54.5</v>
      </c>
      <c r="E132" s="88">
        <v>16</v>
      </c>
      <c r="F132" s="87">
        <v>41</v>
      </c>
      <c r="G132" s="17">
        <v>12</v>
      </c>
      <c r="H132" s="89">
        <v>217</v>
      </c>
      <c r="I132" s="90"/>
      <c r="J132" s="90"/>
      <c r="K132" s="90"/>
      <c r="L132" s="90"/>
      <c r="M132" s="91">
        <f>I132-K132</f>
        <v>0</v>
      </c>
      <c r="N132" s="4" t="str">
        <f>IF(ISERROR(K132/I132),"",K132/I132)</f>
        <v/>
      </c>
      <c r="O132" s="92">
        <f>I132/E132</f>
        <v>0</v>
      </c>
      <c r="P132" s="92">
        <f>K132/E132</f>
        <v>0</v>
      </c>
      <c r="Q132" s="80">
        <v>2</v>
      </c>
      <c r="R132" s="80">
        <v>1</v>
      </c>
      <c r="S132" s="80" t="s">
        <v>85</v>
      </c>
      <c r="T132" s="5">
        <v>54</v>
      </c>
      <c r="U132" s="9"/>
    </row>
    <row r="133" spans="1:21" s="37" customFormat="1" ht="12" x14ac:dyDescent="0.3">
      <c r="A133" s="75" t="s">
        <v>1338</v>
      </c>
      <c r="B133" s="76" t="s">
        <v>1041</v>
      </c>
      <c r="C133" s="86">
        <v>299</v>
      </c>
      <c r="D133" s="87">
        <v>27.7</v>
      </c>
      <c r="E133" s="88">
        <v>8</v>
      </c>
      <c r="F133" s="87">
        <v>16.2</v>
      </c>
      <c r="G133" s="17">
        <v>5</v>
      </c>
      <c r="H133" s="89">
        <v>194</v>
      </c>
      <c r="I133" s="90"/>
      <c r="J133" s="90"/>
      <c r="K133" s="90"/>
      <c r="L133" s="90"/>
      <c r="M133" s="91">
        <f>I133-K133</f>
        <v>0</v>
      </c>
      <c r="N133" s="4" t="str">
        <f>IF(ISERROR(K133/I133),"",K133/I133)</f>
        <v/>
      </c>
      <c r="O133" s="92">
        <f>I133/E133</f>
        <v>0</v>
      </c>
      <c r="P133" s="92">
        <f>K133/E133</f>
        <v>0</v>
      </c>
      <c r="Q133" s="80">
        <v>1</v>
      </c>
      <c r="R133" s="80">
        <v>1</v>
      </c>
      <c r="S133" s="80" t="s">
        <v>85</v>
      </c>
      <c r="T133" s="5" t="s">
        <v>121</v>
      </c>
      <c r="U133" s="9"/>
    </row>
    <row r="134" spans="1:21" s="37" customFormat="1" ht="12" x14ac:dyDescent="0.3">
      <c r="A134" s="75" t="s">
        <v>1339</v>
      </c>
      <c r="B134" s="76" t="s">
        <v>1042</v>
      </c>
      <c r="C134" s="86">
        <v>345</v>
      </c>
      <c r="D134" s="87">
        <v>108.7</v>
      </c>
      <c r="E134" s="88">
        <v>33</v>
      </c>
      <c r="F134" s="87">
        <v>84.8</v>
      </c>
      <c r="G134" s="17">
        <v>26</v>
      </c>
      <c r="H134" s="89">
        <v>163</v>
      </c>
      <c r="I134" s="90"/>
      <c r="J134" s="90"/>
      <c r="K134" s="90"/>
      <c r="L134" s="90"/>
      <c r="M134" s="91">
        <f>I134-K134</f>
        <v>0</v>
      </c>
      <c r="N134" s="4" t="str">
        <f>IF(ISERROR(K134/I134),"",K134/I134)</f>
        <v/>
      </c>
      <c r="O134" s="92">
        <f>I134/E134</f>
        <v>0</v>
      </c>
      <c r="P134" s="92">
        <f>K134/E134</f>
        <v>0</v>
      </c>
      <c r="Q134" s="80">
        <v>3</v>
      </c>
      <c r="R134" s="80">
        <v>2</v>
      </c>
      <c r="S134" s="80" t="s">
        <v>61</v>
      </c>
      <c r="T134" s="5">
        <v>108</v>
      </c>
      <c r="U134" s="9"/>
    </row>
    <row r="135" spans="1:21" s="37" customFormat="1" ht="12" x14ac:dyDescent="0.3">
      <c r="A135" s="75" t="s">
        <v>1340</v>
      </c>
      <c r="B135" s="76" t="s">
        <v>1341</v>
      </c>
      <c r="C135" s="86">
        <v>275</v>
      </c>
      <c r="D135" s="87">
        <v>104</v>
      </c>
      <c r="E135" s="88">
        <v>31</v>
      </c>
      <c r="F135" s="87">
        <v>84.6</v>
      </c>
      <c r="G135" s="17">
        <v>26</v>
      </c>
      <c r="H135" s="89">
        <v>196</v>
      </c>
      <c r="I135" s="90"/>
      <c r="J135" s="90"/>
      <c r="K135" s="90"/>
      <c r="L135" s="90"/>
      <c r="M135" s="91">
        <f>I135-K135</f>
        <v>0</v>
      </c>
      <c r="N135" s="4" t="str">
        <f>IF(ISERROR(K135/I135),"",K135/I135)</f>
        <v/>
      </c>
      <c r="O135" s="92">
        <f>I135/E135</f>
        <v>0</v>
      </c>
      <c r="P135" s="92">
        <f>K135/E135</f>
        <v>0</v>
      </c>
      <c r="Q135" s="80">
        <v>3</v>
      </c>
      <c r="R135" s="80">
        <v>2</v>
      </c>
      <c r="S135" s="80" t="s">
        <v>61</v>
      </c>
      <c r="T135" s="5">
        <v>104</v>
      </c>
      <c r="U135" s="9"/>
    </row>
    <row r="136" spans="1:21" s="37" customFormat="1" ht="12" x14ac:dyDescent="0.3">
      <c r="A136" s="75" t="s">
        <v>1340</v>
      </c>
      <c r="B136" s="76" t="s">
        <v>1043</v>
      </c>
      <c r="C136" s="86">
        <v>275</v>
      </c>
      <c r="D136" s="87">
        <v>140.80000000000001</v>
      </c>
      <c r="E136" s="88">
        <v>43</v>
      </c>
      <c r="F136" s="87">
        <v>116.6</v>
      </c>
      <c r="G136" s="17">
        <v>35</v>
      </c>
      <c r="H136" s="89">
        <v>79</v>
      </c>
      <c r="I136" s="90"/>
      <c r="J136" s="90"/>
      <c r="K136" s="90"/>
      <c r="L136" s="90"/>
      <c r="M136" s="91">
        <f>I136-K136</f>
        <v>0</v>
      </c>
      <c r="N136" s="4" t="str">
        <f>IF(ISERROR(K136/I136),"",K136/I136)</f>
        <v/>
      </c>
      <c r="O136" s="92">
        <f>I136/E136</f>
        <v>0</v>
      </c>
      <c r="P136" s="92">
        <f>K136/E136</f>
        <v>0</v>
      </c>
      <c r="Q136" s="80">
        <v>4</v>
      </c>
      <c r="R136" s="80">
        <v>2</v>
      </c>
      <c r="S136" s="80" t="s">
        <v>61</v>
      </c>
      <c r="T136" s="5">
        <v>140</v>
      </c>
      <c r="U136" s="9"/>
    </row>
    <row r="137" spans="1:21" s="37" customFormat="1" ht="12" x14ac:dyDescent="0.3">
      <c r="A137" s="75" t="s">
        <v>1044</v>
      </c>
      <c r="B137" s="76" t="s">
        <v>1045</v>
      </c>
      <c r="C137" s="86">
        <v>614</v>
      </c>
      <c r="D137" s="87">
        <v>131.30000000000001</v>
      </c>
      <c r="E137" s="88">
        <v>40</v>
      </c>
      <c r="F137" s="87">
        <v>105.6</v>
      </c>
      <c r="G137" s="17">
        <v>32</v>
      </c>
      <c r="H137" s="89">
        <v>198</v>
      </c>
      <c r="I137" s="90"/>
      <c r="J137" s="90"/>
      <c r="K137" s="90"/>
      <c r="L137" s="90"/>
      <c r="M137" s="91">
        <f>I137-K137</f>
        <v>0</v>
      </c>
      <c r="N137" s="4" t="str">
        <f>IF(ISERROR(K137/I137),"",K137/I137)</f>
        <v/>
      </c>
      <c r="O137" s="92">
        <f>I137/E137</f>
        <v>0</v>
      </c>
      <c r="P137" s="92">
        <f>K137/E137</f>
        <v>0</v>
      </c>
      <c r="Q137" s="80">
        <v>3</v>
      </c>
      <c r="R137" s="80">
        <v>2</v>
      </c>
      <c r="S137" s="80" t="s">
        <v>61</v>
      </c>
      <c r="T137" s="5">
        <v>131</v>
      </c>
      <c r="U137" s="9"/>
    </row>
    <row r="138" spans="1:21" s="37" customFormat="1" ht="12" x14ac:dyDescent="0.3">
      <c r="A138" s="75" t="s">
        <v>1046</v>
      </c>
      <c r="B138" s="76" t="s">
        <v>1342</v>
      </c>
      <c r="C138" s="86">
        <v>218</v>
      </c>
      <c r="D138" s="87">
        <v>85.8</v>
      </c>
      <c r="E138" s="88">
        <v>26</v>
      </c>
      <c r="F138" s="87">
        <v>72.400000000000006</v>
      </c>
      <c r="G138" s="17">
        <v>22</v>
      </c>
      <c r="H138" s="89">
        <v>146</v>
      </c>
      <c r="I138" s="90"/>
      <c r="J138" s="90"/>
      <c r="K138" s="90"/>
      <c r="L138" s="90"/>
      <c r="M138" s="91">
        <f>I138-K138</f>
        <v>0</v>
      </c>
      <c r="N138" s="4" t="str">
        <f>IF(ISERROR(K138/I138),"",K138/I138)</f>
        <v/>
      </c>
      <c r="O138" s="92">
        <f>I138/E138</f>
        <v>0</v>
      </c>
      <c r="P138" s="92">
        <f>K138/E138</f>
        <v>0</v>
      </c>
      <c r="Q138" s="80">
        <v>3</v>
      </c>
      <c r="R138" s="80">
        <v>1</v>
      </c>
      <c r="S138" s="80" t="s">
        <v>61</v>
      </c>
      <c r="T138" s="5">
        <v>85</v>
      </c>
      <c r="U138" s="9"/>
    </row>
    <row r="139" spans="1:21" s="37" customFormat="1" ht="12" x14ac:dyDescent="0.3">
      <c r="A139" s="75" t="s">
        <v>1050</v>
      </c>
      <c r="B139" s="76" t="s">
        <v>1051</v>
      </c>
      <c r="C139" s="86">
        <v>252</v>
      </c>
      <c r="D139" s="87">
        <v>59.7</v>
      </c>
      <c r="E139" s="88">
        <v>18</v>
      </c>
      <c r="F139" s="87">
        <v>30.6</v>
      </c>
      <c r="G139" s="17">
        <v>9</v>
      </c>
      <c r="H139" s="89">
        <v>228</v>
      </c>
      <c r="I139" s="90"/>
      <c r="J139" s="90"/>
      <c r="K139" s="90"/>
      <c r="L139" s="90"/>
      <c r="M139" s="91">
        <f>I139-K139</f>
        <v>0</v>
      </c>
      <c r="N139" s="4" t="str">
        <f>IF(ISERROR(K139/I139),"",K139/I139)</f>
        <v/>
      </c>
      <c r="O139" s="92">
        <f>I139/E139</f>
        <v>0</v>
      </c>
      <c r="P139" s="92">
        <f>K139/E139</f>
        <v>0</v>
      </c>
      <c r="Q139" s="80">
        <v>2</v>
      </c>
      <c r="R139" s="80">
        <v>1</v>
      </c>
      <c r="S139" s="80" t="s">
        <v>61</v>
      </c>
      <c r="T139" s="5">
        <v>59</v>
      </c>
      <c r="U139" s="9"/>
    </row>
    <row r="140" spans="1:21" s="37" customFormat="1" ht="12" x14ac:dyDescent="0.3">
      <c r="A140" s="75" t="s">
        <v>1052</v>
      </c>
      <c r="B140" s="76" t="s">
        <v>1053</v>
      </c>
      <c r="C140" s="86">
        <v>244</v>
      </c>
      <c r="D140" s="87">
        <v>32.9</v>
      </c>
      <c r="E140" s="88">
        <v>10</v>
      </c>
      <c r="F140" s="87">
        <v>24.4</v>
      </c>
      <c r="G140" s="17">
        <v>7</v>
      </c>
      <c r="H140" s="89">
        <v>31</v>
      </c>
      <c r="I140" s="90"/>
      <c r="J140" s="90"/>
      <c r="K140" s="90"/>
      <c r="L140" s="90"/>
      <c r="M140" s="91">
        <f>I140-K140</f>
        <v>0</v>
      </c>
      <c r="N140" s="4" t="str">
        <f>IF(ISERROR(K140/I140),"",K140/I140)</f>
        <v/>
      </c>
      <c r="O140" s="92">
        <f>I140/E140</f>
        <v>0</v>
      </c>
      <c r="P140" s="92">
        <f>K140/E140</f>
        <v>0</v>
      </c>
      <c r="Q140" s="80">
        <v>1</v>
      </c>
      <c r="R140" s="80">
        <v>1</v>
      </c>
      <c r="S140" s="80" t="s">
        <v>85</v>
      </c>
      <c r="T140" s="5">
        <v>32</v>
      </c>
      <c r="U140" s="9"/>
    </row>
    <row r="141" spans="1:21" s="37" customFormat="1" ht="12" x14ac:dyDescent="0.3">
      <c r="A141" s="75" t="s">
        <v>1052</v>
      </c>
      <c r="B141" s="76" t="s">
        <v>1344</v>
      </c>
      <c r="C141" s="86">
        <v>244</v>
      </c>
      <c r="D141" s="87">
        <v>39.1</v>
      </c>
      <c r="E141" s="88">
        <v>12</v>
      </c>
      <c r="F141" s="87">
        <v>29.1</v>
      </c>
      <c r="G141" s="17">
        <v>9</v>
      </c>
      <c r="H141" s="89">
        <v>201</v>
      </c>
      <c r="I141" s="90"/>
      <c r="J141" s="90"/>
      <c r="K141" s="90"/>
      <c r="L141" s="90"/>
      <c r="M141" s="91">
        <f>I141-K141</f>
        <v>0</v>
      </c>
      <c r="N141" s="4" t="str">
        <f>IF(ISERROR(K141/I141),"",K141/I141)</f>
        <v/>
      </c>
      <c r="O141" s="92">
        <f>I141/E141</f>
        <v>0</v>
      </c>
      <c r="P141" s="92">
        <f>K141/E141</f>
        <v>0</v>
      </c>
      <c r="Q141" s="80">
        <v>1</v>
      </c>
      <c r="R141" s="80">
        <v>1</v>
      </c>
      <c r="S141" s="80" t="s">
        <v>85</v>
      </c>
      <c r="T141" s="5">
        <v>39</v>
      </c>
      <c r="U141" s="9"/>
    </row>
    <row r="142" spans="1:21" s="37" customFormat="1" ht="12" x14ac:dyDescent="0.3">
      <c r="A142" s="75" t="s">
        <v>1351</v>
      </c>
      <c r="B142" s="76" t="s">
        <v>1352</v>
      </c>
      <c r="C142" s="86">
        <v>523</v>
      </c>
      <c r="D142" s="87">
        <v>62</v>
      </c>
      <c r="E142" s="88">
        <v>19</v>
      </c>
      <c r="F142" s="87">
        <v>45.4</v>
      </c>
      <c r="G142" s="17">
        <v>14</v>
      </c>
      <c r="H142" s="89">
        <v>224</v>
      </c>
      <c r="I142" s="90"/>
      <c r="J142" s="90"/>
      <c r="K142" s="90">
        <v>7500</v>
      </c>
      <c r="L142" s="90" t="s">
        <v>66</v>
      </c>
      <c r="M142" s="91">
        <f>I142-K142</f>
        <v>-7500</v>
      </c>
      <c r="N142" s="4" t="str">
        <f>IF(ISERROR(K142/I142),"",K142/I142)</f>
        <v/>
      </c>
      <c r="O142" s="92">
        <f>I142/E142</f>
        <v>0</v>
      </c>
      <c r="P142" s="92">
        <f>K142/E142</f>
        <v>394.73684210526318</v>
      </c>
      <c r="Q142" s="80">
        <v>2</v>
      </c>
      <c r="R142" s="80">
        <v>1</v>
      </c>
      <c r="S142" s="80" t="s">
        <v>85</v>
      </c>
      <c r="T142" s="5">
        <v>62</v>
      </c>
      <c r="U142" s="9"/>
    </row>
    <row r="143" spans="1:21" s="37" customFormat="1" ht="12" x14ac:dyDescent="0.3">
      <c r="A143" s="75" t="s">
        <v>1061</v>
      </c>
      <c r="B143" s="76" t="s">
        <v>1062</v>
      </c>
      <c r="C143" s="86">
        <v>748</v>
      </c>
      <c r="D143" s="87">
        <v>99.6</v>
      </c>
      <c r="E143" s="88">
        <v>30</v>
      </c>
      <c r="F143" s="87">
        <v>76</v>
      </c>
      <c r="G143" s="17">
        <v>23</v>
      </c>
      <c r="H143" s="89">
        <v>143</v>
      </c>
      <c r="I143" s="90"/>
      <c r="J143" s="90"/>
      <c r="K143" s="90"/>
      <c r="L143" s="90"/>
      <c r="M143" s="91">
        <f>I143-K143</f>
        <v>0</v>
      </c>
      <c r="N143" s="4" t="str">
        <f>IF(ISERROR(K143/I143),"",K143/I143)</f>
        <v/>
      </c>
      <c r="O143" s="92">
        <f>I143/E143</f>
        <v>0</v>
      </c>
      <c r="P143" s="92">
        <f>K143/E143</f>
        <v>0</v>
      </c>
      <c r="Q143" s="80">
        <v>3</v>
      </c>
      <c r="R143" s="80">
        <v>2</v>
      </c>
      <c r="S143" s="80" t="s">
        <v>61</v>
      </c>
      <c r="T143" s="5" t="s">
        <v>123</v>
      </c>
      <c r="U143" s="9"/>
    </row>
    <row r="144" spans="1:21" s="37" customFormat="1" ht="12" x14ac:dyDescent="0.3">
      <c r="A144" s="75" t="s">
        <v>1354</v>
      </c>
      <c r="B144" s="76" t="s">
        <v>1063</v>
      </c>
      <c r="C144" s="86">
        <v>270</v>
      </c>
      <c r="D144" s="87">
        <v>46.4</v>
      </c>
      <c r="E144" s="88">
        <v>14</v>
      </c>
      <c r="F144" s="87">
        <v>34.799999999999997</v>
      </c>
      <c r="G144" s="17">
        <v>11</v>
      </c>
      <c r="H144" s="89">
        <v>270</v>
      </c>
      <c r="I144" s="90"/>
      <c r="J144" s="90"/>
      <c r="K144" s="90"/>
      <c r="L144" s="90"/>
      <c r="M144" s="91">
        <f>I144-K144</f>
        <v>0</v>
      </c>
      <c r="N144" s="4" t="str">
        <f>IF(ISERROR(K144/I144),"",K144/I144)</f>
        <v/>
      </c>
      <c r="O144" s="92">
        <f>I144/E144</f>
        <v>0</v>
      </c>
      <c r="P144" s="92">
        <f>K144/E144</f>
        <v>0</v>
      </c>
      <c r="Q144" s="80">
        <v>2</v>
      </c>
      <c r="R144" s="80">
        <v>1</v>
      </c>
      <c r="S144" s="80" t="s">
        <v>61</v>
      </c>
      <c r="T144" s="5">
        <v>46</v>
      </c>
      <c r="U144" s="9"/>
    </row>
    <row r="145" spans="1:22" s="37" customFormat="1" ht="12" x14ac:dyDescent="0.3">
      <c r="A145" s="75" t="s">
        <v>1064</v>
      </c>
      <c r="B145" s="76" t="s">
        <v>1065</v>
      </c>
      <c r="C145" s="86">
        <v>608</v>
      </c>
      <c r="D145" s="87">
        <v>105.8</v>
      </c>
      <c r="E145" s="88">
        <v>32</v>
      </c>
      <c r="F145" s="87">
        <v>85</v>
      </c>
      <c r="G145" s="17">
        <v>26</v>
      </c>
      <c r="H145" s="89">
        <v>163</v>
      </c>
      <c r="I145" s="90"/>
      <c r="J145" s="90"/>
      <c r="K145" s="90"/>
      <c r="L145" s="90"/>
      <c r="M145" s="91">
        <f>I145-K145</f>
        <v>0</v>
      </c>
      <c r="N145" s="4" t="str">
        <f>IF(ISERROR(K145/I145),"",K145/I145)</f>
        <v/>
      </c>
      <c r="O145" s="92">
        <f>I145/E145</f>
        <v>0</v>
      </c>
      <c r="P145" s="92">
        <f>K145/E145</f>
        <v>0</v>
      </c>
      <c r="Q145" s="80">
        <v>3</v>
      </c>
      <c r="R145" s="80">
        <v>2</v>
      </c>
      <c r="S145" s="80" t="s">
        <v>61</v>
      </c>
      <c r="T145" s="5" t="s">
        <v>124</v>
      </c>
      <c r="U145" s="9"/>
    </row>
    <row r="146" spans="1:22" s="37" customFormat="1" ht="12" x14ac:dyDescent="0.3">
      <c r="A146" s="75" t="s">
        <v>1064</v>
      </c>
      <c r="B146" s="76" t="s">
        <v>1065</v>
      </c>
      <c r="C146" s="86">
        <v>608</v>
      </c>
      <c r="D146" s="87">
        <v>160.69999999999999</v>
      </c>
      <c r="E146" s="88">
        <v>49</v>
      </c>
      <c r="F146" s="87">
        <v>129</v>
      </c>
      <c r="G146" s="17">
        <v>39</v>
      </c>
      <c r="H146" s="89">
        <v>50</v>
      </c>
      <c r="I146" s="90"/>
      <c r="J146" s="90"/>
      <c r="K146" s="90"/>
      <c r="L146" s="90"/>
      <c r="M146" s="91">
        <f>I146-K146</f>
        <v>0</v>
      </c>
      <c r="N146" s="4" t="str">
        <f>IF(ISERROR(K146/I146),"",K146/I146)</f>
        <v/>
      </c>
      <c r="O146" s="92">
        <f>I146/E146</f>
        <v>0</v>
      </c>
      <c r="P146" s="92">
        <f>K146/E146</f>
        <v>0</v>
      </c>
      <c r="Q146" s="80">
        <v>4</v>
      </c>
      <c r="R146" s="80">
        <v>2</v>
      </c>
      <c r="S146" s="80" t="s">
        <v>61</v>
      </c>
      <c r="T146" s="5">
        <v>160</v>
      </c>
      <c r="U146" s="9"/>
    </row>
    <row r="147" spans="1:22" s="37" customFormat="1" ht="12" x14ac:dyDescent="0.3">
      <c r="A147" s="75" t="s">
        <v>1066</v>
      </c>
      <c r="B147" s="76" t="s">
        <v>1067</v>
      </c>
      <c r="C147" s="86">
        <v>764</v>
      </c>
      <c r="D147" s="87">
        <v>150.80000000000001</v>
      </c>
      <c r="E147" s="88">
        <v>46</v>
      </c>
      <c r="F147" s="87">
        <v>125.6</v>
      </c>
      <c r="G147" s="17">
        <v>38</v>
      </c>
      <c r="H147" s="89">
        <v>114</v>
      </c>
      <c r="I147" s="90"/>
      <c r="J147" s="90"/>
      <c r="K147" s="90"/>
      <c r="L147" s="90"/>
      <c r="M147" s="91">
        <f>I147-K147</f>
        <v>0</v>
      </c>
      <c r="N147" s="4" t="str">
        <f>IF(ISERROR(K147/I147),"",K147/I147)</f>
        <v/>
      </c>
      <c r="O147" s="92">
        <f>I147/E147</f>
        <v>0</v>
      </c>
      <c r="P147" s="92">
        <f>K147/E147</f>
        <v>0</v>
      </c>
      <c r="Q147" s="80">
        <v>4</v>
      </c>
      <c r="R147" s="80">
        <v>2</v>
      </c>
      <c r="S147" s="80" t="s">
        <v>61</v>
      </c>
      <c r="T147" s="5">
        <v>150</v>
      </c>
      <c r="U147" s="9"/>
    </row>
    <row r="148" spans="1:22" s="37" customFormat="1" ht="12" x14ac:dyDescent="0.3">
      <c r="A148" s="75" t="s">
        <v>1070</v>
      </c>
      <c r="B148" s="76" t="s">
        <v>1071</v>
      </c>
      <c r="C148" s="86">
        <v>422</v>
      </c>
      <c r="D148" s="87">
        <v>110.9</v>
      </c>
      <c r="E148" s="88">
        <v>34</v>
      </c>
      <c r="F148" s="87">
        <v>84.8</v>
      </c>
      <c r="G148" s="17">
        <v>26</v>
      </c>
      <c r="H148" s="89">
        <v>276</v>
      </c>
      <c r="I148" s="90"/>
      <c r="J148" s="90"/>
      <c r="K148" s="90"/>
      <c r="L148" s="90"/>
      <c r="M148" s="91">
        <f>I148-K148</f>
        <v>0</v>
      </c>
      <c r="N148" s="4" t="str">
        <f>IF(ISERROR(K148/I148),"",K148/I148)</f>
        <v/>
      </c>
      <c r="O148" s="92">
        <f>I148/E148</f>
        <v>0</v>
      </c>
      <c r="P148" s="92">
        <f>K148/E148</f>
        <v>0</v>
      </c>
      <c r="Q148" s="80">
        <v>3</v>
      </c>
      <c r="R148" s="80">
        <v>2</v>
      </c>
      <c r="S148" s="80" t="s">
        <v>61</v>
      </c>
      <c r="T148" s="5" t="s">
        <v>107</v>
      </c>
      <c r="U148" s="9"/>
    </row>
    <row r="149" spans="1:22" s="37" customFormat="1" ht="12" x14ac:dyDescent="0.3">
      <c r="A149" s="75" t="s">
        <v>1360</v>
      </c>
      <c r="B149" s="76" t="s">
        <v>1072</v>
      </c>
      <c r="C149" s="86">
        <v>261</v>
      </c>
      <c r="D149" s="87">
        <v>67.7</v>
      </c>
      <c r="E149" s="88">
        <v>20</v>
      </c>
      <c r="F149" s="87">
        <v>49.5</v>
      </c>
      <c r="G149" s="17">
        <v>15</v>
      </c>
      <c r="H149" s="89">
        <v>225</v>
      </c>
      <c r="I149" s="90"/>
      <c r="J149" s="90"/>
      <c r="K149" s="90"/>
      <c r="L149" s="90"/>
      <c r="M149" s="91">
        <f>I149-K149</f>
        <v>0</v>
      </c>
      <c r="N149" s="4" t="str">
        <f>IF(ISERROR(K149/I149),"",K149/I149)</f>
        <v/>
      </c>
      <c r="O149" s="92">
        <f>I149/E149</f>
        <v>0</v>
      </c>
      <c r="P149" s="92">
        <f>K149/E149</f>
        <v>0</v>
      </c>
      <c r="Q149" s="80">
        <v>2</v>
      </c>
      <c r="R149" s="80">
        <v>1</v>
      </c>
      <c r="S149" s="80" t="s">
        <v>61</v>
      </c>
      <c r="T149" s="5">
        <v>67</v>
      </c>
      <c r="U149" s="9"/>
    </row>
    <row r="150" spans="1:22" s="37" customFormat="1" ht="12" x14ac:dyDescent="0.3">
      <c r="A150" s="75" t="s">
        <v>1363</v>
      </c>
      <c r="B150" s="76" t="s">
        <v>1075</v>
      </c>
      <c r="C150" s="86">
        <v>300</v>
      </c>
      <c r="D150" s="87">
        <v>59.1</v>
      </c>
      <c r="E150" s="88">
        <v>18</v>
      </c>
      <c r="F150" s="87">
        <v>53.9</v>
      </c>
      <c r="G150" s="17">
        <v>16</v>
      </c>
      <c r="H150" s="89">
        <v>81</v>
      </c>
      <c r="I150" s="90"/>
      <c r="J150" s="90"/>
      <c r="K150" s="90"/>
      <c r="L150" s="90"/>
      <c r="M150" s="91">
        <f>I150-K150</f>
        <v>0</v>
      </c>
      <c r="N150" s="4" t="str">
        <f>IF(ISERROR(K150/I150),"",K150/I150)</f>
        <v/>
      </c>
      <c r="O150" s="92">
        <f>I150/E150</f>
        <v>0</v>
      </c>
      <c r="P150" s="92">
        <f>K150/E150</f>
        <v>0</v>
      </c>
      <c r="Q150" s="80">
        <v>3</v>
      </c>
      <c r="R150" s="80">
        <v>1</v>
      </c>
      <c r="S150" s="80" t="s">
        <v>61</v>
      </c>
      <c r="T150" s="5" t="s">
        <v>125</v>
      </c>
      <c r="U150" s="9"/>
    </row>
    <row r="151" spans="1:22" s="37" customFormat="1" ht="12" x14ac:dyDescent="0.3">
      <c r="A151" s="75" t="s">
        <v>1363</v>
      </c>
      <c r="B151" s="76" t="s">
        <v>1075</v>
      </c>
      <c r="C151" s="86">
        <v>300</v>
      </c>
      <c r="D151" s="87">
        <v>64.400000000000006</v>
      </c>
      <c r="E151" s="88">
        <v>19</v>
      </c>
      <c r="F151" s="87">
        <v>59</v>
      </c>
      <c r="G151" s="17">
        <v>18</v>
      </c>
      <c r="H151" s="89">
        <v>201</v>
      </c>
      <c r="I151" s="90"/>
      <c r="J151" s="90"/>
      <c r="K151" s="90"/>
      <c r="L151" s="90"/>
      <c r="M151" s="91">
        <f>I151-K151</f>
        <v>0</v>
      </c>
      <c r="N151" s="4" t="str">
        <f>IF(ISERROR(K151/I151),"",K151/I151)</f>
        <v/>
      </c>
      <c r="O151" s="92">
        <f>I151/E151</f>
        <v>0</v>
      </c>
      <c r="P151" s="92">
        <f>K151/E151</f>
        <v>0</v>
      </c>
      <c r="Q151" s="80">
        <v>3</v>
      </c>
      <c r="R151" s="80">
        <v>1</v>
      </c>
      <c r="S151" s="80" t="s">
        <v>61</v>
      </c>
      <c r="T151" s="5">
        <v>64</v>
      </c>
      <c r="U151" s="9"/>
    </row>
    <row r="152" spans="1:22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</row>
    <row r="153" spans="1:22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</row>
    <row r="154" spans="1:22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</row>
    <row r="155" spans="1:22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</row>
    <row r="156" spans="1:22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</row>
    <row r="157" spans="1:22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</row>
    <row r="158" spans="1:22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</row>
    <row r="159" spans="1:22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</row>
    <row r="160" spans="1:22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</row>
    <row r="161" spans="1:22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</row>
    <row r="162" spans="1:22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</row>
    <row r="163" spans="1:22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</row>
    <row r="164" spans="1:22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</row>
    <row r="165" spans="1:22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</row>
    <row r="166" spans="1:22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</row>
    <row r="167" spans="1:22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</row>
    <row r="168" spans="1:22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</row>
    <row r="169" spans="1:22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</row>
    <row r="170" spans="1:22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</row>
    <row r="171" spans="1:22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</row>
    <row r="172" spans="1:22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</row>
    <row r="173" spans="1:22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</row>
    <row r="174" spans="1:22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</row>
    <row r="175" spans="1:22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</row>
    <row r="176" spans="1:22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</row>
    <row r="177" spans="1:22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</row>
    <row r="178" spans="1:22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</row>
    <row r="179" spans="1:22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</row>
    <row r="180" spans="1:22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</row>
    <row r="181" spans="1:22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</row>
    <row r="182" spans="1:22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</row>
    <row r="183" spans="1:22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</row>
    <row r="184" spans="1:22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</row>
    <row r="185" spans="1:22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</row>
    <row r="186" spans="1:22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</row>
    <row r="187" spans="1:22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</row>
    <row r="188" spans="1:22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</row>
    <row r="189" spans="1:22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</row>
    <row r="190" spans="1:22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</row>
    <row r="191" spans="1:22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</row>
    <row r="192" spans="1:22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</row>
    <row r="193" spans="1:22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</row>
    <row r="194" spans="1:22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</row>
    <row r="195" spans="1:22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</row>
    <row r="196" spans="1:22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</row>
    <row r="197" spans="1:22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</row>
    <row r="198" spans="1:22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</row>
    <row r="199" spans="1:22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</row>
    <row r="200" spans="1:22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</row>
    <row r="201" spans="1:22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</row>
    <row r="202" spans="1:22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</row>
    <row r="203" spans="1:22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</row>
    <row r="204" spans="1:22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</row>
    <row r="205" spans="1:22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</row>
    <row r="206" spans="1:22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</row>
    <row r="207" spans="1:22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</row>
    <row r="208" spans="1:22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</row>
    <row r="209" spans="1:22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</row>
    <row r="210" spans="1:22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</row>
    <row r="211" spans="1:22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</row>
    <row r="212" spans="1:22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</row>
    <row r="213" spans="1:22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</row>
    <row r="214" spans="1:22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</row>
    <row r="215" spans="1:22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</row>
    <row r="216" spans="1:22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</row>
    <row r="217" spans="1:22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</row>
    <row r="218" spans="1:22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</row>
    <row r="219" spans="1:22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</row>
    <row r="220" spans="1:22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</row>
    <row r="221" spans="1:22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</row>
    <row r="222" spans="1:22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</row>
    <row r="223" spans="1:22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</row>
    <row r="224" spans="1:22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</row>
    <row r="225" spans="1:22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</row>
    <row r="226" spans="1:22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</row>
    <row r="227" spans="1:22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</row>
    <row r="228" spans="1:22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</row>
    <row r="229" spans="1:22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</row>
    <row r="230" spans="1:22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</row>
    <row r="231" spans="1:22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</row>
    <row r="232" spans="1:22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</row>
    <row r="233" spans="1:22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</row>
    <row r="234" spans="1:22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</row>
    <row r="235" spans="1:22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</row>
    <row r="236" spans="1:22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</row>
    <row r="237" spans="1:22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</row>
    <row r="238" spans="1:22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</row>
    <row r="239" spans="1:22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</row>
    <row r="240" spans="1:22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</row>
    <row r="241" spans="1:2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</row>
    <row r="242" spans="1:2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</row>
    <row r="243" spans="1:2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</row>
    <row r="244" spans="1:2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</row>
    <row r="245" spans="1:2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</row>
    <row r="246" spans="1:2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</row>
    <row r="247" spans="1:2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</row>
    <row r="248" spans="1:2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</row>
    <row r="249" spans="1:2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</row>
    <row r="250" spans="1:2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</row>
    <row r="251" spans="1:2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</row>
    <row r="252" spans="1:2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</row>
    <row r="253" spans="1:2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</row>
    <row r="254" spans="1:2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</row>
    <row r="255" spans="1:2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</row>
    <row r="256" spans="1:2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</row>
    <row r="257" spans="1:2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</row>
    <row r="258" spans="1:2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</row>
    <row r="259" spans="1:2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</row>
    <row r="260" spans="1:2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</row>
    <row r="261" spans="1:2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</row>
    <row r="262" spans="1:2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</row>
    <row r="263" spans="1:2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</row>
    <row r="264" spans="1:2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</row>
    <row r="265" spans="1:2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</row>
    <row r="266" spans="1:2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</row>
    <row r="267" spans="1:2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</row>
    <row r="268" spans="1:2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</row>
    <row r="269" spans="1:2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</row>
    <row r="270" spans="1:2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</row>
    <row r="271" spans="1:2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</row>
    <row r="272" spans="1:2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</row>
    <row r="273" spans="1:2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</row>
    <row r="274" spans="1:2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</row>
    <row r="275" spans="1:2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</row>
    <row r="276" spans="1:2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</row>
    <row r="277" spans="1:2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</row>
    <row r="278" spans="1:2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</row>
    <row r="279" spans="1:2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</row>
    <row r="280" spans="1:2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</row>
    <row r="281" spans="1:2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</row>
    <row r="282" spans="1:2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</row>
    <row r="283" spans="1:2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</row>
    <row r="284" spans="1:2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</row>
    <row r="285" spans="1:2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</row>
    <row r="286" spans="1:2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</row>
    <row r="287" spans="1:2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</row>
    <row r="288" spans="1:2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</row>
    <row r="289" spans="1:2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</row>
    <row r="290" spans="1:2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</row>
    <row r="291" spans="1:2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</row>
    <row r="292" spans="1:2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</row>
    <row r="293" spans="1:2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</row>
    <row r="294" spans="1:2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</row>
    <row r="295" spans="1:2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</row>
    <row r="296" spans="1:2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</row>
    <row r="297" spans="1:2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</row>
    <row r="298" spans="1:2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</row>
    <row r="299" spans="1:2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</row>
    <row r="300" spans="1:2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</row>
    <row r="301" spans="1:2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</row>
    <row r="302" spans="1:2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</row>
    <row r="303" spans="1:2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</row>
    <row r="304" spans="1:2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</row>
    <row r="305" spans="1:2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</row>
    <row r="306" spans="1:2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</row>
    <row r="307" spans="1:2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</row>
    <row r="308" spans="1:2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</row>
    <row r="309" spans="1:2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</row>
    <row r="310" spans="1:2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</row>
    <row r="311" spans="1:2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</row>
    <row r="312" spans="1:2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</row>
    <row r="313" spans="1:2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</row>
    <row r="314" spans="1:2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</row>
    <row r="315" spans="1:2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</row>
    <row r="316" spans="1:2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</row>
    <row r="317" spans="1:2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</row>
    <row r="318" spans="1:2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</row>
    <row r="319" spans="1:2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</row>
    <row r="320" spans="1:2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</row>
    <row r="321" spans="1:22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</row>
    <row r="322" spans="1:22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</row>
    <row r="323" spans="1:22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</row>
    <row r="324" spans="1:22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</row>
    <row r="325" spans="1:22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</row>
    <row r="326" spans="1:22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</row>
    <row r="327" spans="1:22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</row>
    <row r="328" spans="1:22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</row>
    <row r="329" spans="1:22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</row>
    <row r="330" spans="1:22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</row>
    <row r="331" spans="1:22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</row>
    <row r="332" spans="1:22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</row>
    <row r="333" spans="1:22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</row>
    <row r="334" spans="1:22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</row>
    <row r="335" spans="1:22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</row>
    <row r="336" spans="1:22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</row>
    <row r="337" spans="1:22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</row>
    <row r="338" spans="1:22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</row>
    <row r="339" spans="1:22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</row>
    <row r="340" spans="1:22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</row>
    <row r="341" spans="1:22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</row>
    <row r="342" spans="1:22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</row>
    <row r="343" spans="1:22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</row>
    <row r="344" spans="1:22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</row>
    <row r="345" spans="1:22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</row>
    <row r="346" spans="1:22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</row>
    <row r="347" spans="1:22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</row>
    <row r="348" spans="1:22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</row>
    <row r="349" spans="1:22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</row>
    <row r="350" spans="1:22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</row>
    <row r="351" spans="1:22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</row>
    <row r="352" spans="1:22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</row>
    <row r="353" spans="1:22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</row>
    <row r="354" spans="1:22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</row>
    <row r="355" spans="1:22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</row>
    <row r="356" spans="1:22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</row>
    <row r="357" spans="1:22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</row>
    <row r="358" spans="1:22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</row>
    <row r="359" spans="1:22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</row>
    <row r="360" spans="1:22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</row>
    <row r="361" spans="1:22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</row>
    <row r="362" spans="1:22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</row>
    <row r="363" spans="1:22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</row>
    <row r="364" spans="1:22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</row>
    <row r="365" spans="1:22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</row>
    <row r="366" spans="1:22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</row>
    <row r="367" spans="1:22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</row>
    <row r="368" spans="1:22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</row>
    <row r="369" spans="1:22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</row>
    <row r="370" spans="1:22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</row>
    <row r="371" spans="1:22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</row>
    <row r="372" spans="1:22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</row>
    <row r="373" spans="1:22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</row>
    <row r="374" spans="1:22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</row>
    <row r="375" spans="1:22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</row>
    <row r="376" spans="1:22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</row>
    <row r="377" spans="1:22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</row>
    <row r="378" spans="1:22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</row>
    <row r="379" spans="1:22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</row>
    <row r="380" spans="1:22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</row>
    <row r="381" spans="1:22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</row>
    <row r="382" spans="1:22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</row>
    <row r="383" spans="1:22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</row>
    <row r="384" spans="1:22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</row>
    <row r="385" spans="1:22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</row>
    <row r="386" spans="1:22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</row>
    <row r="387" spans="1:22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</row>
    <row r="388" spans="1:22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</row>
    <row r="389" spans="1:22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</row>
    <row r="390" spans="1:22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</row>
    <row r="391" spans="1:22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</row>
    <row r="392" spans="1:22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</row>
    <row r="393" spans="1:22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</row>
    <row r="394" spans="1:22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</row>
    <row r="395" spans="1:22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</row>
    <row r="396" spans="1:22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</row>
    <row r="397" spans="1:22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</row>
    <row r="398" spans="1:22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</row>
    <row r="399" spans="1:22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</row>
    <row r="400" spans="1:22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</row>
    <row r="401" spans="1:22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</row>
    <row r="402" spans="1:22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</row>
    <row r="403" spans="1:22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</row>
    <row r="404" spans="1:22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</row>
    <row r="405" spans="1:22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</row>
    <row r="406" spans="1:22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</row>
    <row r="407" spans="1:22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</row>
    <row r="408" spans="1:22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</row>
    <row r="409" spans="1:22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</row>
    <row r="410" spans="1:22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</row>
    <row r="411" spans="1:22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</row>
    <row r="412" spans="1:22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</row>
    <row r="413" spans="1:22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</row>
    <row r="414" spans="1:22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</row>
    <row r="415" spans="1:22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</row>
    <row r="416" spans="1:22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</row>
    <row r="417" spans="1:22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</row>
    <row r="418" spans="1:22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</row>
    <row r="419" spans="1:22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</row>
    <row r="420" spans="1:22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</row>
    <row r="421" spans="1:22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</row>
    <row r="422" spans="1:22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</row>
    <row r="423" spans="1:22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</row>
    <row r="424" spans="1:22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</row>
    <row r="425" spans="1:22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</row>
    <row r="426" spans="1:22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</row>
    <row r="427" spans="1:22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</row>
    <row r="428" spans="1:22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</row>
    <row r="429" spans="1:22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</row>
    <row r="430" spans="1:22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</row>
    <row r="431" spans="1:22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</row>
    <row r="432" spans="1:22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</row>
    <row r="433" spans="1:22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</row>
    <row r="434" spans="1:22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</row>
    <row r="435" spans="1:22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</row>
    <row r="436" spans="1:22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</row>
    <row r="437" spans="1:22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</row>
    <row r="438" spans="1:22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</row>
    <row r="439" spans="1:22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</row>
    <row r="440" spans="1:22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</row>
    <row r="441" spans="1:22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</row>
    <row r="442" spans="1:22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</row>
    <row r="443" spans="1:22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</row>
    <row r="444" spans="1:22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</row>
    <row r="445" spans="1:22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</row>
    <row r="446" spans="1:22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</row>
    <row r="447" spans="1:22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</row>
    <row r="448" spans="1:22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</row>
    <row r="449" spans="1:22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</row>
    <row r="450" spans="1:22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4901" priority="42704" operator="greaterThan">
      <formula>0.9</formula>
    </cfRule>
    <cfRule type="cellIs" dxfId="4900" priority="42705" operator="greaterThan">
      <formula>0.85</formula>
    </cfRule>
  </conditionalFormatting>
  <conditionalFormatting sqref="N4">
    <cfRule type="cellIs" dxfId="4899" priority="2785" operator="greaterThan">
      <formula>0.9</formula>
    </cfRule>
    <cfRule type="cellIs" dxfId="4898" priority="2786" operator="greaterThan">
      <formula>0.85</formula>
    </cfRule>
  </conditionalFormatting>
  <conditionalFormatting sqref="N5">
    <cfRule type="cellIs" dxfId="4897" priority="2767" operator="greaterThan">
      <formula>0.9</formula>
    </cfRule>
    <cfRule type="cellIs" dxfId="4896" priority="2768" operator="greaterThan">
      <formula>0.85</formula>
    </cfRule>
  </conditionalFormatting>
  <conditionalFormatting sqref="N151">
    <cfRule type="cellIs" dxfId="4895" priority="13" operator="greaterThan">
      <formula>0.9</formula>
    </cfRule>
    <cfRule type="cellIs" dxfId="4894" priority="14" operator="greaterThan">
      <formula>0.85</formula>
    </cfRule>
  </conditionalFormatting>
  <conditionalFormatting sqref="N6">
    <cfRule type="cellIs" dxfId="4893" priority="2731" operator="greaterThan">
      <formula>0.9</formula>
    </cfRule>
    <cfRule type="cellIs" dxfId="4892" priority="2732" operator="greaterThan">
      <formula>0.85</formula>
    </cfRule>
  </conditionalFormatting>
  <conditionalFormatting sqref="N7">
    <cfRule type="cellIs" dxfId="4891" priority="2713" operator="greaterThan">
      <formula>0.9</formula>
    </cfRule>
    <cfRule type="cellIs" dxfId="4890" priority="2714" operator="greaterThan">
      <formula>0.85</formula>
    </cfRule>
  </conditionalFormatting>
  <conditionalFormatting sqref="N8">
    <cfRule type="cellIs" dxfId="4889" priority="2695" operator="greaterThan">
      <formula>0.9</formula>
    </cfRule>
    <cfRule type="cellIs" dxfId="4888" priority="2696" operator="greaterThan">
      <formula>0.85</formula>
    </cfRule>
  </conditionalFormatting>
  <conditionalFormatting sqref="N9">
    <cfRule type="cellIs" dxfId="4887" priority="2677" operator="greaterThan">
      <formula>0.9</formula>
    </cfRule>
    <cfRule type="cellIs" dxfId="4886" priority="2678" operator="greaterThan">
      <formula>0.85</formula>
    </cfRule>
  </conditionalFormatting>
  <conditionalFormatting sqref="N10">
    <cfRule type="cellIs" dxfId="4885" priority="2659" operator="greaterThan">
      <formula>0.9</formula>
    </cfRule>
    <cfRule type="cellIs" dxfId="4884" priority="2660" operator="greaterThan">
      <formula>0.85</formula>
    </cfRule>
  </conditionalFormatting>
  <conditionalFormatting sqref="N11">
    <cfRule type="cellIs" dxfId="4883" priority="2623" operator="greaterThan">
      <formula>0.9</formula>
    </cfRule>
    <cfRule type="cellIs" dxfId="4882" priority="2624" operator="greaterThan">
      <formula>0.85</formula>
    </cfRule>
  </conditionalFormatting>
  <conditionalFormatting sqref="N12">
    <cfRule type="cellIs" dxfId="4881" priority="2605" operator="greaterThan">
      <formula>0.9</formula>
    </cfRule>
    <cfRule type="cellIs" dxfId="4880" priority="2606" operator="greaterThan">
      <formula>0.85</formula>
    </cfRule>
  </conditionalFormatting>
  <conditionalFormatting sqref="N13">
    <cfRule type="cellIs" dxfId="4879" priority="2587" operator="greaterThan">
      <formula>0.9</formula>
    </cfRule>
    <cfRule type="cellIs" dxfId="4878" priority="2588" operator="greaterThan">
      <formula>0.85</formula>
    </cfRule>
  </conditionalFormatting>
  <conditionalFormatting sqref="N14">
    <cfRule type="cellIs" dxfId="4877" priority="2569" operator="greaterThan">
      <formula>0.9</formula>
    </cfRule>
    <cfRule type="cellIs" dxfId="4876" priority="2570" operator="greaterThan">
      <formula>0.85</formula>
    </cfRule>
  </conditionalFormatting>
  <conditionalFormatting sqref="N15">
    <cfRule type="cellIs" dxfId="4875" priority="2551" operator="greaterThan">
      <formula>0.9</formula>
    </cfRule>
    <cfRule type="cellIs" dxfId="4874" priority="2552" operator="greaterThan">
      <formula>0.85</formula>
    </cfRule>
  </conditionalFormatting>
  <conditionalFormatting sqref="N16">
    <cfRule type="cellIs" dxfId="4873" priority="2533" operator="greaterThan">
      <formula>0.9</formula>
    </cfRule>
    <cfRule type="cellIs" dxfId="4872" priority="2534" operator="greaterThan">
      <formula>0.85</formula>
    </cfRule>
  </conditionalFormatting>
  <conditionalFormatting sqref="N17">
    <cfRule type="cellIs" dxfId="4871" priority="2515" operator="greaterThan">
      <formula>0.9</formula>
    </cfRule>
    <cfRule type="cellIs" dxfId="4870" priority="2516" operator="greaterThan">
      <formula>0.85</formula>
    </cfRule>
  </conditionalFormatting>
  <conditionalFormatting sqref="N18">
    <cfRule type="cellIs" dxfId="4869" priority="2497" operator="greaterThan">
      <formula>0.9</formula>
    </cfRule>
    <cfRule type="cellIs" dxfId="4868" priority="2498" operator="greaterThan">
      <formula>0.85</formula>
    </cfRule>
  </conditionalFormatting>
  <conditionalFormatting sqref="N19">
    <cfRule type="cellIs" dxfId="4867" priority="2461" operator="greaterThan">
      <formula>0.9</formula>
    </cfRule>
    <cfRule type="cellIs" dxfId="4866" priority="2462" operator="greaterThan">
      <formula>0.85</formula>
    </cfRule>
  </conditionalFormatting>
  <conditionalFormatting sqref="N20">
    <cfRule type="cellIs" dxfId="4865" priority="2443" operator="greaterThan">
      <formula>0.9</formula>
    </cfRule>
    <cfRule type="cellIs" dxfId="4864" priority="2444" operator="greaterThan">
      <formula>0.85</formula>
    </cfRule>
  </conditionalFormatting>
  <conditionalFormatting sqref="N21">
    <cfRule type="cellIs" dxfId="4863" priority="2425" operator="greaterThan">
      <formula>0.9</formula>
    </cfRule>
    <cfRule type="cellIs" dxfId="4862" priority="2426" operator="greaterThan">
      <formula>0.85</formula>
    </cfRule>
  </conditionalFormatting>
  <conditionalFormatting sqref="N22">
    <cfRule type="cellIs" dxfId="4861" priority="2407" operator="greaterThan">
      <formula>0.9</formula>
    </cfRule>
    <cfRule type="cellIs" dxfId="4860" priority="2408" operator="greaterThan">
      <formula>0.85</formula>
    </cfRule>
  </conditionalFormatting>
  <conditionalFormatting sqref="N23">
    <cfRule type="cellIs" dxfId="4859" priority="2389" operator="greaterThan">
      <formula>0.9</formula>
    </cfRule>
    <cfRule type="cellIs" dxfId="4858" priority="2390" operator="greaterThan">
      <formula>0.85</formula>
    </cfRule>
  </conditionalFormatting>
  <conditionalFormatting sqref="N24">
    <cfRule type="cellIs" dxfId="4857" priority="2371" operator="greaterThan">
      <formula>0.9</formula>
    </cfRule>
    <cfRule type="cellIs" dxfId="4856" priority="2372" operator="greaterThan">
      <formula>0.85</formula>
    </cfRule>
  </conditionalFormatting>
  <conditionalFormatting sqref="N25">
    <cfRule type="cellIs" dxfId="4855" priority="2353" operator="greaterThan">
      <formula>0.9</formula>
    </cfRule>
    <cfRule type="cellIs" dxfId="4854" priority="2354" operator="greaterThan">
      <formula>0.85</formula>
    </cfRule>
  </conditionalFormatting>
  <conditionalFormatting sqref="N26">
    <cfRule type="cellIs" dxfId="4853" priority="2335" operator="greaterThan">
      <formula>0.9</formula>
    </cfRule>
    <cfRule type="cellIs" dxfId="4852" priority="2336" operator="greaterThan">
      <formula>0.85</formula>
    </cfRule>
  </conditionalFormatting>
  <conditionalFormatting sqref="N27">
    <cfRule type="cellIs" dxfId="4851" priority="2317" operator="greaterThan">
      <formula>0.9</formula>
    </cfRule>
    <cfRule type="cellIs" dxfId="4850" priority="2318" operator="greaterThan">
      <formula>0.85</formula>
    </cfRule>
  </conditionalFormatting>
  <conditionalFormatting sqref="N28">
    <cfRule type="cellIs" dxfId="4849" priority="2299" operator="greaterThan">
      <formula>0.9</formula>
    </cfRule>
    <cfRule type="cellIs" dxfId="4848" priority="2300" operator="greaterThan">
      <formula>0.85</formula>
    </cfRule>
  </conditionalFormatting>
  <conditionalFormatting sqref="N29">
    <cfRule type="cellIs" dxfId="4847" priority="2281" operator="greaterThan">
      <formula>0.9</formula>
    </cfRule>
    <cfRule type="cellIs" dxfId="4846" priority="2282" operator="greaterThan">
      <formula>0.85</formula>
    </cfRule>
  </conditionalFormatting>
  <conditionalFormatting sqref="N30">
    <cfRule type="cellIs" dxfId="4845" priority="2263" operator="greaterThan">
      <formula>0.9</formula>
    </cfRule>
    <cfRule type="cellIs" dxfId="4844" priority="2264" operator="greaterThan">
      <formula>0.85</formula>
    </cfRule>
  </conditionalFormatting>
  <conditionalFormatting sqref="N31">
    <cfRule type="cellIs" dxfId="4843" priority="2245" operator="greaterThan">
      <formula>0.9</formula>
    </cfRule>
    <cfRule type="cellIs" dxfId="4842" priority="2246" operator="greaterThan">
      <formula>0.85</formula>
    </cfRule>
  </conditionalFormatting>
  <conditionalFormatting sqref="N32">
    <cfRule type="cellIs" dxfId="4841" priority="2227" operator="greaterThan">
      <formula>0.9</formula>
    </cfRule>
    <cfRule type="cellIs" dxfId="4840" priority="2228" operator="greaterThan">
      <formula>0.85</formula>
    </cfRule>
  </conditionalFormatting>
  <conditionalFormatting sqref="N33">
    <cfRule type="cellIs" dxfId="4839" priority="2209" operator="greaterThan">
      <formula>0.9</formula>
    </cfRule>
    <cfRule type="cellIs" dxfId="4838" priority="2210" operator="greaterThan">
      <formula>0.85</formula>
    </cfRule>
  </conditionalFormatting>
  <conditionalFormatting sqref="N34">
    <cfRule type="cellIs" dxfId="4837" priority="2191" operator="greaterThan">
      <formula>0.9</formula>
    </cfRule>
    <cfRule type="cellIs" dxfId="4836" priority="2192" operator="greaterThan">
      <formula>0.85</formula>
    </cfRule>
  </conditionalFormatting>
  <conditionalFormatting sqref="N35">
    <cfRule type="cellIs" dxfId="4835" priority="2173" operator="greaterThan">
      <formula>0.9</formula>
    </cfRule>
    <cfRule type="cellIs" dxfId="4834" priority="2174" operator="greaterThan">
      <formula>0.85</formula>
    </cfRule>
  </conditionalFormatting>
  <conditionalFormatting sqref="N36">
    <cfRule type="cellIs" dxfId="4833" priority="2155" operator="greaterThan">
      <formula>0.9</formula>
    </cfRule>
    <cfRule type="cellIs" dxfId="4832" priority="2156" operator="greaterThan">
      <formula>0.85</formula>
    </cfRule>
  </conditionalFormatting>
  <conditionalFormatting sqref="N37">
    <cfRule type="cellIs" dxfId="4831" priority="2137" operator="greaterThan">
      <formula>0.9</formula>
    </cfRule>
    <cfRule type="cellIs" dxfId="4830" priority="2138" operator="greaterThan">
      <formula>0.85</formula>
    </cfRule>
  </conditionalFormatting>
  <conditionalFormatting sqref="N38">
    <cfRule type="cellIs" dxfId="4829" priority="2119" operator="greaterThan">
      <formula>0.9</formula>
    </cfRule>
    <cfRule type="cellIs" dxfId="4828" priority="2120" operator="greaterThan">
      <formula>0.85</formula>
    </cfRule>
  </conditionalFormatting>
  <conditionalFormatting sqref="N39">
    <cfRule type="cellIs" dxfId="4827" priority="2101" operator="greaterThan">
      <formula>0.9</formula>
    </cfRule>
    <cfRule type="cellIs" dxfId="4826" priority="2102" operator="greaterThan">
      <formula>0.85</formula>
    </cfRule>
  </conditionalFormatting>
  <conditionalFormatting sqref="N40">
    <cfRule type="cellIs" dxfId="4825" priority="2083" operator="greaterThan">
      <formula>0.9</formula>
    </cfRule>
    <cfRule type="cellIs" dxfId="4824" priority="2084" operator="greaterThan">
      <formula>0.85</formula>
    </cfRule>
  </conditionalFormatting>
  <conditionalFormatting sqref="N41">
    <cfRule type="cellIs" dxfId="4823" priority="2065" operator="greaterThan">
      <formula>0.9</formula>
    </cfRule>
    <cfRule type="cellIs" dxfId="4822" priority="2066" operator="greaterThan">
      <formula>0.85</formula>
    </cfRule>
  </conditionalFormatting>
  <conditionalFormatting sqref="N42">
    <cfRule type="cellIs" dxfId="4821" priority="2047" operator="greaterThan">
      <formula>0.9</formula>
    </cfRule>
    <cfRule type="cellIs" dxfId="4820" priority="2048" operator="greaterThan">
      <formula>0.85</formula>
    </cfRule>
  </conditionalFormatting>
  <conditionalFormatting sqref="N43">
    <cfRule type="cellIs" dxfId="4819" priority="2029" operator="greaterThan">
      <formula>0.9</formula>
    </cfRule>
    <cfRule type="cellIs" dxfId="4818" priority="2030" operator="greaterThan">
      <formula>0.85</formula>
    </cfRule>
  </conditionalFormatting>
  <conditionalFormatting sqref="N44">
    <cfRule type="cellIs" dxfId="4817" priority="2011" operator="greaterThan">
      <formula>0.9</formula>
    </cfRule>
    <cfRule type="cellIs" dxfId="4816" priority="2012" operator="greaterThan">
      <formula>0.85</formula>
    </cfRule>
  </conditionalFormatting>
  <conditionalFormatting sqref="N45">
    <cfRule type="cellIs" dxfId="4815" priority="1993" operator="greaterThan">
      <formula>0.9</formula>
    </cfRule>
    <cfRule type="cellIs" dxfId="4814" priority="1994" operator="greaterThan">
      <formula>0.85</formula>
    </cfRule>
  </conditionalFormatting>
  <conditionalFormatting sqref="N46">
    <cfRule type="cellIs" dxfId="4813" priority="1975" operator="greaterThan">
      <formula>0.9</formula>
    </cfRule>
    <cfRule type="cellIs" dxfId="4812" priority="1976" operator="greaterThan">
      <formula>0.85</formula>
    </cfRule>
  </conditionalFormatting>
  <conditionalFormatting sqref="N47">
    <cfRule type="cellIs" dxfId="4811" priority="1957" operator="greaterThan">
      <formula>0.9</formula>
    </cfRule>
    <cfRule type="cellIs" dxfId="4810" priority="1958" operator="greaterThan">
      <formula>0.85</formula>
    </cfRule>
  </conditionalFormatting>
  <conditionalFormatting sqref="N48">
    <cfRule type="cellIs" dxfId="4809" priority="1939" operator="greaterThan">
      <formula>0.9</formula>
    </cfRule>
    <cfRule type="cellIs" dxfId="4808" priority="1940" operator="greaterThan">
      <formula>0.85</formula>
    </cfRule>
  </conditionalFormatting>
  <conditionalFormatting sqref="N49">
    <cfRule type="cellIs" dxfId="4807" priority="1921" operator="greaterThan">
      <formula>0.9</formula>
    </cfRule>
    <cfRule type="cellIs" dxfId="4806" priority="1922" operator="greaterThan">
      <formula>0.85</formula>
    </cfRule>
  </conditionalFormatting>
  <conditionalFormatting sqref="N50">
    <cfRule type="cellIs" dxfId="4805" priority="1885" operator="greaterThan">
      <formula>0.9</formula>
    </cfRule>
    <cfRule type="cellIs" dxfId="4804" priority="1886" operator="greaterThan">
      <formula>0.85</formula>
    </cfRule>
  </conditionalFormatting>
  <conditionalFormatting sqref="N51">
    <cfRule type="cellIs" dxfId="4803" priority="1867" operator="greaterThan">
      <formula>0.9</formula>
    </cfRule>
    <cfRule type="cellIs" dxfId="4802" priority="1868" operator="greaterThan">
      <formula>0.85</formula>
    </cfRule>
  </conditionalFormatting>
  <conditionalFormatting sqref="N52">
    <cfRule type="cellIs" dxfId="4801" priority="1849" operator="greaterThan">
      <formula>0.9</formula>
    </cfRule>
    <cfRule type="cellIs" dxfId="4800" priority="1850" operator="greaterThan">
      <formula>0.85</formula>
    </cfRule>
  </conditionalFormatting>
  <conditionalFormatting sqref="N53">
    <cfRule type="cellIs" dxfId="4799" priority="1831" operator="greaterThan">
      <formula>0.9</formula>
    </cfRule>
    <cfRule type="cellIs" dxfId="4798" priority="1832" operator="greaterThan">
      <formula>0.85</formula>
    </cfRule>
  </conditionalFormatting>
  <conditionalFormatting sqref="N54">
    <cfRule type="cellIs" dxfId="4797" priority="1813" operator="greaterThan">
      <formula>0.9</formula>
    </cfRule>
    <cfRule type="cellIs" dxfId="4796" priority="1814" operator="greaterThan">
      <formula>0.85</formula>
    </cfRule>
  </conditionalFormatting>
  <conditionalFormatting sqref="N55">
    <cfRule type="cellIs" dxfId="4795" priority="1795" operator="greaterThan">
      <formula>0.9</formula>
    </cfRule>
    <cfRule type="cellIs" dxfId="4794" priority="1796" operator="greaterThan">
      <formula>0.85</formula>
    </cfRule>
  </conditionalFormatting>
  <conditionalFormatting sqref="N56">
    <cfRule type="cellIs" dxfId="4793" priority="1777" operator="greaterThan">
      <formula>0.9</formula>
    </cfRule>
    <cfRule type="cellIs" dxfId="4792" priority="1778" operator="greaterThan">
      <formula>0.85</formula>
    </cfRule>
  </conditionalFormatting>
  <conditionalFormatting sqref="N57">
    <cfRule type="cellIs" dxfId="4791" priority="1759" operator="greaterThan">
      <formula>0.9</formula>
    </cfRule>
    <cfRule type="cellIs" dxfId="4790" priority="1760" operator="greaterThan">
      <formula>0.85</formula>
    </cfRule>
  </conditionalFormatting>
  <conditionalFormatting sqref="N58">
    <cfRule type="cellIs" dxfId="4789" priority="1741" operator="greaterThan">
      <formula>0.9</formula>
    </cfRule>
    <cfRule type="cellIs" dxfId="4788" priority="1742" operator="greaterThan">
      <formula>0.85</formula>
    </cfRule>
  </conditionalFormatting>
  <conditionalFormatting sqref="N59">
    <cfRule type="cellIs" dxfId="4787" priority="1723" operator="greaterThan">
      <formula>0.9</formula>
    </cfRule>
    <cfRule type="cellIs" dxfId="4786" priority="1724" operator="greaterThan">
      <formula>0.85</formula>
    </cfRule>
  </conditionalFormatting>
  <conditionalFormatting sqref="N60">
    <cfRule type="cellIs" dxfId="4785" priority="1705" operator="greaterThan">
      <formula>0.9</formula>
    </cfRule>
    <cfRule type="cellIs" dxfId="4784" priority="1706" operator="greaterThan">
      <formula>0.85</formula>
    </cfRule>
  </conditionalFormatting>
  <conditionalFormatting sqref="N61">
    <cfRule type="cellIs" dxfId="4783" priority="1687" operator="greaterThan">
      <formula>0.9</formula>
    </cfRule>
    <cfRule type="cellIs" dxfId="4782" priority="1688" operator="greaterThan">
      <formula>0.85</formula>
    </cfRule>
  </conditionalFormatting>
  <conditionalFormatting sqref="N62">
    <cfRule type="cellIs" dxfId="4781" priority="1669" operator="greaterThan">
      <formula>0.9</formula>
    </cfRule>
    <cfRule type="cellIs" dxfId="4780" priority="1670" operator="greaterThan">
      <formula>0.85</formula>
    </cfRule>
  </conditionalFormatting>
  <conditionalFormatting sqref="N63">
    <cfRule type="cellIs" dxfId="4779" priority="1651" operator="greaterThan">
      <formula>0.9</formula>
    </cfRule>
    <cfRule type="cellIs" dxfId="4778" priority="1652" operator="greaterThan">
      <formula>0.85</formula>
    </cfRule>
  </conditionalFormatting>
  <conditionalFormatting sqref="N64">
    <cfRule type="cellIs" dxfId="4777" priority="1633" operator="greaterThan">
      <formula>0.9</formula>
    </cfRule>
    <cfRule type="cellIs" dxfId="4776" priority="1634" operator="greaterThan">
      <formula>0.85</formula>
    </cfRule>
  </conditionalFormatting>
  <conditionalFormatting sqref="N65">
    <cfRule type="cellIs" dxfId="4775" priority="1615" operator="greaterThan">
      <formula>0.9</formula>
    </cfRule>
    <cfRule type="cellIs" dxfId="4774" priority="1616" operator="greaterThan">
      <formula>0.85</formula>
    </cfRule>
  </conditionalFormatting>
  <conditionalFormatting sqref="N66">
    <cfRule type="cellIs" dxfId="4773" priority="1597" operator="greaterThan">
      <formula>0.9</formula>
    </cfRule>
    <cfRule type="cellIs" dxfId="4772" priority="1598" operator="greaterThan">
      <formula>0.85</formula>
    </cfRule>
  </conditionalFormatting>
  <conditionalFormatting sqref="N67">
    <cfRule type="cellIs" dxfId="4771" priority="1579" operator="greaterThan">
      <formula>0.9</formula>
    </cfRule>
    <cfRule type="cellIs" dxfId="4770" priority="1580" operator="greaterThan">
      <formula>0.85</formula>
    </cfRule>
  </conditionalFormatting>
  <conditionalFormatting sqref="N68">
    <cfRule type="cellIs" dxfId="4769" priority="1561" operator="greaterThan">
      <formula>0.9</formula>
    </cfRule>
    <cfRule type="cellIs" dxfId="4768" priority="1562" operator="greaterThan">
      <formula>0.85</formula>
    </cfRule>
  </conditionalFormatting>
  <conditionalFormatting sqref="N69">
    <cfRule type="cellIs" dxfId="4767" priority="1543" operator="greaterThan">
      <formula>0.9</formula>
    </cfRule>
    <cfRule type="cellIs" dxfId="4766" priority="1544" operator="greaterThan">
      <formula>0.85</formula>
    </cfRule>
  </conditionalFormatting>
  <conditionalFormatting sqref="N70">
    <cfRule type="cellIs" dxfId="4765" priority="1525" operator="greaterThan">
      <formula>0.9</formula>
    </cfRule>
    <cfRule type="cellIs" dxfId="4764" priority="1526" operator="greaterThan">
      <formula>0.85</formula>
    </cfRule>
  </conditionalFormatting>
  <conditionalFormatting sqref="N71">
    <cfRule type="cellIs" dxfId="4763" priority="1507" operator="greaterThan">
      <formula>0.9</formula>
    </cfRule>
    <cfRule type="cellIs" dxfId="4762" priority="1508" operator="greaterThan">
      <formula>0.85</formula>
    </cfRule>
  </conditionalFormatting>
  <conditionalFormatting sqref="N72">
    <cfRule type="cellIs" dxfId="4761" priority="1489" operator="greaterThan">
      <formula>0.9</formula>
    </cfRule>
    <cfRule type="cellIs" dxfId="4760" priority="1490" operator="greaterThan">
      <formula>0.85</formula>
    </cfRule>
  </conditionalFormatting>
  <conditionalFormatting sqref="N73">
    <cfRule type="cellIs" dxfId="4759" priority="1471" operator="greaterThan">
      <formula>0.9</formula>
    </cfRule>
    <cfRule type="cellIs" dxfId="4758" priority="1472" operator="greaterThan">
      <formula>0.85</formula>
    </cfRule>
  </conditionalFormatting>
  <conditionalFormatting sqref="N74">
    <cfRule type="cellIs" dxfId="4757" priority="1453" operator="greaterThan">
      <formula>0.9</formula>
    </cfRule>
    <cfRule type="cellIs" dxfId="4756" priority="1454" operator="greaterThan">
      <formula>0.85</formula>
    </cfRule>
  </conditionalFormatting>
  <conditionalFormatting sqref="N75">
    <cfRule type="cellIs" dxfId="4755" priority="1435" operator="greaterThan">
      <formula>0.9</formula>
    </cfRule>
    <cfRule type="cellIs" dxfId="4754" priority="1436" operator="greaterThan">
      <formula>0.85</formula>
    </cfRule>
  </conditionalFormatting>
  <conditionalFormatting sqref="N76">
    <cfRule type="cellIs" dxfId="4753" priority="1417" operator="greaterThan">
      <formula>0.9</formula>
    </cfRule>
    <cfRule type="cellIs" dxfId="4752" priority="1418" operator="greaterThan">
      <formula>0.85</formula>
    </cfRule>
  </conditionalFormatting>
  <conditionalFormatting sqref="N77">
    <cfRule type="cellIs" dxfId="4751" priority="1399" operator="greaterThan">
      <formula>0.9</formula>
    </cfRule>
    <cfRule type="cellIs" dxfId="4750" priority="1400" operator="greaterThan">
      <formula>0.85</formula>
    </cfRule>
  </conditionalFormatting>
  <conditionalFormatting sqref="N78">
    <cfRule type="cellIs" dxfId="4749" priority="1381" operator="greaterThan">
      <formula>0.9</formula>
    </cfRule>
    <cfRule type="cellIs" dxfId="4748" priority="1382" operator="greaterThan">
      <formula>0.85</formula>
    </cfRule>
  </conditionalFormatting>
  <conditionalFormatting sqref="N79">
    <cfRule type="cellIs" dxfId="4747" priority="1363" operator="greaterThan">
      <formula>0.9</formula>
    </cfRule>
    <cfRule type="cellIs" dxfId="4746" priority="1364" operator="greaterThan">
      <formula>0.85</formula>
    </cfRule>
  </conditionalFormatting>
  <conditionalFormatting sqref="N80">
    <cfRule type="cellIs" dxfId="4745" priority="1345" operator="greaterThan">
      <formula>0.9</formula>
    </cfRule>
    <cfRule type="cellIs" dxfId="4744" priority="1346" operator="greaterThan">
      <formula>0.85</formula>
    </cfRule>
  </conditionalFormatting>
  <conditionalFormatting sqref="N81">
    <cfRule type="cellIs" dxfId="4743" priority="1327" operator="greaterThan">
      <formula>0.9</formula>
    </cfRule>
    <cfRule type="cellIs" dxfId="4742" priority="1328" operator="greaterThan">
      <formula>0.85</formula>
    </cfRule>
  </conditionalFormatting>
  <conditionalFormatting sqref="N82">
    <cfRule type="cellIs" dxfId="4741" priority="1291" operator="greaterThan">
      <formula>0.9</formula>
    </cfRule>
    <cfRule type="cellIs" dxfId="4740" priority="1292" operator="greaterThan">
      <formula>0.85</formula>
    </cfRule>
  </conditionalFormatting>
  <conditionalFormatting sqref="N83">
    <cfRule type="cellIs" dxfId="4739" priority="1273" operator="greaterThan">
      <formula>0.9</formula>
    </cfRule>
    <cfRule type="cellIs" dxfId="4738" priority="1274" operator="greaterThan">
      <formula>0.85</formula>
    </cfRule>
  </conditionalFormatting>
  <conditionalFormatting sqref="N84">
    <cfRule type="cellIs" dxfId="4737" priority="1255" operator="greaterThan">
      <formula>0.9</formula>
    </cfRule>
    <cfRule type="cellIs" dxfId="4736" priority="1256" operator="greaterThan">
      <formula>0.85</formula>
    </cfRule>
  </conditionalFormatting>
  <conditionalFormatting sqref="N85">
    <cfRule type="cellIs" dxfId="4735" priority="1219" operator="greaterThan">
      <formula>0.9</formula>
    </cfRule>
    <cfRule type="cellIs" dxfId="4734" priority="1220" operator="greaterThan">
      <formula>0.85</formula>
    </cfRule>
  </conditionalFormatting>
  <conditionalFormatting sqref="N86">
    <cfRule type="cellIs" dxfId="4733" priority="1201" operator="greaterThan">
      <formula>0.9</formula>
    </cfRule>
    <cfRule type="cellIs" dxfId="4732" priority="1202" operator="greaterThan">
      <formula>0.85</formula>
    </cfRule>
  </conditionalFormatting>
  <conditionalFormatting sqref="N87">
    <cfRule type="cellIs" dxfId="4731" priority="1183" operator="greaterThan">
      <formula>0.9</formula>
    </cfRule>
    <cfRule type="cellIs" dxfId="4730" priority="1184" operator="greaterThan">
      <formula>0.85</formula>
    </cfRule>
  </conditionalFormatting>
  <conditionalFormatting sqref="N88">
    <cfRule type="cellIs" dxfId="4729" priority="1165" operator="greaterThan">
      <formula>0.9</formula>
    </cfRule>
    <cfRule type="cellIs" dxfId="4728" priority="1166" operator="greaterThan">
      <formula>0.85</formula>
    </cfRule>
  </conditionalFormatting>
  <conditionalFormatting sqref="N89">
    <cfRule type="cellIs" dxfId="4727" priority="1147" operator="greaterThan">
      <formula>0.9</formula>
    </cfRule>
    <cfRule type="cellIs" dxfId="4726" priority="1148" operator="greaterThan">
      <formula>0.85</formula>
    </cfRule>
  </conditionalFormatting>
  <conditionalFormatting sqref="N90">
    <cfRule type="cellIs" dxfId="4725" priority="1129" operator="greaterThan">
      <formula>0.9</formula>
    </cfRule>
    <cfRule type="cellIs" dxfId="4724" priority="1130" operator="greaterThan">
      <formula>0.85</formula>
    </cfRule>
  </conditionalFormatting>
  <conditionalFormatting sqref="N91">
    <cfRule type="cellIs" dxfId="4723" priority="1111" operator="greaterThan">
      <formula>0.9</formula>
    </cfRule>
    <cfRule type="cellIs" dxfId="4722" priority="1112" operator="greaterThan">
      <formula>0.85</formula>
    </cfRule>
  </conditionalFormatting>
  <conditionalFormatting sqref="N92">
    <cfRule type="cellIs" dxfId="4721" priority="1093" operator="greaterThan">
      <formula>0.9</formula>
    </cfRule>
    <cfRule type="cellIs" dxfId="4720" priority="1094" operator="greaterThan">
      <formula>0.85</formula>
    </cfRule>
  </conditionalFormatting>
  <conditionalFormatting sqref="N93">
    <cfRule type="cellIs" dxfId="4719" priority="1075" operator="greaterThan">
      <formula>0.9</formula>
    </cfRule>
    <cfRule type="cellIs" dxfId="4718" priority="1076" operator="greaterThan">
      <formula>0.85</formula>
    </cfRule>
  </conditionalFormatting>
  <conditionalFormatting sqref="N94">
    <cfRule type="cellIs" dxfId="4717" priority="1057" operator="greaterThan">
      <formula>0.9</formula>
    </cfRule>
    <cfRule type="cellIs" dxfId="4716" priority="1058" operator="greaterThan">
      <formula>0.85</formula>
    </cfRule>
  </conditionalFormatting>
  <conditionalFormatting sqref="N95">
    <cfRule type="cellIs" dxfId="4715" priority="1039" operator="greaterThan">
      <formula>0.9</formula>
    </cfRule>
    <cfRule type="cellIs" dxfId="4714" priority="1040" operator="greaterThan">
      <formula>0.85</formula>
    </cfRule>
  </conditionalFormatting>
  <conditionalFormatting sqref="N96">
    <cfRule type="cellIs" dxfId="4713" priority="1021" operator="greaterThan">
      <formula>0.9</formula>
    </cfRule>
    <cfRule type="cellIs" dxfId="4712" priority="1022" operator="greaterThan">
      <formula>0.85</formula>
    </cfRule>
  </conditionalFormatting>
  <conditionalFormatting sqref="N97">
    <cfRule type="cellIs" dxfId="4711" priority="1003" operator="greaterThan">
      <formula>0.9</formula>
    </cfRule>
    <cfRule type="cellIs" dxfId="4710" priority="1004" operator="greaterThan">
      <formula>0.85</formula>
    </cfRule>
  </conditionalFormatting>
  <conditionalFormatting sqref="N98">
    <cfRule type="cellIs" dxfId="4709" priority="985" operator="greaterThan">
      <formula>0.9</formula>
    </cfRule>
    <cfRule type="cellIs" dxfId="4708" priority="986" operator="greaterThan">
      <formula>0.85</formula>
    </cfRule>
  </conditionalFormatting>
  <conditionalFormatting sqref="N99">
    <cfRule type="cellIs" dxfId="4707" priority="967" operator="greaterThan">
      <formula>0.9</formula>
    </cfRule>
    <cfRule type="cellIs" dxfId="4706" priority="968" operator="greaterThan">
      <formula>0.85</formula>
    </cfRule>
  </conditionalFormatting>
  <conditionalFormatting sqref="N100">
    <cfRule type="cellIs" dxfId="4705" priority="949" operator="greaterThan">
      <formula>0.9</formula>
    </cfRule>
    <cfRule type="cellIs" dxfId="4704" priority="950" operator="greaterThan">
      <formula>0.85</formula>
    </cfRule>
  </conditionalFormatting>
  <conditionalFormatting sqref="N101">
    <cfRule type="cellIs" dxfId="4703" priority="931" operator="greaterThan">
      <formula>0.9</formula>
    </cfRule>
    <cfRule type="cellIs" dxfId="4702" priority="932" operator="greaterThan">
      <formula>0.85</formula>
    </cfRule>
  </conditionalFormatting>
  <conditionalFormatting sqref="N102">
    <cfRule type="cellIs" dxfId="4701" priority="913" operator="greaterThan">
      <formula>0.9</formula>
    </cfRule>
    <cfRule type="cellIs" dxfId="4700" priority="914" operator="greaterThan">
      <formula>0.85</formula>
    </cfRule>
  </conditionalFormatting>
  <conditionalFormatting sqref="N103">
    <cfRule type="cellIs" dxfId="4699" priority="895" operator="greaterThan">
      <formula>0.9</formula>
    </cfRule>
    <cfRule type="cellIs" dxfId="4698" priority="896" operator="greaterThan">
      <formula>0.85</formula>
    </cfRule>
  </conditionalFormatting>
  <conditionalFormatting sqref="N104">
    <cfRule type="cellIs" dxfId="4697" priority="877" operator="greaterThan">
      <formula>0.9</formula>
    </cfRule>
    <cfRule type="cellIs" dxfId="4696" priority="878" operator="greaterThan">
      <formula>0.85</formula>
    </cfRule>
  </conditionalFormatting>
  <conditionalFormatting sqref="N105">
    <cfRule type="cellIs" dxfId="4695" priority="859" operator="greaterThan">
      <formula>0.9</formula>
    </cfRule>
    <cfRule type="cellIs" dxfId="4694" priority="860" operator="greaterThan">
      <formula>0.85</formula>
    </cfRule>
  </conditionalFormatting>
  <conditionalFormatting sqref="N106">
    <cfRule type="cellIs" dxfId="4693" priority="841" operator="greaterThan">
      <formula>0.9</formula>
    </cfRule>
    <cfRule type="cellIs" dxfId="4692" priority="842" operator="greaterThan">
      <formula>0.85</formula>
    </cfRule>
  </conditionalFormatting>
  <conditionalFormatting sqref="N107">
    <cfRule type="cellIs" dxfId="4691" priority="823" operator="greaterThan">
      <formula>0.9</formula>
    </cfRule>
    <cfRule type="cellIs" dxfId="4690" priority="824" operator="greaterThan">
      <formula>0.85</formula>
    </cfRule>
  </conditionalFormatting>
  <conditionalFormatting sqref="N108">
    <cfRule type="cellIs" dxfId="4689" priority="805" operator="greaterThan">
      <formula>0.9</formula>
    </cfRule>
    <cfRule type="cellIs" dxfId="4688" priority="806" operator="greaterThan">
      <formula>0.85</formula>
    </cfRule>
  </conditionalFormatting>
  <conditionalFormatting sqref="N109">
    <cfRule type="cellIs" dxfId="4687" priority="787" operator="greaterThan">
      <formula>0.9</formula>
    </cfRule>
    <cfRule type="cellIs" dxfId="4686" priority="788" operator="greaterThan">
      <formula>0.85</formula>
    </cfRule>
  </conditionalFormatting>
  <conditionalFormatting sqref="N110">
    <cfRule type="cellIs" dxfId="4685" priority="751" operator="greaterThan">
      <formula>0.9</formula>
    </cfRule>
    <cfRule type="cellIs" dxfId="4684" priority="752" operator="greaterThan">
      <formula>0.85</formula>
    </cfRule>
  </conditionalFormatting>
  <conditionalFormatting sqref="N111">
    <cfRule type="cellIs" dxfId="4683" priority="733" operator="greaterThan">
      <formula>0.9</formula>
    </cfRule>
    <cfRule type="cellIs" dxfId="4682" priority="734" operator="greaterThan">
      <formula>0.85</formula>
    </cfRule>
  </conditionalFormatting>
  <conditionalFormatting sqref="N112">
    <cfRule type="cellIs" dxfId="4681" priority="715" operator="greaterThan">
      <formula>0.9</formula>
    </cfRule>
    <cfRule type="cellIs" dxfId="4680" priority="716" operator="greaterThan">
      <formula>0.85</formula>
    </cfRule>
  </conditionalFormatting>
  <conditionalFormatting sqref="N113">
    <cfRule type="cellIs" dxfId="4679" priority="697" operator="greaterThan">
      <formula>0.9</formula>
    </cfRule>
    <cfRule type="cellIs" dxfId="4678" priority="698" operator="greaterThan">
      <formula>0.85</formula>
    </cfRule>
  </conditionalFormatting>
  <conditionalFormatting sqref="N114">
    <cfRule type="cellIs" dxfId="4677" priority="679" operator="greaterThan">
      <formula>0.9</formula>
    </cfRule>
    <cfRule type="cellIs" dxfId="4676" priority="680" operator="greaterThan">
      <formula>0.85</formula>
    </cfRule>
  </conditionalFormatting>
  <conditionalFormatting sqref="N115">
    <cfRule type="cellIs" dxfId="4675" priority="661" operator="greaterThan">
      <formula>0.9</formula>
    </cfRule>
    <cfRule type="cellIs" dxfId="4674" priority="662" operator="greaterThan">
      <formula>0.85</formula>
    </cfRule>
  </conditionalFormatting>
  <conditionalFormatting sqref="N116">
    <cfRule type="cellIs" dxfId="4673" priority="643" operator="greaterThan">
      <formula>0.9</formula>
    </cfRule>
    <cfRule type="cellIs" dxfId="4672" priority="644" operator="greaterThan">
      <formula>0.85</formula>
    </cfRule>
  </conditionalFormatting>
  <conditionalFormatting sqref="N117">
    <cfRule type="cellIs" dxfId="4671" priority="625" operator="greaterThan">
      <formula>0.9</formula>
    </cfRule>
    <cfRule type="cellIs" dxfId="4670" priority="626" operator="greaterThan">
      <formula>0.85</formula>
    </cfRule>
  </conditionalFormatting>
  <conditionalFormatting sqref="N118">
    <cfRule type="cellIs" dxfId="4669" priority="607" operator="greaterThan">
      <formula>0.9</formula>
    </cfRule>
    <cfRule type="cellIs" dxfId="4668" priority="608" operator="greaterThan">
      <formula>0.85</formula>
    </cfRule>
  </conditionalFormatting>
  <conditionalFormatting sqref="N119">
    <cfRule type="cellIs" dxfId="4667" priority="589" operator="greaterThan">
      <formula>0.9</formula>
    </cfRule>
    <cfRule type="cellIs" dxfId="4666" priority="590" operator="greaterThan">
      <formula>0.85</formula>
    </cfRule>
  </conditionalFormatting>
  <conditionalFormatting sqref="N120">
    <cfRule type="cellIs" dxfId="4665" priority="571" operator="greaterThan">
      <formula>0.9</formula>
    </cfRule>
    <cfRule type="cellIs" dxfId="4664" priority="572" operator="greaterThan">
      <formula>0.85</formula>
    </cfRule>
  </conditionalFormatting>
  <conditionalFormatting sqref="N121">
    <cfRule type="cellIs" dxfId="4663" priority="553" operator="greaterThan">
      <formula>0.9</formula>
    </cfRule>
    <cfRule type="cellIs" dxfId="4662" priority="554" operator="greaterThan">
      <formula>0.85</formula>
    </cfRule>
  </conditionalFormatting>
  <conditionalFormatting sqref="N122">
    <cfRule type="cellIs" dxfId="4661" priority="535" operator="greaterThan">
      <formula>0.9</formula>
    </cfRule>
    <cfRule type="cellIs" dxfId="4660" priority="536" operator="greaterThan">
      <formula>0.85</formula>
    </cfRule>
  </conditionalFormatting>
  <conditionalFormatting sqref="N123">
    <cfRule type="cellIs" dxfId="4659" priority="517" operator="greaterThan">
      <formula>0.9</formula>
    </cfRule>
    <cfRule type="cellIs" dxfId="4658" priority="518" operator="greaterThan">
      <formula>0.85</formula>
    </cfRule>
  </conditionalFormatting>
  <conditionalFormatting sqref="N124">
    <cfRule type="cellIs" dxfId="4657" priority="499" operator="greaterThan">
      <formula>0.9</formula>
    </cfRule>
    <cfRule type="cellIs" dxfId="4656" priority="500" operator="greaterThan">
      <formula>0.85</formula>
    </cfRule>
  </conditionalFormatting>
  <conditionalFormatting sqref="N125">
    <cfRule type="cellIs" dxfId="4655" priority="481" operator="greaterThan">
      <formula>0.9</formula>
    </cfRule>
    <cfRule type="cellIs" dxfId="4654" priority="482" operator="greaterThan">
      <formula>0.85</formula>
    </cfRule>
  </conditionalFormatting>
  <conditionalFormatting sqref="N126">
    <cfRule type="cellIs" dxfId="4653" priority="463" operator="greaterThan">
      <formula>0.9</formula>
    </cfRule>
    <cfRule type="cellIs" dxfId="4652" priority="464" operator="greaterThan">
      <formula>0.85</formula>
    </cfRule>
  </conditionalFormatting>
  <conditionalFormatting sqref="N127">
    <cfRule type="cellIs" dxfId="4651" priority="445" operator="greaterThan">
      <formula>0.9</formula>
    </cfRule>
    <cfRule type="cellIs" dxfId="4650" priority="446" operator="greaterThan">
      <formula>0.85</formula>
    </cfRule>
  </conditionalFormatting>
  <conditionalFormatting sqref="N128">
    <cfRule type="cellIs" dxfId="4649" priority="427" operator="greaterThan">
      <formula>0.9</formula>
    </cfRule>
    <cfRule type="cellIs" dxfId="4648" priority="428" operator="greaterThan">
      <formula>0.85</formula>
    </cfRule>
  </conditionalFormatting>
  <conditionalFormatting sqref="N129">
    <cfRule type="cellIs" dxfId="4647" priority="409" operator="greaterThan">
      <formula>0.9</formula>
    </cfRule>
    <cfRule type="cellIs" dxfId="4646" priority="410" operator="greaterThan">
      <formula>0.85</formula>
    </cfRule>
  </conditionalFormatting>
  <conditionalFormatting sqref="N130">
    <cfRule type="cellIs" dxfId="4645" priority="391" operator="greaterThan">
      <formula>0.9</formula>
    </cfRule>
    <cfRule type="cellIs" dxfId="4644" priority="392" operator="greaterThan">
      <formula>0.85</formula>
    </cfRule>
  </conditionalFormatting>
  <conditionalFormatting sqref="N131">
    <cfRule type="cellIs" dxfId="4643" priority="373" operator="greaterThan">
      <formula>0.9</formula>
    </cfRule>
    <cfRule type="cellIs" dxfId="4642" priority="374" operator="greaterThan">
      <formula>0.85</formula>
    </cfRule>
  </conditionalFormatting>
  <conditionalFormatting sqref="N132">
    <cfRule type="cellIs" dxfId="4641" priority="355" operator="greaterThan">
      <formula>0.9</formula>
    </cfRule>
    <cfRule type="cellIs" dxfId="4640" priority="356" operator="greaterThan">
      <formula>0.85</formula>
    </cfRule>
  </conditionalFormatting>
  <conditionalFormatting sqref="N133">
    <cfRule type="cellIs" dxfId="4639" priority="337" operator="greaterThan">
      <formula>0.9</formula>
    </cfRule>
    <cfRule type="cellIs" dxfId="4638" priority="338" operator="greaterThan">
      <formula>0.85</formula>
    </cfRule>
  </conditionalFormatting>
  <conditionalFormatting sqref="N134">
    <cfRule type="cellIs" dxfId="4637" priority="319" operator="greaterThan">
      <formula>0.9</formula>
    </cfRule>
    <cfRule type="cellIs" dxfId="4636" priority="320" operator="greaterThan">
      <formula>0.85</formula>
    </cfRule>
  </conditionalFormatting>
  <conditionalFormatting sqref="N135">
    <cfRule type="cellIs" dxfId="4635" priority="301" operator="greaterThan">
      <formula>0.9</formula>
    </cfRule>
    <cfRule type="cellIs" dxfId="4634" priority="302" operator="greaterThan">
      <formula>0.85</formula>
    </cfRule>
  </conditionalFormatting>
  <conditionalFormatting sqref="N136">
    <cfRule type="cellIs" dxfId="4633" priority="283" operator="greaterThan">
      <formula>0.9</formula>
    </cfRule>
    <cfRule type="cellIs" dxfId="4632" priority="284" operator="greaterThan">
      <formula>0.85</formula>
    </cfRule>
  </conditionalFormatting>
  <conditionalFormatting sqref="N137">
    <cfRule type="cellIs" dxfId="4631" priority="265" operator="greaterThan">
      <formula>0.9</formula>
    </cfRule>
    <cfRule type="cellIs" dxfId="4630" priority="266" operator="greaterThan">
      <formula>0.85</formula>
    </cfRule>
  </conditionalFormatting>
  <conditionalFormatting sqref="N138">
    <cfRule type="cellIs" dxfId="4629" priority="247" operator="greaterThan">
      <formula>0.9</formula>
    </cfRule>
    <cfRule type="cellIs" dxfId="4628" priority="248" operator="greaterThan">
      <formula>0.85</formula>
    </cfRule>
  </conditionalFormatting>
  <conditionalFormatting sqref="N139">
    <cfRule type="cellIs" dxfId="4627" priority="229" operator="greaterThan">
      <formula>0.9</formula>
    </cfRule>
    <cfRule type="cellIs" dxfId="4626" priority="230" operator="greaterThan">
      <formula>0.85</formula>
    </cfRule>
  </conditionalFormatting>
  <conditionalFormatting sqref="N140">
    <cfRule type="cellIs" dxfId="4625" priority="211" operator="greaterThan">
      <formula>0.9</formula>
    </cfRule>
    <cfRule type="cellIs" dxfId="4624" priority="212" operator="greaterThan">
      <formula>0.85</formula>
    </cfRule>
  </conditionalFormatting>
  <conditionalFormatting sqref="N141">
    <cfRule type="cellIs" dxfId="4623" priority="193" operator="greaterThan">
      <formula>0.9</formula>
    </cfRule>
    <cfRule type="cellIs" dxfId="4622" priority="194" operator="greaterThan">
      <formula>0.85</formula>
    </cfRule>
  </conditionalFormatting>
  <conditionalFormatting sqref="N142">
    <cfRule type="cellIs" dxfId="4621" priority="175" operator="greaterThan">
      <formula>0.9</formula>
    </cfRule>
    <cfRule type="cellIs" dxfId="4620" priority="176" operator="greaterThan">
      <formula>0.85</formula>
    </cfRule>
  </conditionalFormatting>
  <conditionalFormatting sqref="N143">
    <cfRule type="cellIs" dxfId="4619" priority="157" operator="greaterThan">
      <formula>0.9</formula>
    </cfRule>
    <cfRule type="cellIs" dxfId="4618" priority="158" operator="greaterThan">
      <formula>0.85</formula>
    </cfRule>
  </conditionalFormatting>
  <conditionalFormatting sqref="N144">
    <cfRule type="cellIs" dxfId="4617" priority="139" operator="greaterThan">
      <formula>0.9</formula>
    </cfRule>
    <cfRule type="cellIs" dxfId="4616" priority="140" operator="greaterThan">
      <formula>0.85</formula>
    </cfRule>
  </conditionalFormatting>
  <conditionalFormatting sqref="N145">
    <cfRule type="cellIs" dxfId="4615" priority="121" operator="greaterThan">
      <formula>0.9</formula>
    </cfRule>
    <cfRule type="cellIs" dxfId="4614" priority="122" operator="greaterThan">
      <formula>0.85</formula>
    </cfRule>
  </conditionalFormatting>
  <conditionalFormatting sqref="N146">
    <cfRule type="cellIs" dxfId="4613" priority="103" operator="greaterThan">
      <formula>0.9</formula>
    </cfRule>
    <cfRule type="cellIs" dxfId="4612" priority="104" operator="greaterThan">
      <formula>0.85</formula>
    </cfRule>
  </conditionalFormatting>
  <conditionalFormatting sqref="N147">
    <cfRule type="cellIs" dxfId="4611" priority="85" operator="greaterThan">
      <formula>0.9</formula>
    </cfRule>
    <cfRule type="cellIs" dxfId="4610" priority="86" operator="greaterThan">
      <formula>0.85</formula>
    </cfRule>
  </conditionalFormatting>
  <conditionalFormatting sqref="N148">
    <cfRule type="cellIs" dxfId="4609" priority="67" operator="greaterThan">
      <formula>0.9</formula>
    </cfRule>
    <cfRule type="cellIs" dxfId="4608" priority="68" operator="greaterThan">
      <formula>0.85</formula>
    </cfRule>
  </conditionalFormatting>
  <conditionalFormatting sqref="N149">
    <cfRule type="cellIs" dxfId="4607" priority="49" operator="greaterThan">
      <formula>0.9</formula>
    </cfRule>
    <cfRule type="cellIs" dxfId="4606" priority="50" operator="greaterThan">
      <formula>0.85</formula>
    </cfRule>
  </conditionalFormatting>
  <conditionalFormatting sqref="N150">
    <cfRule type="cellIs" dxfId="4605" priority="31" operator="greaterThan">
      <formula>0.9</formula>
    </cfRule>
    <cfRule type="cellIs" dxfId="4604" priority="32" operator="greaterThan">
      <formula>0.85</formula>
    </cfRule>
  </conditionalFormatting>
  <conditionalFormatting sqref="E4:E151">
    <cfRule type="expression" dxfId="3" priority="87694">
      <formula>AND(IF(OR($Q4=1,$Q4=2),1,0),IF(#REF!&lt;=20,1,0))</formula>
    </cfRule>
    <cfRule type="expression" dxfId="2" priority="87695">
      <formula>AND(IF($Q4=2,1,0),IF(#REF!&lt;30,1,0))</formula>
    </cfRule>
    <cfRule type="expression" dxfId="1" priority="87696">
      <formula>AND(IF($Q4=3,1,0),IF(#REF!&lt;30,1,0))</formula>
    </cfRule>
    <cfRule type="expression" dxfId="0" priority="8769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E12" sqref="E12"/>
    </sheetView>
  </sheetViews>
  <sheetFormatPr defaultColWidth="17.5" defaultRowHeight="13.5" x14ac:dyDescent="0.3"/>
  <cols>
    <col min="1" max="1" width="4.625" style="79" bestFit="1" customWidth="1"/>
    <col min="2" max="2" width="3.375" style="79" customWidth="1"/>
    <col min="3" max="3" width="4.625" style="79" bestFit="1" customWidth="1"/>
    <col min="4" max="9" width="29.125" style="50" customWidth="1"/>
    <col min="10" max="23" width="25" style="50" customWidth="1"/>
    <col min="24" max="48" width="17.5" style="50" customWidth="1"/>
    <col min="49" max="51" width="17.5" style="79" customWidth="1"/>
    <col min="52" max="16384" width="17.5" style="79"/>
  </cols>
  <sheetData>
    <row r="1" spans="1:48" x14ac:dyDescent="0.3"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x14ac:dyDescent="0.3"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</row>
    <row r="3" spans="1:48" x14ac:dyDescent="0.3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</row>
    <row r="4" spans="1:48" x14ac:dyDescent="0.3">
      <c r="A4" s="119" t="s">
        <v>126</v>
      </c>
      <c r="B4" s="120"/>
      <c r="C4" s="120"/>
      <c r="D4" s="79" t="s">
        <v>127</v>
      </c>
      <c r="E4" s="79" t="s">
        <v>128</v>
      </c>
      <c r="F4" s="79" t="s">
        <v>129</v>
      </c>
      <c r="G4" s="79" t="s">
        <v>130</v>
      </c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119" t="s">
        <v>131</v>
      </c>
      <c r="B5" s="120"/>
      <c r="C5" s="120"/>
    </row>
    <row r="6" spans="1:48" x14ac:dyDescent="0.3">
      <c r="A6" s="119" t="s">
        <v>132</v>
      </c>
      <c r="B6" s="120"/>
      <c r="C6" s="120"/>
    </row>
    <row r="7" spans="1:48" x14ac:dyDescent="0.3">
      <c r="A7" s="51" t="s">
        <v>133</v>
      </c>
      <c r="B7" s="52"/>
      <c r="C7" s="53"/>
      <c r="D7" s="54" t="str">
        <f t="shared" ref="D7:W7" si="0">D4&amp;IF(D5="","",","&amp;D5)&amp;IF(D6="","",","&amp;D6)</f>
        <v>주성동</v>
      </c>
      <c r="E7" s="54" t="str">
        <f t="shared" si="0"/>
        <v>오창읍</v>
      </c>
      <c r="F7" s="54" t="str">
        <f t="shared" si="0"/>
        <v>율량동</v>
      </c>
      <c r="G7" s="54" t="str">
        <f t="shared" si="0"/>
        <v>내덕동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9">
        <v>8</v>
      </c>
      <c r="B8" s="57" t="s">
        <v>134</v>
      </c>
      <c r="C8" s="10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1">
        <v>7</v>
      </c>
      <c r="B9" s="59" t="s">
        <v>134</v>
      </c>
      <c r="C9" s="10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3">
        <v>6</v>
      </c>
      <c r="B10" s="55" t="s">
        <v>134</v>
      </c>
      <c r="C10" s="104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x14ac:dyDescent="0.3">
      <c r="A11" s="103">
        <v>5</v>
      </c>
      <c r="B11" s="55" t="s">
        <v>134</v>
      </c>
      <c r="C11" s="104">
        <v>6</v>
      </c>
      <c r="D11" s="56" t="s">
        <v>135</v>
      </c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customHeight="1" x14ac:dyDescent="0.3">
      <c r="A12" s="103">
        <v>4</v>
      </c>
      <c r="B12" s="55" t="s">
        <v>134</v>
      </c>
      <c r="C12" s="104">
        <v>5</v>
      </c>
      <c r="D12" s="56" t="s">
        <v>1367</v>
      </c>
      <c r="E12" s="56" t="s">
        <v>1371</v>
      </c>
      <c r="F12" s="56" t="s">
        <v>1369</v>
      </c>
      <c r="G12" s="56" t="s">
        <v>1365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20" customHeight="1" x14ac:dyDescent="0.3">
      <c r="A13" s="105">
        <v>3</v>
      </c>
      <c r="B13" s="60" t="s">
        <v>134</v>
      </c>
      <c r="C13" s="106">
        <v>4</v>
      </c>
      <c r="D13" s="61"/>
      <c r="E13" s="61" t="s">
        <v>1375</v>
      </c>
      <c r="F13" s="61" t="s">
        <v>1373</v>
      </c>
      <c r="G13" s="61" t="s">
        <v>136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60" customHeight="1" x14ac:dyDescent="0.3">
      <c r="A14" s="105">
        <v>2.5</v>
      </c>
      <c r="B14" s="60" t="s">
        <v>134</v>
      </c>
      <c r="C14" s="106">
        <v>3</v>
      </c>
      <c r="D14" s="61"/>
      <c r="E14" s="61" t="s">
        <v>1377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84" customHeight="1" x14ac:dyDescent="0.3">
      <c r="A15" s="105">
        <v>2</v>
      </c>
      <c r="B15" s="60" t="s">
        <v>134</v>
      </c>
      <c r="C15" s="106">
        <v>2.5</v>
      </c>
      <c r="D15" s="61"/>
      <c r="E15" s="61" t="s">
        <v>1378</v>
      </c>
      <c r="F15" s="61" t="s">
        <v>1380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60" customHeight="1" x14ac:dyDescent="0.3">
      <c r="A16" s="107">
        <v>1.5</v>
      </c>
      <c r="B16" s="62" t="s">
        <v>134</v>
      </c>
      <c r="C16" s="108">
        <v>2</v>
      </c>
      <c r="D16" s="63"/>
      <c r="E16" s="63"/>
      <c r="F16" s="63" t="s">
        <v>1383</v>
      </c>
      <c r="G16" s="63" t="s">
        <v>137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36" customHeight="1" x14ac:dyDescent="0.3">
      <c r="A17" s="107">
        <v>1</v>
      </c>
      <c r="B17" s="62" t="s">
        <v>134</v>
      </c>
      <c r="C17" s="108">
        <v>1.5</v>
      </c>
      <c r="D17" s="63"/>
      <c r="E17" s="63"/>
      <c r="F17" s="63" t="s">
        <v>1385</v>
      </c>
      <c r="G17" s="63" t="s">
        <v>138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92</v>
      </c>
      <c r="B20" s="52"/>
      <c r="C20" s="53"/>
      <c r="D20" s="54" t="str">
        <f t="shared" ref="D20:W20" si="1">D7</f>
        <v>주성동</v>
      </c>
      <c r="E20" s="54" t="str">
        <f t="shared" si="1"/>
        <v>오창읍</v>
      </c>
      <c r="F20" s="54" t="str">
        <f t="shared" si="1"/>
        <v>율량동</v>
      </c>
      <c r="G20" s="54" t="str">
        <f t="shared" si="1"/>
        <v>내덕동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9">
        <f t="shared" ref="A21:C30" si="2">IF(A8="","",A8)</f>
        <v>8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1">
        <f t="shared" si="2"/>
        <v>7</v>
      </c>
      <c r="B22" s="59" t="str">
        <f t="shared" si="2"/>
        <v>~</v>
      </c>
      <c r="C22" s="10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3">
        <f t="shared" si="2"/>
        <v>6</v>
      </c>
      <c r="B23" s="55" t="str">
        <f t="shared" si="2"/>
        <v>~</v>
      </c>
      <c r="C23" s="104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x14ac:dyDescent="0.3">
      <c r="A24" s="103">
        <f t="shared" si="2"/>
        <v>5</v>
      </c>
      <c r="B24" s="55" t="str">
        <f t="shared" si="2"/>
        <v>~</v>
      </c>
      <c r="C24" s="104">
        <f t="shared" si="2"/>
        <v>6</v>
      </c>
      <c r="D24" s="56" t="s">
        <v>139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3">
        <f t="shared" si="2"/>
        <v>4</v>
      </c>
      <c r="B25" s="55" t="str">
        <f t="shared" si="2"/>
        <v>~</v>
      </c>
      <c r="C25" s="104">
        <f t="shared" si="2"/>
        <v>5</v>
      </c>
      <c r="D25" s="56" t="s">
        <v>1368</v>
      </c>
      <c r="E25" s="56" t="s">
        <v>1372</v>
      </c>
      <c r="F25" s="56" t="s">
        <v>1370</v>
      </c>
      <c r="G25" s="56" t="s">
        <v>1366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108" customHeight="1" x14ac:dyDescent="0.3">
      <c r="A26" s="105">
        <f t="shared" si="2"/>
        <v>3</v>
      </c>
      <c r="B26" s="60" t="str">
        <f t="shared" si="2"/>
        <v>~</v>
      </c>
      <c r="C26" s="106">
        <f t="shared" si="2"/>
        <v>4</v>
      </c>
      <c r="D26" s="61"/>
      <c r="E26" s="61" t="s">
        <v>1376</v>
      </c>
      <c r="F26" s="61"/>
      <c r="G26" s="61" t="s">
        <v>140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5">
        <f t="shared" si="2"/>
        <v>2.5</v>
      </c>
      <c r="B27" s="60" t="str">
        <f t="shared" si="2"/>
        <v>~</v>
      </c>
      <c r="C27" s="106">
        <f t="shared" si="2"/>
        <v>3</v>
      </c>
      <c r="D27" s="61"/>
      <c r="E27" s="61" t="s">
        <v>141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36" customHeight="1" x14ac:dyDescent="0.3">
      <c r="A28" s="105">
        <f t="shared" si="2"/>
        <v>2</v>
      </c>
      <c r="B28" s="60" t="str">
        <f t="shared" si="2"/>
        <v>~</v>
      </c>
      <c r="C28" s="106">
        <f t="shared" si="2"/>
        <v>2.5</v>
      </c>
      <c r="D28" s="61"/>
      <c r="E28" s="61"/>
      <c r="F28" s="61" t="s">
        <v>1381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36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/>
      <c r="F29" s="63" t="s">
        <v>1382</v>
      </c>
      <c r="G29" s="63" t="s">
        <v>142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143</v>
      </c>
      <c r="B33" s="52"/>
      <c r="C33" s="53"/>
      <c r="D33" s="54" t="str">
        <f t="shared" ref="D33:W33" si="3">D20</f>
        <v>주성동</v>
      </c>
      <c r="E33" s="54" t="str">
        <f t="shared" si="3"/>
        <v>오창읍</v>
      </c>
      <c r="F33" s="54" t="str">
        <f t="shared" si="3"/>
        <v>율량동</v>
      </c>
      <c r="G33" s="54" t="str">
        <f t="shared" si="3"/>
        <v>내덕동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8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7</v>
      </c>
      <c r="B35" s="59" t="str">
        <f t="shared" si="4"/>
        <v>~</v>
      </c>
      <c r="C35" s="10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6</v>
      </c>
      <c r="B36" s="55" t="str">
        <f t="shared" si="4"/>
        <v>~</v>
      </c>
      <c r="C36" s="10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3">
        <f t="shared" si="4"/>
        <v>5</v>
      </c>
      <c r="B37" s="55" t="str">
        <f t="shared" si="4"/>
        <v>~</v>
      </c>
      <c r="C37" s="10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3">
        <f t="shared" si="4"/>
        <v>4</v>
      </c>
      <c r="B38" s="55" t="str">
        <f t="shared" si="4"/>
        <v>~</v>
      </c>
      <c r="C38" s="104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x14ac:dyDescent="0.3">
      <c r="A39" s="105">
        <f t="shared" si="4"/>
        <v>3</v>
      </c>
      <c r="B39" s="60" t="str">
        <f t="shared" si="4"/>
        <v>~</v>
      </c>
      <c r="C39" s="106">
        <f t="shared" si="4"/>
        <v>4</v>
      </c>
      <c r="D39" s="61"/>
      <c r="E39" s="61" t="s">
        <v>144</v>
      </c>
      <c r="F39" s="61" t="s">
        <v>1374</v>
      </c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36" customHeight="1" x14ac:dyDescent="0.3">
      <c r="A40" s="105">
        <f t="shared" si="4"/>
        <v>2.5</v>
      </c>
      <c r="B40" s="60" t="str">
        <f t="shared" si="4"/>
        <v>~</v>
      </c>
      <c r="C40" s="106">
        <f t="shared" si="4"/>
        <v>3</v>
      </c>
      <c r="D40" s="61"/>
      <c r="E40" s="61" t="s">
        <v>145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84" customHeight="1" x14ac:dyDescent="0.3">
      <c r="A41" s="105">
        <f t="shared" si="4"/>
        <v>2</v>
      </c>
      <c r="B41" s="60" t="str">
        <f t="shared" si="4"/>
        <v>~</v>
      </c>
      <c r="C41" s="106">
        <f t="shared" si="4"/>
        <v>2.5</v>
      </c>
      <c r="D41" s="61"/>
      <c r="E41" s="61" t="s">
        <v>1379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60" customHeight="1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/>
      <c r="E42" s="63"/>
      <c r="F42" s="63" t="s">
        <v>1384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/>
      <c r="F43" s="63" t="s">
        <v>1386</v>
      </c>
      <c r="G43" s="63" t="s">
        <v>146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147</v>
      </c>
      <c r="B46" s="52"/>
      <c r="C46" s="53"/>
      <c r="D46" s="54" t="str">
        <f t="shared" ref="D46:W46" si="5">D33</f>
        <v>주성동</v>
      </c>
      <c r="E46" s="54" t="str">
        <f t="shared" si="5"/>
        <v>오창읍</v>
      </c>
      <c r="F46" s="54" t="str">
        <f t="shared" si="5"/>
        <v>율량동</v>
      </c>
      <c r="G46" s="54" t="str">
        <f t="shared" si="5"/>
        <v>내덕동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8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7</v>
      </c>
      <c r="B48" s="59" t="str">
        <f t="shared" si="6"/>
        <v>~</v>
      </c>
      <c r="C48" s="10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3">
        <f t="shared" si="6"/>
        <v>6</v>
      </c>
      <c r="B49" s="55" t="str">
        <f t="shared" si="6"/>
        <v>~</v>
      </c>
      <c r="C49" s="10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3">
        <f t="shared" si="6"/>
        <v>5</v>
      </c>
      <c r="B50" s="55" t="str">
        <f t="shared" si="6"/>
        <v>~</v>
      </c>
      <c r="C50" s="10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3">
        <f t="shared" si="6"/>
        <v>4</v>
      </c>
      <c r="B51" s="55" t="str">
        <f t="shared" si="6"/>
        <v>~</v>
      </c>
      <c r="C51" s="10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5">
        <f t="shared" si="6"/>
        <v>3</v>
      </c>
      <c r="B52" s="60" t="str">
        <f t="shared" si="6"/>
        <v>~</v>
      </c>
      <c r="C52" s="10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2.5</v>
      </c>
      <c r="B53" s="60" t="str">
        <f t="shared" si="6"/>
        <v>~</v>
      </c>
      <c r="C53" s="106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99</v>
      </c>
      <c r="B59" s="52"/>
      <c r="C59" s="53"/>
      <c r="D59" s="54" t="str">
        <f t="shared" ref="D59:W59" si="7">D46</f>
        <v>주성동</v>
      </c>
      <c r="E59" s="54" t="str">
        <f t="shared" si="7"/>
        <v>오창읍</v>
      </c>
      <c r="F59" s="54" t="str">
        <f t="shared" si="7"/>
        <v>율량동</v>
      </c>
      <c r="G59" s="54" t="str">
        <f t="shared" si="7"/>
        <v>내덕동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8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7</v>
      </c>
      <c r="B61" s="59" t="str">
        <f t="shared" si="8"/>
        <v>~</v>
      </c>
      <c r="C61" s="10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6</v>
      </c>
      <c r="B62" s="55" t="str">
        <f t="shared" si="8"/>
        <v>~</v>
      </c>
      <c r="C62" s="10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5</v>
      </c>
      <c r="B63" s="55" t="str">
        <f t="shared" si="8"/>
        <v>~</v>
      </c>
      <c r="C63" s="10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3">
        <f t="shared" si="8"/>
        <v>4</v>
      </c>
      <c r="B64" s="55" t="str">
        <f t="shared" si="8"/>
        <v>~</v>
      </c>
      <c r="C64" s="10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3</v>
      </c>
      <c r="B65" s="60" t="str">
        <f t="shared" si="8"/>
        <v>~</v>
      </c>
      <c r="C65" s="10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2.5</v>
      </c>
      <c r="B66" s="60" t="str">
        <f t="shared" si="8"/>
        <v>~</v>
      </c>
      <c r="C66" s="10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1" t="s">
        <v>148</v>
      </c>
      <c r="B1" s="72"/>
    </row>
    <row r="2" spans="1:2" x14ac:dyDescent="0.3">
      <c r="A2" t="s">
        <v>149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21"/>
  <sheetViews>
    <sheetView zoomScaleNormal="100" workbookViewId="0">
      <selection activeCell="N18" sqref="N18"/>
    </sheetView>
  </sheetViews>
  <sheetFormatPr defaultRowHeight="16.5" x14ac:dyDescent="0.3"/>
  <sheetData>
    <row r="1" spans="1:38" x14ac:dyDescent="0.3">
      <c r="A1" t="s">
        <v>150</v>
      </c>
      <c r="B1">
        <v>139028</v>
      </c>
      <c r="C1">
        <v>1</v>
      </c>
      <c r="D1" t="s">
        <v>151</v>
      </c>
      <c r="E1" t="s">
        <v>152</v>
      </c>
      <c r="F1">
        <v>34</v>
      </c>
      <c r="G1">
        <v>16.36</v>
      </c>
      <c r="H1">
        <v>54.09</v>
      </c>
      <c r="I1">
        <v>11.25</v>
      </c>
      <c r="J1">
        <v>37.22</v>
      </c>
      <c r="K1">
        <v>34</v>
      </c>
      <c r="T1">
        <v>2</v>
      </c>
      <c r="U1">
        <v>1</v>
      </c>
      <c r="V1" t="s">
        <v>153</v>
      </c>
      <c r="W1">
        <v>54</v>
      </c>
      <c r="X1">
        <v>6</v>
      </c>
      <c r="Y1">
        <v>6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130</v>
      </c>
      <c r="AG1" t="s">
        <v>159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150</v>
      </c>
      <c r="B2">
        <v>124127</v>
      </c>
      <c r="C2">
        <v>1</v>
      </c>
      <c r="D2" t="s">
        <v>160</v>
      </c>
      <c r="E2" t="s">
        <v>161</v>
      </c>
      <c r="F2">
        <v>45</v>
      </c>
      <c r="G2">
        <v>19.96</v>
      </c>
      <c r="H2">
        <v>66</v>
      </c>
      <c r="I2">
        <v>18.329999999999998</v>
      </c>
      <c r="J2">
        <v>60.6</v>
      </c>
      <c r="K2">
        <v>45</v>
      </c>
      <c r="T2">
        <v>3</v>
      </c>
      <c r="U2">
        <v>1</v>
      </c>
      <c r="V2" t="s">
        <v>153</v>
      </c>
      <c r="W2">
        <v>66</v>
      </c>
      <c r="X2">
        <v>5</v>
      </c>
      <c r="Y2">
        <v>5</v>
      </c>
      <c r="Z2" t="s">
        <v>162</v>
      </c>
      <c r="AA2" t="s">
        <v>163</v>
      </c>
      <c r="AB2" t="s">
        <v>156</v>
      </c>
      <c r="AC2" t="s">
        <v>157</v>
      </c>
      <c r="AD2" t="s">
        <v>158</v>
      </c>
      <c r="AE2" t="s">
        <v>130</v>
      </c>
      <c r="AG2" t="s">
        <v>164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150</v>
      </c>
      <c r="B3">
        <v>27823</v>
      </c>
      <c r="C3">
        <v>1</v>
      </c>
      <c r="D3" t="s">
        <v>165</v>
      </c>
      <c r="E3" t="s">
        <v>166</v>
      </c>
      <c r="F3">
        <v>236</v>
      </c>
      <c r="G3">
        <v>34.14</v>
      </c>
      <c r="H3">
        <v>112.89</v>
      </c>
      <c r="I3">
        <v>25.68</v>
      </c>
      <c r="J3">
        <v>84.92</v>
      </c>
      <c r="K3">
        <v>120</v>
      </c>
      <c r="T3">
        <v>3</v>
      </c>
      <c r="U3">
        <v>2</v>
      </c>
      <c r="V3" t="s">
        <v>153</v>
      </c>
      <c r="W3" t="s">
        <v>114</v>
      </c>
      <c r="X3">
        <v>15</v>
      </c>
      <c r="Y3">
        <v>11</v>
      </c>
      <c r="Z3" t="s">
        <v>167</v>
      </c>
      <c r="AA3" t="s">
        <v>168</v>
      </c>
      <c r="AB3" t="s">
        <v>156</v>
      </c>
      <c r="AC3" t="s">
        <v>157</v>
      </c>
      <c r="AD3" t="s">
        <v>158</v>
      </c>
      <c r="AE3" t="s">
        <v>130</v>
      </c>
      <c r="AG3" t="s">
        <v>169</v>
      </c>
      <c r="AH3">
        <v>0</v>
      </c>
      <c r="AI3">
        <v>212</v>
      </c>
      <c r="AJ3">
        <v>20</v>
      </c>
      <c r="AK3">
        <v>331</v>
      </c>
      <c r="AL3">
        <v>1.4</v>
      </c>
    </row>
    <row r="4" spans="1:38" x14ac:dyDescent="0.3">
      <c r="A4" t="s">
        <v>150</v>
      </c>
      <c r="B4">
        <v>27823</v>
      </c>
      <c r="C4">
        <v>2</v>
      </c>
      <c r="D4" t="s">
        <v>165</v>
      </c>
      <c r="E4" t="s">
        <v>166</v>
      </c>
      <c r="F4">
        <v>236</v>
      </c>
      <c r="G4">
        <v>34.31</v>
      </c>
      <c r="H4">
        <v>113.45</v>
      </c>
      <c r="I4">
        <v>25.7</v>
      </c>
      <c r="J4">
        <v>84.96</v>
      </c>
      <c r="K4">
        <v>116</v>
      </c>
      <c r="T4">
        <v>3</v>
      </c>
      <c r="U4">
        <v>2</v>
      </c>
      <c r="V4" t="s">
        <v>153</v>
      </c>
      <c r="W4" t="s">
        <v>76</v>
      </c>
      <c r="X4">
        <v>15</v>
      </c>
      <c r="Y4">
        <v>11</v>
      </c>
      <c r="Z4" t="s">
        <v>167</v>
      </c>
      <c r="AA4" t="s">
        <v>168</v>
      </c>
      <c r="AB4" t="s">
        <v>156</v>
      </c>
      <c r="AC4" t="s">
        <v>157</v>
      </c>
      <c r="AD4" t="s">
        <v>158</v>
      </c>
      <c r="AE4" t="s">
        <v>130</v>
      </c>
      <c r="AG4" t="s">
        <v>169</v>
      </c>
      <c r="AH4">
        <v>0</v>
      </c>
      <c r="AI4">
        <v>212</v>
      </c>
      <c r="AJ4">
        <v>20</v>
      </c>
      <c r="AK4">
        <v>331</v>
      </c>
      <c r="AL4">
        <v>1.4</v>
      </c>
    </row>
    <row r="5" spans="1:38" x14ac:dyDescent="0.3">
      <c r="A5" t="s">
        <v>150</v>
      </c>
      <c r="B5">
        <v>122176</v>
      </c>
      <c r="C5">
        <v>1</v>
      </c>
      <c r="D5" t="s">
        <v>170</v>
      </c>
      <c r="E5" t="s">
        <v>171</v>
      </c>
      <c r="F5">
        <v>35</v>
      </c>
      <c r="G5">
        <v>13.94</v>
      </c>
      <c r="H5">
        <v>46.1</v>
      </c>
      <c r="I5">
        <v>11.3</v>
      </c>
      <c r="J5">
        <v>37.380000000000003</v>
      </c>
      <c r="K5">
        <v>5</v>
      </c>
      <c r="T5">
        <v>2</v>
      </c>
      <c r="U5">
        <v>1</v>
      </c>
      <c r="V5" t="s">
        <v>153</v>
      </c>
      <c r="W5" t="s">
        <v>172</v>
      </c>
      <c r="X5">
        <v>5</v>
      </c>
      <c r="Y5">
        <v>5</v>
      </c>
      <c r="Z5" t="s">
        <v>173</v>
      </c>
      <c r="AA5" t="s">
        <v>174</v>
      </c>
      <c r="AB5" t="s">
        <v>156</v>
      </c>
      <c r="AC5" t="s">
        <v>157</v>
      </c>
      <c r="AD5" t="s">
        <v>158</v>
      </c>
      <c r="AE5" t="s">
        <v>130</v>
      </c>
      <c r="AG5" t="s">
        <v>175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3">
      <c r="A6" t="s">
        <v>150</v>
      </c>
      <c r="B6">
        <v>122176</v>
      </c>
      <c r="C6">
        <v>2</v>
      </c>
      <c r="D6" t="s">
        <v>170</v>
      </c>
      <c r="E6" t="s">
        <v>171</v>
      </c>
      <c r="F6">
        <v>35</v>
      </c>
      <c r="G6">
        <v>14.37</v>
      </c>
      <c r="H6">
        <v>47.52</v>
      </c>
      <c r="I6">
        <v>11.7</v>
      </c>
      <c r="J6">
        <v>38.700000000000003</v>
      </c>
      <c r="K6">
        <v>5</v>
      </c>
      <c r="T6">
        <v>2</v>
      </c>
      <c r="U6">
        <v>1</v>
      </c>
      <c r="V6" t="s">
        <v>153</v>
      </c>
      <c r="W6" t="s">
        <v>176</v>
      </c>
      <c r="X6">
        <v>5</v>
      </c>
      <c r="Y6">
        <v>5</v>
      </c>
      <c r="Z6" t="s">
        <v>173</v>
      </c>
      <c r="AA6" t="s">
        <v>174</v>
      </c>
      <c r="AB6" t="s">
        <v>156</v>
      </c>
      <c r="AC6" t="s">
        <v>157</v>
      </c>
      <c r="AD6" t="s">
        <v>158</v>
      </c>
      <c r="AE6" t="s">
        <v>130</v>
      </c>
      <c r="AG6" t="s">
        <v>175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3">
      <c r="A7" t="s">
        <v>150</v>
      </c>
      <c r="B7">
        <v>122176</v>
      </c>
      <c r="C7">
        <v>3</v>
      </c>
      <c r="D7" t="s">
        <v>170</v>
      </c>
      <c r="E7" t="s">
        <v>171</v>
      </c>
      <c r="F7">
        <v>35</v>
      </c>
      <c r="G7">
        <v>16.18</v>
      </c>
      <c r="H7">
        <v>53.49</v>
      </c>
      <c r="I7">
        <v>13.92</v>
      </c>
      <c r="J7">
        <v>46.02</v>
      </c>
      <c r="K7">
        <v>5</v>
      </c>
      <c r="T7">
        <v>2</v>
      </c>
      <c r="U7">
        <v>1</v>
      </c>
      <c r="V7" t="s">
        <v>153</v>
      </c>
      <c r="W7" t="s">
        <v>177</v>
      </c>
      <c r="X7">
        <v>5</v>
      </c>
      <c r="Y7">
        <v>5</v>
      </c>
      <c r="Z7" t="s">
        <v>173</v>
      </c>
      <c r="AA7" t="s">
        <v>174</v>
      </c>
      <c r="AB7" t="s">
        <v>156</v>
      </c>
      <c r="AC7" t="s">
        <v>157</v>
      </c>
      <c r="AD7" t="s">
        <v>158</v>
      </c>
      <c r="AE7" t="s">
        <v>130</v>
      </c>
      <c r="AG7" t="s">
        <v>175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3">
      <c r="A8" t="s">
        <v>150</v>
      </c>
      <c r="B8">
        <v>122176</v>
      </c>
      <c r="C8">
        <v>4</v>
      </c>
      <c r="D8" t="s">
        <v>170</v>
      </c>
      <c r="E8" t="s">
        <v>171</v>
      </c>
      <c r="F8">
        <v>35</v>
      </c>
      <c r="G8">
        <v>16.399999999999999</v>
      </c>
      <c r="H8">
        <v>54.23</v>
      </c>
      <c r="I8">
        <v>13.53</v>
      </c>
      <c r="J8">
        <v>44.76</v>
      </c>
      <c r="K8">
        <v>10</v>
      </c>
      <c r="T8">
        <v>2</v>
      </c>
      <c r="U8">
        <v>1</v>
      </c>
      <c r="V8" t="s">
        <v>153</v>
      </c>
      <c r="W8" t="s">
        <v>178</v>
      </c>
      <c r="X8">
        <v>5</v>
      </c>
      <c r="Y8">
        <v>5</v>
      </c>
      <c r="Z8" t="s">
        <v>173</v>
      </c>
      <c r="AA8" t="s">
        <v>174</v>
      </c>
      <c r="AB8" t="s">
        <v>156</v>
      </c>
      <c r="AC8" t="s">
        <v>157</v>
      </c>
      <c r="AD8" t="s">
        <v>158</v>
      </c>
      <c r="AE8" t="s">
        <v>130</v>
      </c>
      <c r="AG8" t="s">
        <v>175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150</v>
      </c>
      <c r="B9">
        <v>122176</v>
      </c>
      <c r="C9">
        <v>5</v>
      </c>
      <c r="D9" t="s">
        <v>170</v>
      </c>
      <c r="E9" t="s">
        <v>171</v>
      </c>
      <c r="F9">
        <v>35</v>
      </c>
      <c r="G9">
        <v>18.46</v>
      </c>
      <c r="H9">
        <v>61.03</v>
      </c>
      <c r="I9">
        <v>15.89</v>
      </c>
      <c r="J9">
        <v>52.56</v>
      </c>
      <c r="K9">
        <v>5</v>
      </c>
      <c r="T9">
        <v>2</v>
      </c>
      <c r="U9">
        <v>1</v>
      </c>
      <c r="V9" t="s">
        <v>153</v>
      </c>
      <c r="W9">
        <v>61</v>
      </c>
      <c r="X9">
        <v>5</v>
      </c>
      <c r="Y9">
        <v>5</v>
      </c>
      <c r="Z9" t="s">
        <v>173</v>
      </c>
      <c r="AA9" t="s">
        <v>174</v>
      </c>
      <c r="AB9" t="s">
        <v>156</v>
      </c>
      <c r="AC9" t="s">
        <v>157</v>
      </c>
      <c r="AD9" t="s">
        <v>158</v>
      </c>
      <c r="AE9" t="s">
        <v>130</v>
      </c>
      <c r="AG9" t="s">
        <v>175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150</v>
      </c>
      <c r="B10">
        <v>122176</v>
      </c>
      <c r="C10">
        <v>6</v>
      </c>
      <c r="D10" t="s">
        <v>170</v>
      </c>
      <c r="E10" t="s">
        <v>171</v>
      </c>
      <c r="F10">
        <v>35</v>
      </c>
      <c r="G10">
        <v>18.559999999999999</v>
      </c>
      <c r="H10">
        <v>61.37</v>
      </c>
      <c r="I10">
        <v>15.96</v>
      </c>
      <c r="J10">
        <v>52.77</v>
      </c>
      <c r="K10">
        <v>5</v>
      </c>
      <c r="T10">
        <v>2</v>
      </c>
      <c r="U10">
        <v>1</v>
      </c>
      <c r="V10" t="s">
        <v>153</v>
      </c>
      <c r="W10">
        <v>61</v>
      </c>
      <c r="X10">
        <v>5</v>
      </c>
      <c r="Y10">
        <v>5</v>
      </c>
      <c r="Z10" t="s">
        <v>173</v>
      </c>
      <c r="AA10" t="s">
        <v>174</v>
      </c>
      <c r="AB10" t="s">
        <v>156</v>
      </c>
      <c r="AC10" t="s">
        <v>157</v>
      </c>
      <c r="AD10" t="s">
        <v>158</v>
      </c>
      <c r="AE10" t="s">
        <v>130</v>
      </c>
      <c r="AG10" t="s">
        <v>175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150</v>
      </c>
      <c r="B11">
        <v>15393</v>
      </c>
      <c r="C11">
        <v>1</v>
      </c>
      <c r="D11" t="s">
        <v>179</v>
      </c>
      <c r="E11" t="s">
        <v>180</v>
      </c>
      <c r="F11">
        <v>120</v>
      </c>
      <c r="G11">
        <v>28.01</v>
      </c>
      <c r="H11">
        <v>92.6</v>
      </c>
      <c r="I11">
        <v>25.69</v>
      </c>
      <c r="J11">
        <v>84.95</v>
      </c>
      <c r="K11">
        <v>90</v>
      </c>
      <c r="T11">
        <v>3</v>
      </c>
      <c r="U11">
        <v>1</v>
      </c>
      <c r="V11" t="s">
        <v>153</v>
      </c>
      <c r="W11">
        <v>92</v>
      </c>
      <c r="X11">
        <v>5</v>
      </c>
      <c r="Y11">
        <v>5</v>
      </c>
      <c r="Z11" t="s">
        <v>181</v>
      </c>
      <c r="AA11" t="s">
        <v>182</v>
      </c>
      <c r="AB11" t="s">
        <v>156</v>
      </c>
      <c r="AC11" t="s">
        <v>157</v>
      </c>
      <c r="AD11" t="s">
        <v>158</v>
      </c>
      <c r="AE11" t="s">
        <v>130</v>
      </c>
      <c r="AG11" t="s">
        <v>183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150</v>
      </c>
      <c r="B12">
        <v>15393</v>
      </c>
      <c r="C12">
        <v>2</v>
      </c>
      <c r="D12" t="s">
        <v>179</v>
      </c>
      <c r="E12" t="s">
        <v>180</v>
      </c>
      <c r="F12">
        <v>120</v>
      </c>
      <c r="G12">
        <v>30.02</v>
      </c>
      <c r="H12">
        <v>99.26</v>
      </c>
      <c r="I12">
        <v>25.7</v>
      </c>
      <c r="J12">
        <v>84.98</v>
      </c>
      <c r="K12">
        <v>10</v>
      </c>
      <c r="T12">
        <v>3</v>
      </c>
      <c r="U12">
        <v>2</v>
      </c>
      <c r="V12" t="s">
        <v>153</v>
      </c>
      <c r="W12">
        <v>99</v>
      </c>
      <c r="X12">
        <v>5</v>
      </c>
      <c r="Y12">
        <v>5</v>
      </c>
      <c r="Z12" t="s">
        <v>181</v>
      </c>
      <c r="AA12" t="s">
        <v>182</v>
      </c>
      <c r="AB12" t="s">
        <v>156</v>
      </c>
      <c r="AC12" t="s">
        <v>157</v>
      </c>
      <c r="AD12" t="s">
        <v>158</v>
      </c>
      <c r="AE12" t="s">
        <v>130</v>
      </c>
      <c r="AG12" t="s">
        <v>183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150</v>
      </c>
      <c r="B13">
        <v>15393</v>
      </c>
      <c r="C13">
        <v>3</v>
      </c>
      <c r="D13" t="s">
        <v>179</v>
      </c>
      <c r="E13" t="s">
        <v>180</v>
      </c>
      <c r="F13">
        <v>120</v>
      </c>
      <c r="G13">
        <v>53.27</v>
      </c>
      <c r="H13">
        <v>176.13</v>
      </c>
      <c r="I13">
        <v>49.21</v>
      </c>
      <c r="J13">
        <v>162.69</v>
      </c>
      <c r="K13">
        <v>5</v>
      </c>
      <c r="T13">
        <v>4</v>
      </c>
      <c r="U13">
        <v>2</v>
      </c>
      <c r="V13" t="s">
        <v>184</v>
      </c>
      <c r="W13">
        <v>176</v>
      </c>
      <c r="X13">
        <v>5</v>
      </c>
      <c r="Y13">
        <v>5</v>
      </c>
      <c r="Z13" t="s">
        <v>181</v>
      </c>
      <c r="AA13" t="s">
        <v>182</v>
      </c>
      <c r="AB13" t="s">
        <v>156</v>
      </c>
      <c r="AC13" t="s">
        <v>157</v>
      </c>
      <c r="AD13" t="s">
        <v>158</v>
      </c>
      <c r="AE13" t="s">
        <v>130</v>
      </c>
      <c r="AG13" t="s">
        <v>183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150</v>
      </c>
      <c r="B14">
        <v>15393</v>
      </c>
      <c r="C14">
        <v>4</v>
      </c>
      <c r="D14" t="s">
        <v>179</v>
      </c>
      <c r="E14" t="s">
        <v>180</v>
      </c>
      <c r="F14">
        <v>120</v>
      </c>
      <c r="G14">
        <v>54.77</v>
      </c>
      <c r="H14">
        <v>181.07</v>
      </c>
      <c r="I14">
        <v>50.7</v>
      </c>
      <c r="J14">
        <v>167.63</v>
      </c>
      <c r="K14">
        <v>10</v>
      </c>
      <c r="T14">
        <v>4</v>
      </c>
      <c r="U14">
        <v>2</v>
      </c>
      <c r="V14" t="s">
        <v>184</v>
      </c>
      <c r="W14">
        <v>181</v>
      </c>
      <c r="X14">
        <v>5</v>
      </c>
      <c r="Y14">
        <v>5</v>
      </c>
      <c r="Z14" t="s">
        <v>181</v>
      </c>
      <c r="AA14" t="s">
        <v>182</v>
      </c>
      <c r="AB14" t="s">
        <v>156</v>
      </c>
      <c r="AC14" t="s">
        <v>157</v>
      </c>
      <c r="AD14" t="s">
        <v>158</v>
      </c>
      <c r="AE14" t="s">
        <v>130</v>
      </c>
      <c r="AG14" t="s">
        <v>183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150</v>
      </c>
      <c r="B15">
        <v>15393</v>
      </c>
      <c r="C15">
        <v>5</v>
      </c>
      <c r="D15" t="s">
        <v>179</v>
      </c>
      <c r="E15" t="s">
        <v>180</v>
      </c>
      <c r="F15">
        <v>120</v>
      </c>
      <c r="G15">
        <v>57.36</v>
      </c>
      <c r="H15">
        <v>189.64</v>
      </c>
      <c r="I15">
        <v>52.73</v>
      </c>
      <c r="J15">
        <v>174.34</v>
      </c>
      <c r="K15">
        <v>5</v>
      </c>
      <c r="T15">
        <v>4</v>
      </c>
      <c r="U15">
        <v>2</v>
      </c>
      <c r="V15" t="s">
        <v>153</v>
      </c>
      <c r="W15">
        <v>189</v>
      </c>
      <c r="X15">
        <v>5</v>
      </c>
      <c r="Y15">
        <v>5</v>
      </c>
      <c r="Z15" t="s">
        <v>181</v>
      </c>
      <c r="AA15" t="s">
        <v>182</v>
      </c>
      <c r="AB15" t="s">
        <v>156</v>
      </c>
      <c r="AC15" t="s">
        <v>157</v>
      </c>
      <c r="AD15" t="s">
        <v>158</v>
      </c>
      <c r="AE15" t="s">
        <v>130</v>
      </c>
      <c r="AG15" t="s">
        <v>183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150</v>
      </c>
      <c r="B16">
        <v>113545</v>
      </c>
      <c r="C16">
        <v>1</v>
      </c>
      <c r="D16" t="s">
        <v>185</v>
      </c>
      <c r="E16" t="s">
        <v>186</v>
      </c>
      <c r="F16">
        <v>54</v>
      </c>
      <c r="G16">
        <v>21.97</v>
      </c>
      <c r="H16">
        <v>72.63</v>
      </c>
      <c r="I16">
        <v>15.24</v>
      </c>
      <c r="J16">
        <v>50.4</v>
      </c>
      <c r="K16">
        <v>1</v>
      </c>
      <c r="T16">
        <v>3</v>
      </c>
      <c r="U16">
        <v>1</v>
      </c>
      <c r="V16" t="s">
        <v>184</v>
      </c>
      <c r="W16">
        <v>72</v>
      </c>
      <c r="X16">
        <v>6</v>
      </c>
      <c r="Y16">
        <v>6</v>
      </c>
      <c r="Z16" t="s">
        <v>187</v>
      </c>
      <c r="AA16" t="s">
        <v>188</v>
      </c>
      <c r="AB16" t="s">
        <v>156</v>
      </c>
      <c r="AC16" t="s">
        <v>157</v>
      </c>
      <c r="AD16" t="s">
        <v>158</v>
      </c>
      <c r="AE16" t="s">
        <v>130</v>
      </c>
      <c r="AG16" t="s">
        <v>189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150</v>
      </c>
      <c r="B17">
        <v>113545</v>
      </c>
      <c r="C17">
        <v>2</v>
      </c>
      <c r="D17" t="s">
        <v>185</v>
      </c>
      <c r="E17" t="s">
        <v>186</v>
      </c>
      <c r="F17">
        <v>54</v>
      </c>
      <c r="G17">
        <v>22.58</v>
      </c>
      <c r="H17">
        <v>74.66</v>
      </c>
      <c r="I17">
        <v>15.72</v>
      </c>
      <c r="J17">
        <v>51.99</v>
      </c>
      <c r="K17">
        <v>11</v>
      </c>
      <c r="T17">
        <v>3</v>
      </c>
      <c r="U17">
        <v>1</v>
      </c>
      <c r="V17" t="s">
        <v>184</v>
      </c>
      <c r="W17">
        <v>74</v>
      </c>
      <c r="X17">
        <v>6</v>
      </c>
      <c r="Y17">
        <v>6</v>
      </c>
      <c r="Z17" t="s">
        <v>187</v>
      </c>
      <c r="AA17" t="s">
        <v>188</v>
      </c>
      <c r="AB17" t="s">
        <v>156</v>
      </c>
      <c r="AC17" t="s">
        <v>157</v>
      </c>
      <c r="AD17" t="s">
        <v>158</v>
      </c>
      <c r="AE17" t="s">
        <v>130</v>
      </c>
      <c r="AG17" t="s">
        <v>189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150</v>
      </c>
      <c r="B18">
        <v>113545</v>
      </c>
      <c r="C18">
        <v>3</v>
      </c>
      <c r="D18" t="s">
        <v>185</v>
      </c>
      <c r="E18" t="s">
        <v>186</v>
      </c>
      <c r="F18">
        <v>54</v>
      </c>
      <c r="G18">
        <v>25.55</v>
      </c>
      <c r="H18">
        <v>84.49</v>
      </c>
      <c r="I18">
        <v>17.989999999999998</v>
      </c>
      <c r="J18">
        <v>59.49</v>
      </c>
      <c r="K18">
        <v>36</v>
      </c>
      <c r="T18">
        <v>3</v>
      </c>
      <c r="U18">
        <v>2</v>
      </c>
      <c r="V18" t="s">
        <v>184</v>
      </c>
      <c r="W18" t="s">
        <v>83</v>
      </c>
      <c r="X18">
        <v>6</v>
      </c>
      <c r="Y18">
        <v>6</v>
      </c>
      <c r="Z18" t="s">
        <v>187</v>
      </c>
      <c r="AA18" t="s">
        <v>188</v>
      </c>
      <c r="AB18" t="s">
        <v>156</v>
      </c>
      <c r="AC18" t="s">
        <v>157</v>
      </c>
      <c r="AD18" t="s">
        <v>158</v>
      </c>
      <c r="AE18" t="s">
        <v>130</v>
      </c>
      <c r="AG18" t="s">
        <v>189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 x14ac:dyDescent="0.3">
      <c r="A19" t="s">
        <v>150</v>
      </c>
      <c r="B19">
        <v>113545</v>
      </c>
      <c r="C19">
        <v>4</v>
      </c>
      <c r="D19" t="s">
        <v>185</v>
      </c>
      <c r="E19" t="s">
        <v>186</v>
      </c>
      <c r="F19">
        <v>54</v>
      </c>
      <c r="G19">
        <v>27.52</v>
      </c>
      <c r="H19">
        <v>90.99</v>
      </c>
      <c r="I19">
        <v>17.989999999999998</v>
      </c>
      <c r="J19">
        <v>59.49</v>
      </c>
      <c r="K19">
        <v>6</v>
      </c>
      <c r="T19">
        <v>3</v>
      </c>
      <c r="U19">
        <v>2</v>
      </c>
      <c r="V19" t="s">
        <v>184</v>
      </c>
      <c r="W19" t="s">
        <v>190</v>
      </c>
      <c r="X19">
        <v>6</v>
      </c>
      <c r="Y19">
        <v>6</v>
      </c>
      <c r="Z19" t="s">
        <v>187</v>
      </c>
      <c r="AA19" t="s">
        <v>188</v>
      </c>
      <c r="AB19" t="s">
        <v>156</v>
      </c>
      <c r="AC19" t="s">
        <v>157</v>
      </c>
      <c r="AD19" t="s">
        <v>158</v>
      </c>
      <c r="AE19" t="s">
        <v>130</v>
      </c>
      <c r="AG19" t="s">
        <v>189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 x14ac:dyDescent="0.3">
      <c r="A20" t="s">
        <v>150</v>
      </c>
      <c r="B20">
        <v>7015</v>
      </c>
      <c r="C20">
        <v>1</v>
      </c>
      <c r="D20" t="s">
        <v>191</v>
      </c>
      <c r="E20" t="s">
        <v>192</v>
      </c>
      <c r="F20">
        <v>200</v>
      </c>
      <c r="G20">
        <v>32.99</v>
      </c>
      <c r="H20">
        <v>109.08</v>
      </c>
      <c r="I20">
        <v>25.7</v>
      </c>
      <c r="J20">
        <v>84.98</v>
      </c>
      <c r="K20">
        <v>200</v>
      </c>
      <c r="T20">
        <v>3</v>
      </c>
      <c r="U20">
        <v>2</v>
      </c>
      <c r="V20" t="s">
        <v>153</v>
      </c>
      <c r="W20">
        <v>109</v>
      </c>
      <c r="X20">
        <v>6</v>
      </c>
      <c r="Y20">
        <v>5</v>
      </c>
      <c r="Z20" t="s">
        <v>193</v>
      </c>
      <c r="AA20" t="s">
        <v>194</v>
      </c>
      <c r="AB20" t="s">
        <v>156</v>
      </c>
      <c r="AC20" t="s">
        <v>157</v>
      </c>
      <c r="AD20" t="s">
        <v>158</v>
      </c>
      <c r="AE20" t="s">
        <v>130</v>
      </c>
      <c r="AG20" t="s">
        <v>195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150</v>
      </c>
      <c r="B21">
        <v>14100</v>
      </c>
      <c r="C21">
        <v>1</v>
      </c>
      <c r="D21" t="s">
        <v>196</v>
      </c>
      <c r="E21" t="s">
        <v>197</v>
      </c>
      <c r="F21">
        <v>120</v>
      </c>
      <c r="G21">
        <v>29.68</v>
      </c>
      <c r="H21">
        <v>98.14</v>
      </c>
      <c r="I21">
        <v>23.05</v>
      </c>
      <c r="J21">
        <v>76.23</v>
      </c>
      <c r="K21">
        <v>120</v>
      </c>
      <c r="T21">
        <v>3</v>
      </c>
      <c r="U21">
        <v>1</v>
      </c>
      <c r="V21" t="s">
        <v>153</v>
      </c>
      <c r="W21">
        <v>98</v>
      </c>
      <c r="X21">
        <v>5</v>
      </c>
      <c r="Y21">
        <v>5</v>
      </c>
      <c r="Z21" t="s">
        <v>198</v>
      </c>
      <c r="AA21" t="s">
        <v>199</v>
      </c>
      <c r="AB21" t="s">
        <v>156</v>
      </c>
      <c r="AC21" t="s">
        <v>157</v>
      </c>
      <c r="AD21" t="s">
        <v>158</v>
      </c>
      <c r="AE21" t="s">
        <v>130</v>
      </c>
      <c r="AG21" t="s">
        <v>200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150</v>
      </c>
      <c r="B22">
        <v>108375</v>
      </c>
      <c r="C22">
        <v>1</v>
      </c>
      <c r="D22" t="s">
        <v>201</v>
      </c>
      <c r="E22" t="s">
        <v>202</v>
      </c>
      <c r="F22">
        <v>508</v>
      </c>
      <c r="G22">
        <v>29.49</v>
      </c>
      <c r="H22">
        <v>97.49</v>
      </c>
      <c r="I22">
        <v>22.59</v>
      </c>
      <c r="J22">
        <v>74.7</v>
      </c>
      <c r="K22">
        <v>154</v>
      </c>
      <c r="T22">
        <v>3</v>
      </c>
      <c r="U22">
        <v>2</v>
      </c>
      <c r="V22" t="s">
        <v>153</v>
      </c>
      <c r="W22">
        <v>97</v>
      </c>
      <c r="X22">
        <v>28</v>
      </c>
      <c r="Y22">
        <v>15</v>
      </c>
      <c r="Z22" t="s">
        <v>203</v>
      </c>
      <c r="AA22" t="s">
        <v>204</v>
      </c>
      <c r="AB22" t="s">
        <v>156</v>
      </c>
      <c r="AC22" t="s">
        <v>157</v>
      </c>
      <c r="AD22" t="s">
        <v>158</v>
      </c>
      <c r="AE22" t="s">
        <v>130</v>
      </c>
      <c r="AG22" t="s">
        <v>205</v>
      </c>
      <c r="AH22">
        <v>0</v>
      </c>
      <c r="AI22">
        <v>228</v>
      </c>
      <c r="AJ22">
        <v>17</v>
      </c>
      <c r="AK22">
        <v>712</v>
      </c>
      <c r="AL22">
        <v>1.4</v>
      </c>
    </row>
    <row r="23" spans="1:38" x14ac:dyDescent="0.3">
      <c r="A23" t="s">
        <v>150</v>
      </c>
      <c r="B23">
        <v>108375</v>
      </c>
      <c r="C23">
        <v>2</v>
      </c>
      <c r="D23" t="s">
        <v>201</v>
      </c>
      <c r="E23" t="s">
        <v>202</v>
      </c>
      <c r="F23">
        <v>508</v>
      </c>
      <c r="G23">
        <v>30.39</v>
      </c>
      <c r="H23">
        <v>100.48</v>
      </c>
      <c r="I23">
        <v>23.45</v>
      </c>
      <c r="J23">
        <v>77.540000000000006</v>
      </c>
      <c r="K23">
        <v>200</v>
      </c>
      <c r="T23">
        <v>3</v>
      </c>
      <c r="U23">
        <v>2</v>
      </c>
      <c r="V23" t="s">
        <v>153</v>
      </c>
      <c r="W23">
        <v>100</v>
      </c>
      <c r="X23">
        <v>28</v>
      </c>
      <c r="Y23">
        <v>15</v>
      </c>
      <c r="Z23" t="s">
        <v>203</v>
      </c>
      <c r="AA23" t="s">
        <v>204</v>
      </c>
      <c r="AB23" t="s">
        <v>156</v>
      </c>
      <c r="AC23" t="s">
        <v>157</v>
      </c>
      <c r="AD23" t="s">
        <v>158</v>
      </c>
      <c r="AE23" t="s">
        <v>130</v>
      </c>
      <c r="AG23" t="s">
        <v>205</v>
      </c>
      <c r="AH23">
        <v>0</v>
      </c>
      <c r="AI23">
        <v>228</v>
      </c>
      <c r="AJ23">
        <v>17</v>
      </c>
      <c r="AK23">
        <v>712</v>
      </c>
      <c r="AL23">
        <v>1.4</v>
      </c>
    </row>
    <row r="24" spans="1:38" x14ac:dyDescent="0.3">
      <c r="A24" t="s">
        <v>150</v>
      </c>
      <c r="B24">
        <v>108375</v>
      </c>
      <c r="C24">
        <v>3</v>
      </c>
      <c r="D24" t="s">
        <v>201</v>
      </c>
      <c r="E24" t="s">
        <v>202</v>
      </c>
      <c r="F24">
        <v>508</v>
      </c>
      <c r="G24">
        <v>33.31</v>
      </c>
      <c r="H24">
        <v>110.12</v>
      </c>
      <c r="I24">
        <v>25.68</v>
      </c>
      <c r="J24">
        <v>84.91</v>
      </c>
      <c r="K24">
        <v>154</v>
      </c>
      <c r="T24">
        <v>3</v>
      </c>
      <c r="U24">
        <v>2</v>
      </c>
      <c r="V24" t="s">
        <v>153</v>
      </c>
      <c r="W24">
        <v>110</v>
      </c>
      <c r="X24">
        <v>28</v>
      </c>
      <c r="Y24">
        <v>15</v>
      </c>
      <c r="Z24" t="s">
        <v>203</v>
      </c>
      <c r="AA24" t="s">
        <v>204</v>
      </c>
      <c r="AB24" t="s">
        <v>156</v>
      </c>
      <c r="AC24" t="s">
        <v>157</v>
      </c>
      <c r="AD24" t="s">
        <v>158</v>
      </c>
      <c r="AE24" t="s">
        <v>130</v>
      </c>
      <c r="AG24" t="s">
        <v>205</v>
      </c>
      <c r="AH24">
        <v>0</v>
      </c>
      <c r="AI24">
        <v>228</v>
      </c>
      <c r="AJ24">
        <v>17</v>
      </c>
      <c r="AK24">
        <v>712</v>
      </c>
      <c r="AL24">
        <v>1.4</v>
      </c>
    </row>
    <row r="25" spans="1:38" x14ac:dyDescent="0.3">
      <c r="A25" t="s">
        <v>150</v>
      </c>
      <c r="B25">
        <v>105755</v>
      </c>
      <c r="C25">
        <v>1</v>
      </c>
      <c r="D25" t="s">
        <v>206</v>
      </c>
      <c r="E25" t="s">
        <v>207</v>
      </c>
      <c r="F25">
        <v>134</v>
      </c>
      <c r="G25">
        <v>20.9</v>
      </c>
      <c r="H25">
        <v>69.12</v>
      </c>
      <c r="I25">
        <v>18.73</v>
      </c>
      <c r="J25">
        <v>61.92</v>
      </c>
      <c r="K25">
        <v>79</v>
      </c>
      <c r="T25">
        <v>2</v>
      </c>
      <c r="U25">
        <v>1</v>
      </c>
      <c r="V25" t="s">
        <v>184</v>
      </c>
      <c r="W25">
        <v>69</v>
      </c>
      <c r="X25">
        <v>5</v>
      </c>
      <c r="Y25">
        <v>4</v>
      </c>
      <c r="Z25" t="s">
        <v>208</v>
      </c>
      <c r="AA25" t="s">
        <v>209</v>
      </c>
      <c r="AB25" t="s">
        <v>156</v>
      </c>
      <c r="AC25" t="s">
        <v>157</v>
      </c>
      <c r="AD25" t="s">
        <v>158</v>
      </c>
      <c r="AE25" t="s">
        <v>130</v>
      </c>
      <c r="AG25" t="s">
        <v>210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150</v>
      </c>
      <c r="B26">
        <v>105755</v>
      </c>
      <c r="C26">
        <v>2</v>
      </c>
      <c r="D26" t="s">
        <v>206</v>
      </c>
      <c r="E26" t="s">
        <v>207</v>
      </c>
      <c r="F26">
        <v>134</v>
      </c>
      <c r="G26">
        <v>24.32</v>
      </c>
      <c r="H26">
        <v>80.42</v>
      </c>
      <c r="I26">
        <v>19.88</v>
      </c>
      <c r="J26">
        <v>65.73</v>
      </c>
      <c r="K26">
        <v>50</v>
      </c>
      <c r="T26">
        <v>3</v>
      </c>
      <c r="U26">
        <v>1</v>
      </c>
      <c r="V26" t="s">
        <v>184</v>
      </c>
      <c r="W26">
        <v>80</v>
      </c>
      <c r="X26">
        <v>5</v>
      </c>
      <c r="Y26">
        <v>4</v>
      </c>
      <c r="Z26" t="s">
        <v>208</v>
      </c>
      <c r="AA26" t="s">
        <v>209</v>
      </c>
      <c r="AB26" t="s">
        <v>156</v>
      </c>
      <c r="AC26" t="s">
        <v>157</v>
      </c>
      <c r="AD26" t="s">
        <v>158</v>
      </c>
      <c r="AE26" t="s">
        <v>130</v>
      </c>
      <c r="AG26" t="s">
        <v>210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150</v>
      </c>
      <c r="B27">
        <v>105755</v>
      </c>
      <c r="C27">
        <v>3</v>
      </c>
      <c r="D27" t="s">
        <v>206</v>
      </c>
      <c r="E27" t="s">
        <v>207</v>
      </c>
      <c r="F27">
        <v>134</v>
      </c>
      <c r="G27">
        <v>28.12</v>
      </c>
      <c r="H27">
        <v>92.99</v>
      </c>
      <c r="I27">
        <v>25.64</v>
      </c>
      <c r="J27">
        <v>84.78</v>
      </c>
      <c r="K27">
        <v>5</v>
      </c>
      <c r="T27">
        <v>3</v>
      </c>
      <c r="U27">
        <v>1</v>
      </c>
      <c r="V27" t="s">
        <v>184</v>
      </c>
      <c r="W27">
        <v>92</v>
      </c>
      <c r="X27">
        <v>5</v>
      </c>
      <c r="Y27">
        <v>4</v>
      </c>
      <c r="Z27" t="s">
        <v>208</v>
      </c>
      <c r="AA27" t="s">
        <v>209</v>
      </c>
      <c r="AB27" t="s">
        <v>156</v>
      </c>
      <c r="AC27" t="s">
        <v>157</v>
      </c>
      <c r="AD27" t="s">
        <v>158</v>
      </c>
      <c r="AE27" t="s">
        <v>130</v>
      </c>
      <c r="AG27" t="s">
        <v>210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">
      <c r="A28" t="s">
        <v>150</v>
      </c>
      <c r="B28">
        <v>7018</v>
      </c>
      <c r="C28">
        <v>1</v>
      </c>
      <c r="D28" t="s">
        <v>211</v>
      </c>
      <c r="E28" t="s">
        <v>212</v>
      </c>
      <c r="F28">
        <v>432</v>
      </c>
      <c r="G28">
        <v>28.87</v>
      </c>
      <c r="H28">
        <v>95.46</v>
      </c>
      <c r="I28">
        <v>22.26</v>
      </c>
      <c r="J28">
        <v>73.61</v>
      </c>
      <c r="K28">
        <v>69</v>
      </c>
      <c r="T28">
        <v>3</v>
      </c>
      <c r="U28">
        <v>1</v>
      </c>
      <c r="V28" t="s">
        <v>153</v>
      </c>
      <c r="W28">
        <v>95</v>
      </c>
      <c r="X28">
        <v>14</v>
      </c>
      <c r="Y28">
        <v>8</v>
      </c>
      <c r="Z28" t="s">
        <v>213</v>
      </c>
      <c r="AA28" t="s">
        <v>214</v>
      </c>
      <c r="AB28" t="s">
        <v>156</v>
      </c>
      <c r="AC28" t="s">
        <v>157</v>
      </c>
      <c r="AD28" t="s">
        <v>158</v>
      </c>
      <c r="AE28" t="s">
        <v>130</v>
      </c>
      <c r="AG28" t="s">
        <v>215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3">
      <c r="A29" t="s">
        <v>150</v>
      </c>
      <c r="B29">
        <v>7018</v>
      </c>
      <c r="C29">
        <v>2</v>
      </c>
      <c r="D29" t="s">
        <v>211</v>
      </c>
      <c r="E29" t="s">
        <v>212</v>
      </c>
      <c r="F29">
        <v>432</v>
      </c>
      <c r="G29">
        <v>33.99</v>
      </c>
      <c r="H29">
        <v>112.37</v>
      </c>
      <c r="I29">
        <v>25.7</v>
      </c>
      <c r="J29">
        <v>84.99</v>
      </c>
      <c r="K29">
        <v>283</v>
      </c>
      <c r="T29">
        <v>3</v>
      </c>
      <c r="U29">
        <v>2</v>
      </c>
      <c r="V29" t="s">
        <v>153</v>
      </c>
      <c r="W29">
        <v>112</v>
      </c>
      <c r="X29">
        <v>14</v>
      </c>
      <c r="Y29">
        <v>8</v>
      </c>
      <c r="Z29" t="s">
        <v>213</v>
      </c>
      <c r="AA29" t="s">
        <v>214</v>
      </c>
      <c r="AB29" t="s">
        <v>156</v>
      </c>
      <c r="AC29" t="s">
        <v>157</v>
      </c>
      <c r="AD29" t="s">
        <v>158</v>
      </c>
      <c r="AE29" t="s">
        <v>130</v>
      </c>
      <c r="AG29" t="s">
        <v>215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150</v>
      </c>
      <c r="B30">
        <v>7018</v>
      </c>
      <c r="C30">
        <v>3</v>
      </c>
      <c r="D30" t="s">
        <v>211</v>
      </c>
      <c r="E30" t="s">
        <v>212</v>
      </c>
      <c r="F30">
        <v>432</v>
      </c>
      <c r="G30">
        <v>49.03</v>
      </c>
      <c r="H30">
        <v>162.09</v>
      </c>
      <c r="I30">
        <v>40.44</v>
      </c>
      <c r="J30">
        <v>133.69</v>
      </c>
      <c r="K30">
        <v>80</v>
      </c>
      <c r="T30">
        <v>4</v>
      </c>
      <c r="U30">
        <v>2</v>
      </c>
      <c r="V30" t="s">
        <v>153</v>
      </c>
      <c r="W30">
        <v>162</v>
      </c>
      <c r="X30">
        <v>14</v>
      </c>
      <c r="Y30">
        <v>8</v>
      </c>
      <c r="Z30" t="s">
        <v>213</v>
      </c>
      <c r="AA30" t="s">
        <v>214</v>
      </c>
      <c r="AB30" t="s">
        <v>156</v>
      </c>
      <c r="AC30" t="s">
        <v>157</v>
      </c>
      <c r="AD30" t="s">
        <v>158</v>
      </c>
      <c r="AE30" t="s">
        <v>130</v>
      </c>
      <c r="AG30" t="s">
        <v>215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150</v>
      </c>
      <c r="B31">
        <v>15389</v>
      </c>
      <c r="C31">
        <v>1</v>
      </c>
      <c r="D31" t="s">
        <v>216</v>
      </c>
      <c r="E31" t="s">
        <v>217</v>
      </c>
      <c r="F31">
        <v>120</v>
      </c>
      <c r="G31">
        <v>21.15</v>
      </c>
      <c r="H31">
        <v>69.930000000000007</v>
      </c>
      <c r="I31">
        <v>19.52</v>
      </c>
      <c r="J31">
        <v>64.53</v>
      </c>
      <c r="K31">
        <v>120</v>
      </c>
      <c r="T31">
        <v>3</v>
      </c>
      <c r="U31">
        <v>1</v>
      </c>
      <c r="V31" t="s">
        <v>153</v>
      </c>
      <c r="W31">
        <v>69</v>
      </c>
      <c r="X31">
        <v>5</v>
      </c>
      <c r="Y31">
        <v>5</v>
      </c>
      <c r="Z31" t="s">
        <v>218</v>
      </c>
      <c r="AA31" t="s">
        <v>219</v>
      </c>
      <c r="AB31" t="s">
        <v>156</v>
      </c>
      <c r="AC31" t="s">
        <v>157</v>
      </c>
      <c r="AD31" t="s">
        <v>158</v>
      </c>
      <c r="AE31" t="s">
        <v>130</v>
      </c>
      <c r="AG31" t="s">
        <v>200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150</v>
      </c>
      <c r="B32">
        <v>121709</v>
      </c>
      <c r="C32">
        <v>1</v>
      </c>
      <c r="D32" t="s">
        <v>220</v>
      </c>
      <c r="E32" t="s">
        <v>221</v>
      </c>
      <c r="F32">
        <v>777</v>
      </c>
      <c r="G32">
        <v>29.83</v>
      </c>
      <c r="H32">
        <v>98.64</v>
      </c>
      <c r="I32">
        <v>22.98</v>
      </c>
      <c r="J32">
        <v>75.989999999999995</v>
      </c>
      <c r="K32">
        <v>91</v>
      </c>
      <c r="T32">
        <v>3</v>
      </c>
      <c r="U32">
        <v>2</v>
      </c>
      <c r="V32" t="s">
        <v>153</v>
      </c>
      <c r="W32" t="s">
        <v>222</v>
      </c>
      <c r="X32">
        <v>25</v>
      </c>
      <c r="Y32">
        <v>25</v>
      </c>
      <c r="Z32" t="s">
        <v>223</v>
      </c>
      <c r="AA32" t="s">
        <v>224</v>
      </c>
      <c r="AB32" t="s">
        <v>156</v>
      </c>
      <c r="AC32" t="s">
        <v>157</v>
      </c>
      <c r="AD32" t="s">
        <v>158</v>
      </c>
      <c r="AE32" t="s">
        <v>130</v>
      </c>
      <c r="AG32" t="s">
        <v>225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150</v>
      </c>
      <c r="B33">
        <v>121709</v>
      </c>
      <c r="C33">
        <v>2</v>
      </c>
      <c r="D33" t="s">
        <v>220</v>
      </c>
      <c r="E33" t="s">
        <v>221</v>
      </c>
      <c r="F33">
        <v>777</v>
      </c>
      <c r="G33">
        <v>30.16</v>
      </c>
      <c r="H33">
        <v>99.73</v>
      </c>
      <c r="I33">
        <v>22.98</v>
      </c>
      <c r="J33">
        <v>75.98</v>
      </c>
      <c r="K33">
        <v>98</v>
      </c>
      <c r="T33">
        <v>3</v>
      </c>
      <c r="U33">
        <v>2</v>
      </c>
      <c r="V33" t="s">
        <v>153</v>
      </c>
      <c r="W33" t="s">
        <v>115</v>
      </c>
      <c r="X33">
        <v>25</v>
      </c>
      <c r="Y33">
        <v>25</v>
      </c>
      <c r="Z33" t="s">
        <v>223</v>
      </c>
      <c r="AA33" t="s">
        <v>224</v>
      </c>
      <c r="AB33" t="s">
        <v>156</v>
      </c>
      <c r="AC33" t="s">
        <v>157</v>
      </c>
      <c r="AD33" t="s">
        <v>158</v>
      </c>
      <c r="AE33" t="s">
        <v>130</v>
      </c>
      <c r="AG33" t="s">
        <v>225</v>
      </c>
      <c r="AH33">
        <v>0</v>
      </c>
      <c r="AI33">
        <v>0</v>
      </c>
      <c r="AJ33">
        <v>0</v>
      </c>
      <c r="AK33">
        <v>0</v>
      </c>
      <c r="AL33">
        <v>0</v>
      </c>
    </row>
    <row r="34" spans="1:38" x14ac:dyDescent="0.3">
      <c r="A34" t="s">
        <v>150</v>
      </c>
      <c r="B34">
        <v>121709</v>
      </c>
      <c r="C34">
        <v>3</v>
      </c>
      <c r="D34" t="s">
        <v>220</v>
      </c>
      <c r="E34" t="s">
        <v>221</v>
      </c>
      <c r="F34">
        <v>777</v>
      </c>
      <c r="G34">
        <v>33.380000000000003</v>
      </c>
      <c r="H34">
        <v>110.37</v>
      </c>
      <c r="I34">
        <v>25.7</v>
      </c>
      <c r="J34">
        <v>84.99</v>
      </c>
      <c r="K34">
        <v>304</v>
      </c>
      <c r="T34">
        <v>3</v>
      </c>
      <c r="U34">
        <v>2</v>
      </c>
      <c r="V34" t="s">
        <v>153</v>
      </c>
      <c r="W34" t="s">
        <v>107</v>
      </c>
      <c r="X34">
        <v>25</v>
      </c>
      <c r="Y34">
        <v>25</v>
      </c>
      <c r="Z34" t="s">
        <v>223</v>
      </c>
      <c r="AA34" t="s">
        <v>224</v>
      </c>
      <c r="AB34" t="s">
        <v>156</v>
      </c>
      <c r="AC34" t="s">
        <v>157</v>
      </c>
      <c r="AD34" t="s">
        <v>158</v>
      </c>
      <c r="AE34" t="s">
        <v>130</v>
      </c>
      <c r="AG34" t="s">
        <v>225</v>
      </c>
      <c r="AH34">
        <v>0</v>
      </c>
      <c r="AI34">
        <v>0</v>
      </c>
      <c r="AJ34">
        <v>0</v>
      </c>
      <c r="AK34">
        <v>0</v>
      </c>
      <c r="AL34">
        <v>0</v>
      </c>
    </row>
    <row r="35" spans="1:38" x14ac:dyDescent="0.3">
      <c r="A35" t="s">
        <v>150</v>
      </c>
      <c r="B35">
        <v>121709</v>
      </c>
      <c r="C35">
        <v>4</v>
      </c>
      <c r="D35" t="s">
        <v>220</v>
      </c>
      <c r="E35" t="s">
        <v>221</v>
      </c>
      <c r="F35">
        <v>777</v>
      </c>
      <c r="G35">
        <v>33.450000000000003</v>
      </c>
      <c r="H35">
        <v>110.59</v>
      </c>
      <c r="I35">
        <v>25.7</v>
      </c>
      <c r="J35">
        <v>84.99</v>
      </c>
      <c r="K35">
        <v>98</v>
      </c>
      <c r="T35">
        <v>3</v>
      </c>
      <c r="U35">
        <v>2</v>
      </c>
      <c r="V35" t="s">
        <v>153</v>
      </c>
      <c r="W35" t="s">
        <v>226</v>
      </c>
      <c r="X35">
        <v>25</v>
      </c>
      <c r="Y35">
        <v>25</v>
      </c>
      <c r="Z35" t="s">
        <v>223</v>
      </c>
      <c r="AA35" t="s">
        <v>224</v>
      </c>
      <c r="AB35" t="s">
        <v>156</v>
      </c>
      <c r="AC35" t="s">
        <v>157</v>
      </c>
      <c r="AD35" t="s">
        <v>158</v>
      </c>
      <c r="AE35" t="s">
        <v>130</v>
      </c>
      <c r="AG35" t="s">
        <v>225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150</v>
      </c>
      <c r="B36">
        <v>121709</v>
      </c>
      <c r="C36">
        <v>5</v>
      </c>
      <c r="D36" t="s">
        <v>220</v>
      </c>
      <c r="E36" t="s">
        <v>221</v>
      </c>
      <c r="F36">
        <v>777</v>
      </c>
      <c r="G36">
        <v>33.33</v>
      </c>
      <c r="H36">
        <v>110.2</v>
      </c>
      <c r="I36">
        <v>25.7</v>
      </c>
      <c r="J36">
        <v>84.99</v>
      </c>
      <c r="K36">
        <v>68</v>
      </c>
      <c r="T36">
        <v>3</v>
      </c>
      <c r="U36">
        <v>2</v>
      </c>
      <c r="V36" t="s">
        <v>153</v>
      </c>
      <c r="W36" t="s">
        <v>227</v>
      </c>
      <c r="X36">
        <v>25</v>
      </c>
      <c r="Y36">
        <v>25</v>
      </c>
      <c r="Z36" t="s">
        <v>223</v>
      </c>
      <c r="AA36" t="s">
        <v>224</v>
      </c>
      <c r="AB36" t="s">
        <v>156</v>
      </c>
      <c r="AC36" t="s">
        <v>157</v>
      </c>
      <c r="AD36" t="s">
        <v>158</v>
      </c>
      <c r="AE36" t="s">
        <v>130</v>
      </c>
      <c r="AG36" t="s">
        <v>225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150</v>
      </c>
      <c r="B37">
        <v>121709</v>
      </c>
      <c r="C37">
        <v>6</v>
      </c>
      <c r="D37" t="s">
        <v>220</v>
      </c>
      <c r="E37" t="s">
        <v>221</v>
      </c>
      <c r="F37">
        <v>777</v>
      </c>
      <c r="G37">
        <v>33.729999999999997</v>
      </c>
      <c r="H37">
        <v>111.51</v>
      </c>
      <c r="I37">
        <v>25.7</v>
      </c>
      <c r="J37">
        <v>84.98</v>
      </c>
      <c r="K37">
        <v>68</v>
      </c>
      <c r="T37">
        <v>3</v>
      </c>
      <c r="U37">
        <v>2</v>
      </c>
      <c r="V37" t="s">
        <v>153</v>
      </c>
      <c r="W37" t="s">
        <v>228</v>
      </c>
      <c r="X37">
        <v>25</v>
      </c>
      <c r="Y37">
        <v>25</v>
      </c>
      <c r="Z37" t="s">
        <v>223</v>
      </c>
      <c r="AA37" t="s">
        <v>224</v>
      </c>
      <c r="AB37" t="s">
        <v>156</v>
      </c>
      <c r="AC37" t="s">
        <v>157</v>
      </c>
      <c r="AD37" t="s">
        <v>158</v>
      </c>
      <c r="AE37" t="s">
        <v>130</v>
      </c>
      <c r="AG37" t="s">
        <v>225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150</v>
      </c>
      <c r="B38">
        <v>121709</v>
      </c>
      <c r="C38">
        <v>7</v>
      </c>
      <c r="D38" t="s">
        <v>220</v>
      </c>
      <c r="E38" t="s">
        <v>221</v>
      </c>
      <c r="F38">
        <v>777</v>
      </c>
      <c r="G38">
        <v>39.93</v>
      </c>
      <c r="H38">
        <v>132.02000000000001</v>
      </c>
      <c r="I38">
        <v>30.83</v>
      </c>
      <c r="J38">
        <v>101.92</v>
      </c>
      <c r="K38">
        <v>46</v>
      </c>
      <c r="T38">
        <v>4</v>
      </c>
      <c r="U38">
        <v>2</v>
      </c>
      <c r="V38" t="s">
        <v>153</v>
      </c>
      <c r="W38">
        <v>132</v>
      </c>
      <c r="X38">
        <v>25</v>
      </c>
      <c r="Y38">
        <v>25</v>
      </c>
      <c r="Z38" t="s">
        <v>223</v>
      </c>
      <c r="AA38" t="s">
        <v>224</v>
      </c>
      <c r="AB38" t="s">
        <v>156</v>
      </c>
      <c r="AC38" t="s">
        <v>157</v>
      </c>
      <c r="AD38" t="s">
        <v>158</v>
      </c>
      <c r="AE38" t="s">
        <v>130</v>
      </c>
      <c r="AG38" t="s">
        <v>225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150</v>
      </c>
      <c r="B39">
        <v>121709</v>
      </c>
      <c r="C39">
        <v>8</v>
      </c>
      <c r="D39" t="s">
        <v>220</v>
      </c>
      <c r="E39" t="s">
        <v>221</v>
      </c>
      <c r="F39">
        <v>777</v>
      </c>
      <c r="G39">
        <v>44.76</v>
      </c>
      <c r="H39">
        <v>147.99</v>
      </c>
      <c r="I39">
        <v>35.93</v>
      </c>
      <c r="J39">
        <v>118.8</v>
      </c>
      <c r="K39">
        <v>2</v>
      </c>
      <c r="T39">
        <v>4</v>
      </c>
      <c r="U39">
        <v>2</v>
      </c>
      <c r="V39" t="s">
        <v>153</v>
      </c>
      <c r="W39">
        <v>147</v>
      </c>
      <c r="X39">
        <v>25</v>
      </c>
      <c r="Y39">
        <v>25</v>
      </c>
      <c r="Z39" t="s">
        <v>223</v>
      </c>
      <c r="AA39" t="s">
        <v>224</v>
      </c>
      <c r="AB39" t="s">
        <v>156</v>
      </c>
      <c r="AC39" t="s">
        <v>157</v>
      </c>
      <c r="AD39" t="s">
        <v>158</v>
      </c>
      <c r="AE39" t="s">
        <v>130</v>
      </c>
      <c r="AG39" t="s">
        <v>225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150</v>
      </c>
      <c r="B40">
        <v>121709</v>
      </c>
      <c r="C40">
        <v>9</v>
      </c>
      <c r="D40" t="s">
        <v>220</v>
      </c>
      <c r="E40" t="s">
        <v>221</v>
      </c>
      <c r="F40">
        <v>777</v>
      </c>
      <c r="G40">
        <v>45.94</v>
      </c>
      <c r="H40">
        <v>151.87</v>
      </c>
      <c r="I40">
        <v>34.549999999999997</v>
      </c>
      <c r="J40">
        <v>114.23</v>
      </c>
      <c r="K40">
        <v>1</v>
      </c>
      <c r="T40">
        <v>3</v>
      </c>
      <c r="U40">
        <v>2</v>
      </c>
      <c r="V40" t="s">
        <v>153</v>
      </c>
      <c r="W40">
        <v>151</v>
      </c>
      <c r="X40">
        <v>25</v>
      </c>
      <c r="Y40">
        <v>25</v>
      </c>
      <c r="Z40" t="s">
        <v>223</v>
      </c>
      <c r="AA40" t="s">
        <v>224</v>
      </c>
      <c r="AB40" t="s">
        <v>156</v>
      </c>
      <c r="AC40" t="s">
        <v>157</v>
      </c>
      <c r="AD40" t="s">
        <v>158</v>
      </c>
      <c r="AE40" t="s">
        <v>130</v>
      </c>
      <c r="AG40" t="s">
        <v>225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150</v>
      </c>
      <c r="B41">
        <v>121709</v>
      </c>
      <c r="C41">
        <v>10</v>
      </c>
      <c r="D41" t="s">
        <v>220</v>
      </c>
      <c r="E41" t="s">
        <v>221</v>
      </c>
      <c r="F41">
        <v>777</v>
      </c>
      <c r="G41">
        <v>48.75</v>
      </c>
      <c r="H41">
        <v>161.19</v>
      </c>
      <c r="I41">
        <v>36.72</v>
      </c>
      <c r="J41">
        <v>121.41</v>
      </c>
      <c r="K41">
        <v>1</v>
      </c>
      <c r="T41">
        <v>3</v>
      </c>
      <c r="U41">
        <v>2</v>
      </c>
      <c r="V41" t="s">
        <v>153</v>
      </c>
      <c r="W41">
        <v>161</v>
      </c>
      <c r="X41">
        <v>25</v>
      </c>
      <c r="Y41">
        <v>25</v>
      </c>
      <c r="Z41" t="s">
        <v>223</v>
      </c>
      <c r="AA41" t="s">
        <v>224</v>
      </c>
      <c r="AB41" t="s">
        <v>156</v>
      </c>
      <c r="AC41" t="s">
        <v>157</v>
      </c>
      <c r="AD41" t="s">
        <v>158</v>
      </c>
      <c r="AE41" t="s">
        <v>130</v>
      </c>
      <c r="AG41" t="s">
        <v>225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 x14ac:dyDescent="0.3">
      <c r="A42" t="s">
        <v>150</v>
      </c>
      <c r="B42">
        <v>123412</v>
      </c>
      <c r="C42">
        <v>1</v>
      </c>
      <c r="D42" t="s">
        <v>229</v>
      </c>
      <c r="E42" t="s">
        <v>230</v>
      </c>
      <c r="F42">
        <v>50</v>
      </c>
      <c r="G42">
        <v>18.25</v>
      </c>
      <c r="H42">
        <v>60.34</v>
      </c>
      <c r="I42">
        <v>14.49</v>
      </c>
      <c r="J42">
        <v>47.93</v>
      </c>
      <c r="K42">
        <v>16</v>
      </c>
      <c r="T42">
        <v>2</v>
      </c>
      <c r="U42">
        <v>1</v>
      </c>
      <c r="V42" t="s">
        <v>184</v>
      </c>
      <c r="W42" t="s">
        <v>231</v>
      </c>
      <c r="X42">
        <v>5</v>
      </c>
      <c r="Y42">
        <v>5</v>
      </c>
      <c r="Z42" t="s">
        <v>232</v>
      </c>
      <c r="AA42" t="s">
        <v>233</v>
      </c>
      <c r="AB42" t="s">
        <v>156</v>
      </c>
      <c r="AC42" t="s">
        <v>157</v>
      </c>
      <c r="AD42" t="s">
        <v>158</v>
      </c>
      <c r="AE42" t="s">
        <v>130</v>
      </c>
      <c r="AG42" t="s">
        <v>234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 x14ac:dyDescent="0.3">
      <c r="A43" t="s">
        <v>150</v>
      </c>
      <c r="B43">
        <v>123412</v>
      </c>
      <c r="C43">
        <v>2</v>
      </c>
      <c r="D43" t="s">
        <v>229</v>
      </c>
      <c r="E43" t="s">
        <v>230</v>
      </c>
      <c r="F43">
        <v>50</v>
      </c>
      <c r="G43">
        <v>18.25</v>
      </c>
      <c r="H43">
        <v>60.34</v>
      </c>
      <c r="I43">
        <v>14.49</v>
      </c>
      <c r="J43">
        <v>47.93</v>
      </c>
      <c r="K43">
        <v>4</v>
      </c>
      <c r="T43">
        <v>2</v>
      </c>
      <c r="U43">
        <v>1</v>
      </c>
      <c r="V43" t="s">
        <v>184</v>
      </c>
      <c r="W43" t="s">
        <v>235</v>
      </c>
      <c r="X43">
        <v>5</v>
      </c>
      <c r="Y43">
        <v>5</v>
      </c>
      <c r="Z43" t="s">
        <v>232</v>
      </c>
      <c r="AA43" t="s">
        <v>233</v>
      </c>
      <c r="AB43" t="s">
        <v>156</v>
      </c>
      <c r="AC43" t="s">
        <v>157</v>
      </c>
      <c r="AD43" t="s">
        <v>158</v>
      </c>
      <c r="AE43" t="s">
        <v>130</v>
      </c>
      <c r="AG43" t="s">
        <v>234</v>
      </c>
      <c r="AH43">
        <v>0</v>
      </c>
      <c r="AI43">
        <v>0</v>
      </c>
      <c r="AJ43">
        <v>0</v>
      </c>
      <c r="AK43">
        <v>0</v>
      </c>
      <c r="AL43">
        <v>0</v>
      </c>
    </row>
    <row r="44" spans="1:38" x14ac:dyDescent="0.3">
      <c r="A44" t="s">
        <v>150</v>
      </c>
      <c r="B44">
        <v>123412</v>
      </c>
      <c r="C44">
        <v>3</v>
      </c>
      <c r="D44" t="s">
        <v>229</v>
      </c>
      <c r="E44" t="s">
        <v>230</v>
      </c>
      <c r="F44">
        <v>50</v>
      </c>
      <c r="G44">
        <v>19.829999999999998</v>
      </c>
      <c r="H44">
        <v>65.58</v>
      </c>
      <c r="I44">
        <v>15.73</v>
      </c>
      <c r="J44">
        <v>52.03</v>
      </c>
      <c r="K44">
        <v>20</v>
      </c>
      <c r="T44">
        <v>3</v>
      </c>
      <c r="U44">
        <v>1</v>
      </c>
      <c r="V44" t="s">
        <v>184</v>
      </c>
      <c r="W44">
        <v>65</v>
      </c>
      <c r="X44">
        <v>5</v>
      </c>
      <c r="Y44">
        <v>5</v>
      </c>
      <c r="Z44" t="s">
        <v>232</v>
      </c>
      <c r="AA44" t="s">
        <v>233</v>
      </c>
      <c r="AB44" t="s">
        <v>156</v>
      </c>
      <c r="AC44" t="s">
        <v>157</v>
      </c>
      <c r="AD44" t="s">
        <v>158</v>
      </c>
      <c r="AE44" t="s">
        <v>130</v>
      </c>
      <c r="AG44" t="s">
        <v>234</v>
      </c>
      <c r="AH44">
        <v>0</v>
      </c>
      <c r="AI44">
        <v>0</v>
      </c>
      <c r="AJ44">
        <v>0</v>
      </c>
      <c r="AK44">
        <v>0</v>
      </c>
      <c r="AL44">
        <v>0</v>
      </c>
    </row>
    <row r="45" spans="1:38" x14ac:dyDescent="0.3">
      <c r="A45" t="s">
        <v>150</v>
      </c>
      <c r="B45">
        <v>123412</v>
      </c>
      <c r="C45">
        <v>4</v>
      </c>
      <c r="D45" t="s">
        <v>229</v>
      </c>
      <c r="E45" t="s">
        <v>230</v>
      </c>
      <c r="F45">
        <v>50</v>
      </c>
      <c r="G45">
        <v>21.94</v>
      </c>
      <c r="H45">
        <v>72.540000000000006</v>
      </c>
      <c r="I45">
        <v>16.09</v>
      </c>
      <c r="J45">
        <v>53.22</v>
      </c>
      <c r="K45">
        <v>5</v>
      </c>
      <c r="T45">
        <v>3</v>
      </c>
      <c r="U45">
        <v>1</v>
      </c>
      <c r="V45" t="s">
        <v>184</v>
      </c>
      <c r="W45">
        <v>72</v>
      </c>
      <c r="X45">
        <v>5</v>
      </c>
      <c r="Y45">
        <v>5</v>
      </c>
      <c r="Z45" t="s">
        <v>232</v>
      </c>
      <c r="AA45" t="s">
        <v>233</v>
      </c>
      <c r="AB45" t="s">
        <v>156</v>
      </c>
      <c r="AC45" t="s">
        <v>157</v>
      </c>
      <c r="AD45" t="s">
        <v>158</v>
      </c>
      <c r="AE45" t="s">
        <v>130</v>
      </c>
      <c r="AG45" t="s">
        <v>234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 x14ac:dyDescent="0.3">
      <c r="A46" t="s">
        <v>150</v>
      </c>
      <c r="B46">
        <v>123412</v>
      </c>
      <c r="C46">
        <v>5</v>
      </c>
      <c r="D46" t="s">
        <v>229</v>
      </c>
      <c r="E46" t="s">
        <v>230</v>
      </c>
      <c r="F46">
        <v>50</v>
      </c>
      <c r="G46">
        <v>22.86</v>
      </c>
      <c r="H46">
        <v>75.59</v>
      </c>
      <c r="I46">
        <v>16.8</v>
      </c>
      <c r="J46">
        <v>55.57</v>
      </c>
      <c r="K46">
        <v>5</v>
      </c>
      <c r="T46">
        <v>3</v>
      </c>
      <c r="U46">
        <v>1</v>
      </c>
      <c r="V46" t="s">
        <v>184</v>
      </c>
      <c r="W46">
        <v>75</v>
      </c>
      <c r="X46">
        <v>5</v>
      </c>
      <c r="Y46">
        <v>5</v>
      </c>
      <c r="Z46" t="s">
        <v>232</v>
      </c>
      <c r="AA46" t="s">
        <v>233</v>
      </c>
      <c r="AB46" t="s">
        <v>156</v>
      </c>
      <c r="AC46" t="s">
        <v>157</v>
      </c>
      <c r="AD46" t="s">
        <v>158</v>
      </c>
      <c r="AE46" t="s">
        <v>130</v>
      </c>
      <c r="AG46" t="s">
        <v>234</v>
      </c>
      <c r="AH46">
        <v>0</v>
      </c>
      <c r="AI46">
        <v>0</v>
      </c>
      <c r="AJ46">
        <v>0</v>
      </c>
      <c r="AK46">
        <v>0</v>
      </c>
      <c r="AL46">
        <v>0</v>
      </c>
    </row>
    <row r="47" spans="1:38" x14ac:dyDescent="0.3">
      <c r="A47" t="s">
        <v>150</v>
      </c>
      <c r="B47">
        <v>17230</v>
      </c>
      <c r="C47">
        <v>1</v>
      </c>
      <c r="D47" t="s">
        <v>236</v>
      </c>
      <c r="E47" t="s">
        <v>237</v>
      </c>
      <c r="F47">
        <v>44</v>
      </c>
      <c r="G47">
        <v>16.809999999999999</v>
      </c>
      <c r="H47">
        <v>55.58</v>
      </c>
      <c r="I47">
        <v>15.24</v>
      </c>
      <c r="J47">
        <v>50.4</v>
      </c>
      <c r="K47">
        <v>28</v>
      </c>
      <c r="T47">
        <v>2</v>
      </c>
      <c r="U47">
        <v>1</v>
      </c>
      <c r="V47" t="s">
        <v>153</v>
      </c>
      <c r="W47">
        <v>55</v>
      </c>
      <c r="X47">
        <v>5</v>
      </c>
      <c r="Y47">
        <v>5</v>
      </c>
      <c r="Z47" t="s">
        <v>238</v>
      </c>
      <c r="AA47" t="s">
        <v>239</v>
      </c>
      <c r="AB47" t="s">
        <v>156</v>
      </c>
      <c r="AC47" t="s">
        <v>157</v>
      </c>
      <c r="AD47" t="s">
        <v>158</v>
      </c>
      <c r="AE47" t="s">
        <v>130</v>
      </c>
      <c r="AG47" t="s">
        <v>240</v>
      </c>
      <c r="AH47">
        <v>0</v>
      </c>
      <c r="AI47">
        <v>0</v>
      </c>
      <c r="AJ47">
        <v>0</v>
      </c>
      <c r="AK47">
        <v>0</v>
      </c>
      <c r="AL47">
        <v>0</v>
      </c>
    </row>
    <row r="48" spans="1:38" x14ac:dyDescent="0.3">
      <c r="A48" t="s">
        <v>150</v>
      </c>
      <c r="B48">
        <v>17230</v>
      </c>
      <c r="C48">
        <v>2</v>
      </c>
      <c r="D48" t="s">
        <v>236</v>
      </c>
      <c r="E48" t="s">
        <v>237</v>
      </c>
      <c r="F48">
        <v>44</v>
      </c>
      <c r="G48">
        <v>17.760000000000002</v>
      </c>
      <c r="H48">
        <v>58.73</v>
      </c>
      <c r="I48">
        <v>16.190000000000001</v>
      </c>
      <c r="J48">
        <v>53.55</v>
      </c>
      <c r="K48">
        <v>8</v>
      </c>
      <c r="T48">
        <v>2</v>
      </c>
      <c r="U48">
        <v>1</v>
      </c>
      <c r="V48" t="s">
        <v>153</v>
      </c>
      <c r="W48">
        <v>58</v>
      </c>
      <c r="X48">
        <v>5</v>
      </c>
      <c r="Y48">
        <v>5</v>
      </c>
      <c r="Z48" t="s">
        <v>238</v>
      </c>
      <c r="AA48" t="s">
        <v>239</v>
      </c>
      <c r="AB48" t="s">
        <v>156</v>
      </c>
      <c r="AC48" t="s">
        <v>157</v>
      </c>
      <c r="AD48" t="s">
        <v>158</v>
      </c>
      <c r="AE48" t="s">
        <v>130</v>
      </c>
      <c r="AG48" t="s">
        <v>240</v>
      </c>
      <c r="AH48">
        <v>0</v>
      </c>
      <c r="AI48">
        <v>0</v>
      </c>
      <c r="AJ48">
        <v>0</v>
      </c>
      <c r="AK48">
        <v>0</v>
      </c>
      <c r="AL48">
        <v>0</v>
      </c>
    </row>
    <row r="49" spans="1:38" x14ac:dyDescent="0.3">
      <c r="A49" t="s">
        <v>150</v>
      </c>
      <c r="B49">
        <v>17230</v>
      </c>
      <c r="C49">
        <v>3</v>
      </c>
      <c r="D49" t="s">
        <v>236</v>
      </c>
      <c r="E49" t="s">
        <v>237</v>
      </c>
      <c r="F49">
        <v>44</v>
      </c>
      <c r="G49">
        <v>19.079999999999998</v>
      </c>
      <c r="H49">
        <v>63.08</v>
      </c>
      <c r="I49">
        <v>17.510000000000002</v>
      </c>
      <c r="J49">
        <v>57.9</v>
      </c>
      <c r="K49">
        <v>8</v>
      </c>
      <c r="T49">
        <v>2</v>
      </c>
      <c r="U49">
        <v>1</v>
      </c>
      <c r="V49" t="s">
        <v>153</v>
      </c>
      <c r="W49">
        <v>63</v>
      </c>
      <c r="X49">
        <v>5</v>
      </c>
      <c r="Y49">
        <v>5</v>
      </c>
      <c r="Z49" t="s">
        <v>238</v>
      </c>
      <c r="AA49" t="s">
        <v>239</v>
      </c>
      <c r="AB49" t="s">
        <v>156</v>
      </c>
      <c r="AC49" t="s">
        <v>157</v>
      </c>
      <c r="AD49" t="s">
        <v>158</v>
      </c>
      <c r="AE49" t="s">
        <v>130</v>
      </c>
      <c r="AG49" t="s">
        <v>240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150</v>
      </c>
      <c r="B50">
        <v>131583</v>
      </c>
      <c r="C50">
        <v>1</v>
      </c>
      <c r="D50" t="s">
        <v>241</v>
      </c>
      <c r="E50" t="s">
        <v>242</v>
      </c>
      <c r="F50">
        <v>25</v>
      </c>
      <c r="G50">
        <v>19.32</v>
      </c>
      <c r="H50">
        <v>63.9</v>
      </c>
      <c r="I50">
        <v>17.690000000000001</v>
      </c>
      <c r="J50">
        <v>58.5</v>
      </c>
      <c r="K50">
        <v>25</v>
      </c>
      <c r="T50">
        <v>2</v>
      </c>
      <c r="U50">
        <v>1</v>
      </c>
      <c r="V50" t="s">
        <v>153</v>
      </c>
      <c r="W50">
        <v>63</v>
      </c>
      <c r="X50">
        <v>5</v>
      </c>
      <c r="Y50">
        <v>5</v>
      </c>
      <c r="Z50" t="s">
        <v>243</v>
      </c>
      <c r="AA50" t="s">
        <v>244</v>
      </c>
      <c r="AB50" t="s">
        <v>156</v>
      </c>
      <c r="AC50" t="s">
        <v>157</v>
      </c>
      <c r="AD50" t="s">
        <v>158</v>
      </c>
      <c r="AE50" t="s">
        <v>130</v>
      </c>
      <c r="AG50" t="s">
        <v>245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150</v>
      </c>
      <c r="B51">
        <v>135924</v>
      </c>
      <c r="C51">
        <v>1</v>
      </c>
      <c r="D51" t="s">
        <v>246</v>
      </c>
      <c r="E51" t="s">
        <v>247</v>
      </c>
      <c r="F51">
        <v>46</v>
      </c>
      <c r="G51">
        <v>19.420000000000002</v>
      </c>
      <c r="H51">
        <v>64.23</v>
      </c>
      <c r="I51">
        <v>16.22</v>
      </c>
      <c r="J51">
        <v>53.64</v>
      </c>
      <c r="K51">
        <v>22</v>
      </c>
      <c r="T51">
        <v>2</v>
      </c>
      <c r="U51">
        <v>1</v>
      </c>
      <c r="V51" t="s">
        <v>153</v>
      </c>
      <c r="W51">
        <v>64</v>
      </c>
      <c r="X51">
        <v>6</v>
      </c>
      <c r="Y51">
        <v>4</v>
      </c>
      <c r="Z51" t="s">
        <v>248</v>
      </c>
      <c r="AA51" t="s">
        <v>249</v>
      </c>
      <c r="AB51" t="s">
        <v>156</v>
      </c>
      <c r="AC51" t="s">
        <v>157</v>
      </c>
      <c r="AD51" t="s">
        <v>158</v>
      </c>
      <c r="AE51" t="s">
        <v>130</v>
      </c>
      <c r="AG51" t="s">
        <v>250</v>
      </c>
      <c r="AH51">
        <v>0</v>
      </c>
      <c r="AI51">
        <v>173</v>
      </c>
      <c r="AJ51">
        <v>31</v>
      </c>
      <c r="AK51">
        <v>23</v>
      </c>
      <c r="AL51">
        <v>0.5</v>
      </c>
    </row>
    <row r="52" spans="1:38" x14ac:dyDescent="0.3">
      <c r="A52" t="s">
        <v>150</v>
      </c>
      <c r="B52">
        <v>135924</v>
      </c>
      <c r="C52">
        <v>2</v>
      </c>
      <c r="D52" t="s">
        <v>246</v>
      </c>
      <c r="E52" t="s">
        <v>247</v>
      </c>
      <c r="F52">
        <v>46</v>
      </c>
      <c r="G52">
        <v>24.44</v>
      </c>
      <c r="H52">
        <v>80.81</v>
      </c>
      <c r="I52">
        <v>20.43</v>
      </c>
      <c r="J52">
        <v>67.56</v>
      </c>
      <c r="K52">
        <v>24</v>
      </c>
      <c r="T52">
        <v>3</v>
      </c>
      <c r="U52">
        <v>1</v>
      </c>
      <c r="V52" t="s">
        <v>153</v>
      </c>
      <c r="W52">
        <v>80</v>
      </c>
      <c r="X52">
        <v>6</v>
      </c>
      <c r="Y52">
        <v>4</v>
      </c>
      <c r="Z52" t="s">
        <v>248</v>
      </c>
      <c r="AA52" t="s">
        <v>249</v>
      </c>
      <c r="AB52" t="s">
        <v>156</v>
      </c>
      <c r="AC52" t="s">
        <v>157</v>
      </c>
      <c r="AD52" t="s">
        <v>158</v>
      </c>
      <c r="AE52" t="s">
        <v>130</v>
      </c>
      <c r="AG52" t="s">
        <v>250</v>
      </c>
      <c r="AH52">
        <v>0</v>
      </c>
      <c r="AI52">
        <v>173</v>
      </c>
      <c r="AJ52">
        <v>31</v>
      </c>
      <c r="AK52">
        <v>23</v>
      </c>
      <c r="AL52">
        <v>0.5</v>
      </c>
    </row>
    <row r="53" spans="1:38" x14ac:dyDescent="0.3">
      <c r="A53" t="s">
        <v>150</v>
      </c>
      <c r="B53">
        <v>100544</v>
      </c>
      <c r="C53">
        <v>1</v>
      </c>
      <c r="D53" t="s">
        <v>251</v>
      </c>
      <c r="E53" t="s">
        <v>252</v>
      </c>
      <c r="F53">
        <v>280</v>
      </c>
      <c r="G53">
        <v>12.39</v>
      </c>
      <c r="H53">
        <v>40.98</v>
      </c>
      <c r="I53">
        <v>9.16</v>
      </c>
      <c r="J53">
        <v>30.31</v>
      </c>
      <c r="K53">
        <v>250</v>
      </c>
      <c r="T53">
        <v>2</v>
      </c>
      <c r="U53">
        <v>1</v>
      </c>
      <c r="V53" t="s">
        <v>153</v>
      </c>
      <c r="W53">
        <v>40</v>
      </c>
      <c r="X53">
        <v>15</v>
      </c>
      <c r="Y53">
        <v>6</v>
      </c>
      <c r="Z53" t="s">
        <v>253</v>
      </c>
      <c r="AA53" t="s">
        <v>254</v>
      </c>
      <c r="AB53" t="s">
        <v>156</v>
      </c>
      <c r="AC53" t="s">
        <v>157</v>
      </c>
      <c r="AD53" t="s">
        <v>158</v>
      </c>
      <c r="AE53" t="s">
        <v>130</v>
      </c>
      <c r="AG53" t="s">
        <v>255</v>
      </c>
      <c r="AH53">
        <v>0</v>
      </c>
      <c r="AI53">
        <v>262</v>
      </c>
      <c r="AJ53">
        <v>37</v>
      </c>
      <c r="AK53">
        <v>132</v>
      </c>
      <c r="AL53">
        <v>0.47</v>
      </c>
    </row>
    <row r="54" spans="1:38" x14ac:dyDescent="0.3">
      <c r="A54" t="s">
        <v>150</v>
      </c>
      <c r="B54">
        <v>100544</v>
      </c>
      <c r="C54">
        <v>2</v>
      </c>
      <c r="D54" t="s">
        <v>251</v>
      </c>
      <c r="E54" t="s">
        <v>252</v>
      </c>
      <c r="F54">
        <v>280</v>
      </c>
      <c r="G54">
        <v>17.28</v>
      </c>
      <c r="H54">
        <v>57.14</v>
      </c>
      <c r="I54">
        <v>13.09</v>
      </c>
      <c r="J54">
        <v>43.29</v>
      </c>
      <c r="K54">
        <v>30</v>
      </c>
      <c r="T54">
        <v>2</v>
      </c>
      <c r="U54">
        <v>1</v>
      </c>
      <c r="V54" t="s">
        <v>153</v>
      </c>
      <c r="W54">
        <v>57</v>
      </c>
      <c r="X54">
        <v>15</v>
      </c>
      <c r="Y54">
        <v>6</v>
      </c>
      <c r="Z54" t="s">
        <v>253</v>
      </c>
      <c r="AA54" t="s">
        <v>254</v>
      </c>
      <c r="AB54" t="s">
        <v>156</v>
      </c>
      <c r="AC54" t="s">
        <v>157</v>
      </c>
      <c r="AD54" t="s">
        <v>158</v>
      </c>
      <c r="AE54" t="s">
        <v>130</v>
      </c>
      <c r="AG54" t="s">
        <v>255</v>
      </c>
      <c r="AH54">
        <v>0</v>
      </c>
      <c r="AI54">
        <v>262</v>
      </c>
      <c r="AJ54">
        <v>37</v>
      </c>
      <c r="AK54">
        <v>132</v>
      </c>
      <c r="AL54">
        <v>0.47</v>
      </c>
    </row>
    <row r="55" spans="1:38" x14ac:dyDescent="0.3">
      <c r="A55" t="s">
        <v>150</v>
      </c>
      <c r="B55">
        <v>13087</v>
      </c>
      <c r="C55">
        <v>1</v>
      </c>
      <c r="D55" t="s">
        <v>256</v>
      </c>
      <c r="E55" t="s">
        <v>257</v>
      </c>
      <c r="F55">
        <v>252</v>
      </c>
      <c r="G55">
        <v>16.66</v>
      </c>
      <c r="H55">
        <v>55.08</v>
      </c>
      <c r="I55">
        <v>13.28</v>
      </c>
      <c r="J55">
        <v>43.92</v>
      </c>
      <c r="K55">
        <v>156</v>
      </c>
      <c r="T55">
        <v>3</v>
      </c>
      <c r="U55">
        <v>1</v>
      </c>
      <c r="V55" t="s">
        <v>153</v>
      </c>
      <c r="W55">
        <v>55</v>
      </c>
      <c r="X55">
        <v>5</v>
      </c>
      <c r="Y55">
        <v>3</v>
      </c>
      <c r="Z55" t="s">
        <v>258</v>
      </c>
      <c r="AA55" t="s">
        <v>259</v>
      </c>
      <c r="AB55" t="s">
        <v>156</v>
      </c>
      <c r="AC55" t="s">
        <v>157</v>
      </c>
      <c r="AD55" t="s">
        <v>158</v>
      </c>
      <c r="AE55" t="s">
        <v>130</v>
      </c>
      <c r="AG55" t="s">
        <v>260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150</v>
      </c>
      <c r="B56">
        <v>13087</v>
      </c>
      <c r="C56">
        <v>2</v>
      </c>
      <c r="D56" t="s">
        <v>256</v>
      </c>
      <c r="E56" t="s">
        <v>257</v>
      </c>
      <c r="F56">
        <v>252</v>
      </c>
      <c r="G56">
        <v>20.67</v>
      </c>
      <c r="H56">
        <v>68.349999999999994</v>
      </c>
      <c r="I56">
        <v>16.77</v>
      </c>
      <c r="J56">
        <v>55.44</v>
      </c>
      <c r="K56">
        <v>96</v>
      </c>
      <c r="T56">
        <v>3</v>
      </c>
      <c r="U56">
        <v>1</v>
      </c>
      <c r="V56" t="s">
        <v>153</v>
      </c>
      <c r="W56">
        <v>68</v>
      </c>
      <c r="X56">
        <v>5</v>
      </c>
      <c r="Y56">
        <v>3</v>
      </c>
      <c r="Z56" t="s">
        <v>258</v>
      </c>
      <c r="AA56" t="s">
        <v>259</v>
      </c>
      <c r="AB56" t="s">
        <v>156</v>
      </c>
      <c r="AC56" t="s">
        <v>157</v>
      </c>
      <c r="AD56" t="s">
        <v>158</v>
      </c>
      <c r="AE56" t="s">
        <v>130</v>
      </c>
      <c r="AG56" t="s">
        <v>260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150</v>
      </c>
      <c r="B57">
        <v>15392</v>
      </c>
      <c r="C57">
        <v>1</v>
      </c>
      <c r="D57" t="s">
        <v>261</v>
      </c>
      <c r="E57" t="s">
        <v>262</v>
      </c>
      <c r="F57">
        <v>300</v>
      </c>
      <c r="G57">
        <v>15.68</v>
      </c>
      <c r="H57">
        <v>51.84</v>
      </c>
      <c r="I57">
        <v>13.63</v>
      </c>
      <c r="J57">
        <v>45.09</v>
      </c>
      <c r="K57">
        <v>60</v>
      </c>
      <c r="T57">
        <v>2</v>
      </c>
      <c r="U57">
        <v>1</v>
      </c>
      <c r="V57" t="s">
        <v>153</v>
      </c>
      <c r="W57" t="s">
        <v>116</v>
      </c>
      <c r="X57">
        <v>5</v>
      </c>
      <c r="Y57">
        <v>5</v>
      </c>
      <c r="Z57" t="s">
        <v>263</v>
      </c>
      <c r="AA57" t="s">
        <v>264</v>
      </c>
      <c r="AB57" t="s">
        <v>156</v>
      </c>
      <c r="AC57" t="s">
        <v>157</v>
      </c>
      <c r="AD57" t="s">
        <v>158</v>
      </c>
      <c r="AE57" t="s">
        <v>130</v>
      </c>
      <c r="AG57" t="s">
        <v>265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150</v>
      </c>
      <c r="B58">
        <v>15392</v>
      </c>
      <c r="C58">
        <v>2</v>
      </c>
      <c r="D58" t="s">
        <v>261</v>
      </c>
      <c r="E58" t="s">
        <v>262</v>
      </c>
      <c r="F58">
        <v>300</v>
      </c>
      <c r="G58">
        <v>16.010000000000002</v>
      </c>
      <c r="H58">
        <v>52.95</v>
      </c>
      <c r="I58">
        <v>13.74</v>
      </c>
      <c r="J58">
        <v>45.45</v>
      </c>
      <c r="K58">
        <v>50</v>
      </c>
      <c r="T58">
        <v>2</v>
      </c>
      <c r="U58">
        <v>1</v>
      </c>
      <c r="V58" t="s">
        <v>153</v>
      </c>
      <c r="W58" t="s">
        <v>266</v>
      </c>
      <c r="X58">
        <v>5</v>
      </c>
      <c r="Y58">
        <v>5</v>
      </c>
      <c r="Z58" t="s">
        <v>263</v>
      </c>
      <c r="AA58" t="s">
        <v>264</v>
      </c>
      <c r="AB58" t="s">
        <v>156</v>
      </c>
      <c r="AC58" t="s">
        <v>157</v>
      </c>
      <c r="AD58" t="s">
        <v>158</v>
      </c>
      <c r="AE58" t="s">
        <v>130</v>
      </c>
      <c r="AG58" t="s">
        <v>265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150</v>
      </c>
      <c r="B59">
        <v>15392</v>
      </c>
      <c r="C59">
        <v>3</v>
      </c>
      <c r="D59" t="s">
        <v>261</v>
      </c>
      <c r="E59" t="s">
        <v>262</v>
      </c>
      <c r="F59">
        <v>300</v>
      </c>
      <c r="G59">
        <v>17.98</v>
      </c>
      <c r="H59">
        <v>59.44</v>
      </c>
      <c r="I59">
        <v>15.86</v>
      </c>
      <c r="J59">
        <v>52.44</v>
      </c>
      <c r="K59">
        <v>90</v>
      </c>
      <c r="T59">
        <v>3</v>
      </c>
      <c r="U59">
        <v>1</v>
      </c>
      <c r="V59" t="s">
        <v>153</v>
      </c>
      <c r="W59">
        <v>59</v>
      </c>
      <c r="X59">
        <v>5</v>
      </c>
      <c r="Y59">
        <v>5</v>
      </c>
      <c r="Z59" t="s">
        <v>263</v>
      </c>
      <c r="AA59" t="s">
        <v>264</v>
      </c>
      <c r="AB59" t="s">
        <v>156</v>
      </c>
      <c r="AC59" t="s">
        <v>157</v>
      </c>
      <c r="AD59" t="s">
        <v>158</v>
      </c>
      <c r="AE59" t="s">
        <v>130</v>
      </c>
      <c r="AG59" t="s">
        <v>265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150</v>
      </c>
      <c r="B60">
        <v>15392</v>
      </c>
      <c r="C60">
        <v>4</v>
      </c>
      <c r="D60" t="s">
        <v>261</v>
      </c>
      <c r="E60" t="s">
        <v>262</v>
      </c>
      <c r="F60">
        <v>300</v>
      </c>
      <c r="G60">
        <v>18.649999999999999</v>
      </c>
      <c r="H60">
        <v>61.68</v>
      </c>
      <c r="I60">
        <v>16.38</v>
      </c>
      <c r="J60">
        <v>54.18</v>
      </c>
      <c r="K60">
        <v>100</v>
      </c>
      <c r="T60">
        <v>3</v>
      </c>
      <c r="U60">
        <v>1</v>
      </c>
      <c r="V60" t="s">
        <v>153</v>
      </c>
      <c r="W60">
        <v>61</v>
      </c>
      <c r="X60">
        <v>5</v>
      </c>
      <c r="Y60">
        <v>5</v>
      </c>
      <c r="Z60" t="s">
        <v>263</v>
      </c>
      <c r="AA60" t="s">
        <v>264</v>
      </c>
      <c r="AB60" t="s">
        <v>156</v>
      </c>
      <c r="AC60" t="s">
        <v>157</v>
      </c>
      <c r="AD60" t="s">
        <v>158</v>
      </c>
      <c r="AE60" t="s">
        <v>130</v>
      </c>
      <c r="AG60" t="s">
        <v>265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150</v>
      </c>
      <c r="B61">
        <v>15390</v>
      </c>
      <c r="C61">
        <v>1</v>
      </c>
      <c r="D61" t="s">
        <v>267</v>
      </c>
      <c r="E61" t="s">
        <v>257</v>
      </c>
      <c r="F61">
        <v>140</v>
      </c>
      <c r="G61">
        <v>18.02</v>
      </c>
      <c r="H61">
        <v>59.6</v>
      </c>
      <c r="I61">
        <v>15.01</v>
      </c>
      <c r="J61">
        <v>49.63</v>
      </c>
      <c r="K61">
        <v>16</v>
      </c>
      <c r="T61">
        <v>2</v>
      </c>
      <c r="U61">
        <v>1</v>
      </c>
      <c r="V61" t="s">
        <v>153</v>
      </c>
      <c r="W61">
        <v>59</v>
      </c>
      <c r="X61">
        <v>6</v>
      </c>
      <c r="Y61">
        <v>5</v>
      </c>
      <c r="Z61" t="s">
        <v>268</v>
      </c>
      <c r="AA61" t="s">
        <v>269</v>
      </c>
      <c r="AB61" t="s">
        <v>156</v>
      </c>
      <c r="AC61" t="s">
        <v>157</v>
      </c>
      <c r="AD61" t="s">
        <v>158</v>
      </c>
      <c r="AE61" t="s">
        <v>130</v>
      </c>
      <c r="AG61" t="s">
        <v>200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3">
      <c r="A62" t="s">
        <v>150</v>
      </c>
      <c r="B62">
        <v>15390</v>
      </c>
      <c r="C62">
        <v>2</v>
      </c>
      <c r="D62" t="s">
        <v>267</v>
      </c>
      <c r="E62" t="s">
        <v>257</v>
      </c>
      <c r="F62">
        <v>140</v>
      </c>
      <c r="G62">
        <v>24.53</v>
      </c>
      <c r="H62">
        <v>81.099999999999994</v>
      </c>
      <c r="I62">
        <v>20.51</v>
      </c>
      <c r="J62">
        <v>67.819999999999993</v>
      </c>
      <c r="K62">
        <v>124</v>
      </c>
      <c r="T62">
        <v>3</v>
      </c>
      <c r="U62">
        <v>1</v>
      </c>
      <c r="V62" t="s">
        <v>153</v>
      </c>
      <c r="W62">
        <v>81</v>
      </c>
      <c r="X62">
        <v>6</v>
      </c>
      <c r="Y62">
        <v>5</v>
      </c>
      <c r="Z62" t="s">
        <v>268</v>
      </c>
      <c r="AA62" t="s">
        <v>269</v>
      </c>
      <c r="AB62" t="s">
        <v>156</v>
      </c>
      <c r="AC62" t="s">
        <v>157</v>
      </c>
      <c r="AD62" t="s">
        <v>158</v>
      </c>
      <c r="AE62" t="s">
        <v>130</v>
      </c>
      <c r="AG62" t="s">
        <v>200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270</v>
      </c>
      <c r="B63">
        <v>132729</v>
      </c>
      <c r="C63">
        <v>1</v>
      </c>
      <c r="D63" t="s">
        <v>271</v>
      </c>
      <c r="E63" t="s">
        <v>272</v>
      </c>
      <c r="F63">
        <v>36</v>
      </c>
      <c r="G63">
        <v>20.37</v>
      </c>
      <c r="H63">
        <v>67.37</v>
      </c>
      <c r="I63">
        <v>18.11</v>
      </c>
      <c r="J63">
        <v>59.88</v>
      </c>
      <c r="K63">
        <v>24</v>
      </c>
      <c r="T63">
        <v>3</v>
      </c>
      <c r="U63">
        <v>1</v>
      </c>
      <c r="V63" t="s">
        <v>153</v>
      </c>
      <c r="W63" t="s">
        <v>273</v>
      </c>
      <c r="X63">
        <v>6</v>
      </c>
      <c r="Y63">
        <v>6</v>
      </c>
      <c r="Z63" t="s">
        <v>274</v>
      </c>
      <c r="AA63" t="s">
        <v>275</v>
      </c>
      <c r="AB63" t="s">
        <v>156</v>
      </c>
      <c r="AC63" t="s">
        <v>157</v>
      </c>
      <c r="AD63" t="s">
        <v>158</v>
      </c>
      <c r="AE63" t="s">
        <v>276</v>
      </c>
      <c r="AG63" t="s">
        <v>277</v>
      </c>
      <c r="AH63">
        <v>0</v>
      </c>
      <c r="AI63">
        <v>165</v>
      </c>
      <c r="AJ63">
        <v>27</v>
      </c>
      <c r="AK63">
        <v>16</v>
      </c>
      <c r="AL63">
        <v>0.44</v>
      </c>
    </row>
    <row r="64" spans="1:38" x14ac:dyDescent="0.3">
      <c r="A64" t="s">
        <v>270</v>
      </c>
      <c r="B64">
        <v>132729</v>
      </c>
      <c r="C64">
        <v>2</v>
      </c>
      <c r="D64" t="s">
        <v>271</v>
      </c>
      <c r="E64" t="s">
        <v>272</v>
      </c>
      <c r="F64">
        <v>36</v>
      </c>
      <c r="G64">
        <v>20.28</v>
      </c>
      <c r="H64">
        <v>67.069999999999993</v>
      </c>
      <c r="I64">
        <v>18.02</v>
      </c>
      <c r="J64">
        <v>59.58</v>
      </c>
      <c r="K64">
        <v>6</v>
      </c>
      <c r="T64">
        <v>3</v>
      </c>
      <c r="U64">
        <v>1</v>
      </c>
      <c r="V64" t="s">
        <v>184</v>
      </c>
      <c r="W64" t="s">
        <v>113</v>
      </c>
      <c r="X64">
        <v>6</v>
      </c>
      <c r="Y64">
        <v>6</v>
      </c>
      <c r="Z64" t="s">
        <v>274</v>
      </c>
      <c r="AA64" t="s">
        <v>275</v>
      </c>
      <c r="AB64" t="s">
        <v>156</v>
      </c>
      <c r="AC64" t="s">
        <v>157</v>
      </c>
      <c r="AD64" t="s">
        <v>158</v>
      </c>
      <c r="AE64" t="s">
        <v>276</v>
      </c>
      <c r="AG64" t="s">
        <v>277</v>
      </c>
      <c r="AH64">
        <v>0</v>
      </c>
      <c r="AI64">
        <v>165</v>
      </c>
      <c r="AJ64">
        <v>27</v>
      </c>
      <c r="AK64">
        <v>16</v>
      </c>
      <c r="AL64">
        <v>0.44</v>
      </c>
    </row>
    <row r="65" spans="1:38" x14ac:dyDescent="0.3">
      <c r="A65" t="s">
        <v>270</v>
      </c>
      <c r="B65">
        <v>132729</v>
      </c>
      <c r="C65">
        <v>3</v>
      </c>
      <c r="D65" t="s">
        <v>271</v>
      </c>
      <c r="E65" t="s">
        <v>272</v>
      </c>
      <c r="F65">
        <v>36</v>
      </c>
      <c r="G65">
        <v>20.38</v>
      </c>
      <c r="H65">
        <v>67.400000000000006</v>
      </c>
      <c r="I65">
        <v>18.12</v>
      </c>
      <c r="J65">
        <v>59.91</v>
      </c>
      <c r="K65">
        <v>6</v>
      </c>
      <c r="T65">
        <v>3</v>
      </c>
      <c r="U65">
        <v>1</v>
      </c>
      <c r="V65" t="s">
        <v>153</v>
      </c>
      <c r="W65" t="s">
        <v>278</v>
      </c>
      <c r="X65">
        <v>6</v>
      </c>
      <c r="Y65">
        <v>6</v>
      </c>
      <c r="Z65" t="s">
        <v>274</v>
      </c>
      <c r="AA65" t="s">
        <v>275</v>
      </c>
      <c r="AB65" t="s">
        <v>156</v>
      </c>
      <c r="AC65" t="s">
        <v>157</v>
      </c>
      <c r="AD65" t="s">
        <v>158</v>
      </c>
      <c r="AE65" t="s">
        <v>276</v>
      </c>
      <c r="AG65" t="s">
        <v>277</v>
      </c>
      <c r="AH65">
        <v>0</v>
      </c>
      <c r="AI65">
        <v>165</v>
      </c>
      <c r="AJ65">
        <v>27</v>
      </c>
      <c r="AK65">
        <v>16</v>
      </c>
      <c r="AL65">
        <v>0.44</v>
      </c>
    </row>
    <row r="66" spans="1:38" x14ac:dyDescent="0.3">
      <c r="A66" t="s">
        <v>270</v>
      </c>
      <c r="B66">
        <v>101279</v>
      </c>
      <c r="C66">
        <v>1</v>
      </c>
      <c r="D66" t="s">
        <v>279</v>
      </c>
      <c r="E66" t="s">
        <v>280</v>
      </c>
      <c r="F66">
        <v>700</v>
      </c>
      <c r="G66">
        <v>13.02</v>
      </c>
      <c r="H66">
        <v>43.05</v>
      </c>
      <c r="I66">
        <v>10.15</v>
      </c>
      <c r="J66">
        <v>33.57</v>
      </c>
      <c r="K66">
        <v>240</v>
      </c>
      <c r="T66">
        <v>1</v>
      </c>
      <c r="U66">
        <v>1</v>
      </c>
      <c r="V66" t="s">
        <v>153</v>
      </c>
      <c r="W66">
        <v>43</v>
      </c>
      <c r="X66">
        <v>10</v>
      </c>
      <c r="Y66">
        <v>10</v>
      </c>
      <c r="Z66" t="s">
        <v>281</v>
      </c>
      <c r="AA66" t="s">
        <v>282</v>
      </c>
      <c r="AB66" t="s">
        <v>156</v>
      </c>
      <c r="AC66" t="s">
        <v>157</v>
      </c>
      <c r="AD66" t="s">
        <v>158</v>
      </c>
      <c r="AE66" t="s">
        <v>276</v>
      </c>
      <c r="AG66" t="s">
        <v>283</v>
      </c>
      <c r="AH66">
        <v>0</v>
      </c>
      <c r="AI66">
        <v>141</v>
      </c>
      <c r="AJ66">
        <v>20</v>
      </c>
      <c r="AK66">
        <v>509</v>
      </c>
      <c r="AL66">
        <v>0.73</v>
      </c>
    </row>
    <row r="67" spans="1:38" x14ac:dyDescent="0.3">
      <c r="A67" t="s">
        <v>270</v>
      </c>
      <c r="B67">
        <v>101279</v>
      </c>
      <c r="C67">
        <v>2</v>
      </c>
      <c r="D67" t="s">
        <v>279</v>
      </c>
      <c r="E67" t="s">
        <v>280</v>
      </c>
      <c r="F67">
        <v>700</v>
      </c>
      <c r="G67">
        <v>15.78</v>
      </c>
      <c r="H67">
        <v>52.17</v>
      </c>
      <c r="I67">
        <v>12.03</v>
      </c>
      <c r="J67">
        <v>39.78</v>
      </c>
      <c r="K67">
        <v>460</v>
      </c>
      <c r="T67">
        <v>2</v>
      </c>
      <c r="U67">
        <v>1</v>
      </c>
      <c r="V67" t="s">
        <v>153</v>
      </c>
      <c r="W67">
        <v>52</v>
      </c>
      <c r="X67">
        <v>10</v>
      </c>
      <c r="Y67">
        <v>10</v>
      </c>
      <c r="Z67" t="s">
        <v>281</v>
      </c>
      <c r="AA67" t="s">
        <v>282</v>
      </c>
      <c r="AB67" t="s">
        <v>156</v>
      </c>
      <c r="AC67" t="s">
        <v>157</v>
      </c>
      <c r="AD67" t="s">
        <v>158</v>
      </c>
      <c r="AE67" t="s">
        <v>276</v>
      </c>
      <c r="AG67" t="s">
        <v>283</v>
      </c>
      <c r="AH67">
        <v>0</v>
      </c>
      <c r="AI67">
        <v>141</v>
      </c>
      <c r="AJ67">
        <v>20</v>
      </c>
      <c r="AK67">
        <v>509</v>
      </c>
      <c r="AL67">
        <v>0.73</v>
      </c>
    </row>
    <row r="68" spans="1:38" x14ac:dyDescent="0.3">
      <c r="A68" t="s">
        <v>270</v>
      </c>
      <c r="B68">
        <v>115812</v>
      </c>
      <c r="C68">
        <v>1</v>
      </c>
      <c r="D68" t="s">
        <v>284</v>
      </c>
      <c r="E68" t="s">
        <v>285</v>
      </c>
      <c r="F68">
        <v>49</v>
      </c>
      <c r="G68">
        <v>24.84</v>
      </c>
      <c r="H68">
        <v>82.14</v>
      </c>
      <c r="I68">
        <v>19.59</v>
      </c>
      <c r="J68">
        <v>64.78</v>
      </c>
      <c r="K68">
        <v>11</v>
      </c>
      <c r="T68">
        <v>3</v>
      </c>
      <c r="U68">
        <v>2</v>
      </c>
      <c r="V68" t="s">
        <v>153</v>
      </c>
      <c r="W68">
        <v>82</v>
      </c>
      <c r="X68">
        <v>13</v>
      </c>
      <c r="Y68">
        <v>4</v>
      </c>
      <c r="Z68" t="s">
        <v>286</v>
      </c>
      <c r="AA68" t="s">
        <v>287</v>
      </c>
      <c r="AB68" t="s">
        <v>156</v>
      </c>
      <c r="AC68" t="s">
        <v>157</v>
      </c>
      <c r="AD68" t="s">
        <v>158</v>
      </c>
      <c r="AE68" t="s">
        <v>276</v>
      </c>
      <c r="AG68" t="s">
        <v>288</v>
      </c>
      <c r="AH68">
        <v>0</v>
      </c>
      <c r="AI68">
        <v>232</v>
      </c>
      <c r="AJ68">
        <v>38</v>
      </c>
      <c r="AK68">
        <v>49</v>
      </c>
      <c r="AL68">
        <v>1</v>
      </c>
    </row>
    <row r="69" spans="1:38" x14ac:dyDescent="0.3">
      <c r="A69" t="s">
        <v>270</v>
      </c>
      <c r="B69">
        <v>115812</v>
      </c>
      <c r="C69">
        <v>2</v>
      </c>
      <c r="D69" t="s">
        <v>284</v>
      </c>
      <c r="E69" t="s">
        <v>285</v>
      </c>
      <c r="F69">
        <v>49</v>
      </c>
      <c r="G69">
        <v>32.729999999999997</v>
      </c>
      <c r="H69">
        <v>108.23</v>
      </c>
      <c r="I69">
        <v>25.7</v>
      </c>
      <c r="J69">
        <v>84.98</v>
      </c>
      <c r="K69">
        <v>31</v>
      </c>
      <c r="T69">
        <v>3</v>
      </c>
      <c r="U69">
        <v>2</v>
      </c>
      <c r="V69" t="s">
        <v>153</v>
      </c>
      <c r="W69" t="s">
        <v>289</v>
      </c>
      <c r="X69">
        <v>13</v>
      </c>
      <c r="Y69">
        <v>4</v>
      </c>
      <c r="Z69" t="s">
        <v>286</v>
      </c>
      <c r="AA69" t="s">
        <v>287</v>
      </c>
      <c r="AB69" t="s">
        <v>156</v>
      </c>
      <c r="AC69" t="s">
        <v>157</v>
      </c>
      <c r="AD69" t="s">
        <v>158</v>
      </c>
      <c r="AE69" t="s">
        <v>276</v>
      </c>
      <c r="AG69" t="s">
        <v>288</v>
      </c>
      <c r="AH69">
        <v>0</v>
      </c>
      <c r="AI69">
        <v>232</v>
      </c>
      <c r="AJ69">
        <v>38</v>
      </c>
      <c r="AK69">
        <v>49</v>
      </c>
      <c r="AL69">
        <v>1</v>
      </c>
    </row>
    <row r="70" spans="1:38" x14ac:dyDescent="0.3">
      <c r="A70" t="s">
        <v>270</v>
      </c>
      <c r="B70">
        <v>115812</v>
      </c>
      <c r="C70">
        <v>3</v>
      </c>
      <c r="D70" t="s">
        <v>284</v>
      </c>
      <c r="E70" t="s">
        <v>285</v>
      </c>
      <c r="F70">
        <v>49</v>
      </c>
      <c r="G70">
        <v>32.85</v>
      </c>
      <c r="H70">
        <v>108.62</v>
      </c>
      <c r="I70">
        <v>25.62</v>
      </c>
      <c r="J70">
        <v>84.7</v>
      </c>
      <c r="K70">
        <v>7</v>
      </c>
      <c r="T70">
        <v>3</v>
      </c>
      <c r="U70">
        <v>2</v>
      </c>
      <c r="V70" t="s">
        <v>153</v>
      </c>
      <c r="W70" t="s">
        <v>105</v>
      </c>
      <c r="X70">
        <v>13</v>
      </c>
      <c r="Y70">
        <v>4</v>
      </c>
      <c r="Z70" t="s">
        <v>286</v>
      </c>
      <c r="AA70" t="s">
        <v>287</v>
      </c>
      <c r="AB70" t="s">
        <v>156</v>
      </c>
      <c r="AC70" t="s">
        <v>157</v>
      </c>
      <c r="AD70" t="s">
        <v>158</v>
      </c>
      <c r="AE70" t="s">
        <v>276</v>
      </c>
      <c r="AG70" t="s">
        <v>288</v>
      </c>
      <c r="AH70">
        <v>0</v>
      </c>
      <c r="AI70">
        <v>232</v>
      </c>
      <c r="AJ70">
        <v>38</v>
      </c>
      <c r="AK70">
        <v>49</v>
      </c>
      <c r="AL70">
        <v>1</v>
      </c>
    </row>
    <row r="71" spans="1:38" x14ac:dyDescent="0.3">
      <c r="A71" t="s">
        <v>270</v>
      </c>
      <c r="B71">
        <v>106602</v>
      </c>
      <c r="C71">
        <v>1</v>
      </c>
      <c r="D71" t="s">
        <v>290</v>
      </c>
      <c r="E71" t="s">
        <v>291</v>
      </c>
      <c r="F71">
        <v>154</v>
      </c>
      <c r="G71">
        <v>21.18</v>
      </c>
      <c r="H71">
        <v>70.03</v>
      </c>
      <c r="I71">
        <v>16.149999999999999</v>
      </c>
      <c r="J71">
        <v>53.42</v>
      </c>
      <c r="K71">
        <v>1</v>
      </c>
      <c r="T71">
        <v>2</v>
      </c>
      <c r="U71">
        <v>1</v>
      </c>
      <c r="V71" t="s">
        <v>184</v>
      </c>
      <c r="W71">
        <v>70</v>
      </c>
      <c r="X71">
        <v>11</v>
      </c>
      <c r="Y71">
        <v>6</v>
      </c>
      <c r="Z71" t="s">
        <v>292</v>
      </c>
      <c r="AA71" t="s">
        <v>293</v>
      </c>
      <c r="AB71" t="s">
        <v>156</v>
      </c>
      <c r="AC71" t="s">
        <v>157</v>
      </c>
      <c r="AD71" t="s">
        <v>158</v>
      </c>
      <c r="AE71" t="s">
        <v>276</v>
      </c>
      <c r="AG71" t="s">
        <v>294</v>
      </c>
      <c r="AH71">
        <v>0</v>
      </c>
      <c r="AI71">
        <v>224</v>
      </c>
      <c r="AJ71">
        <v>25</v>
      </c>
      <c r="AK71">
        <v>68</v>
      </c>
      <c r="AL71">
        <v>0.44</v>
      </c>
    </row>
    <row r="72" spans="1:38" x14ac:dyDescent="0.3">
      <c r="A72" t="s">
        <v>270</v>
      </c>
      <c r="B72">
        <v>106602</v>
      </c>
      <c r="C72">
        <v>2</v>
      </c>
      <c r="D72" t="s">
        <v>290</v>
      </c>
      <c r="E72" t="s">
        <v>291</v>
      </c>
      <c r="F72">
        <v>154</v>
      </c>
      <c r="G72">
        <v>23.56</v>
      </c>
      <c r="H72">
        <v>77.900000000000006</v>
      </c>
      <c r="I72">
        <v>17.97</v>
      </c>
      <c r="J72">
        <v>59.42</v>
      </c>
      <c r="K72">
        <v>153</v>
      </c>
      <c r="T72">
        <v>3</v>
      </c>
      <c r="U72">
        <v>1</v>
      </c>
      <c r="V72" t="s">
        <v>184</v>
      </c>
      <c r="W72">
        <v>77</v>
      </c>
      <c r="X72">
        <v>11</v>
      </c>
      <c r="Y72">
        <v>6</v>
      </c>
      <c r="Z72" t="s">
        <v>292</v>
      </c>
      <c r="AA72" t="s">
        <v>293</v>
      </c>
      <c r="AB72" t="s">
        <v>156</v>
      </c>
      <c r="AC72" t="s">
        <v>157</v>
      </c>
      <c r="AD72" t="s">
        <v>158</v>
      </c>
      <c r="AE72" t="s">
        <v>276</v>
      </c>
      <c r="AG72" t="s">
        <v>294</v>
      </c>
      <c r="AH72">
        <v>0</v>
      </c>
      <c r="AI72">
        <v>224</v>
      </c>
      <c r="AJ72">
        <v>25</v>
      </c>
      <c r="AK72">
        <v>68</v>
      </c>
      <c r="AL72">
        <v>0.44</v>
      </c>
    </row>
    <row r="73" spans="1:38" x14ac:dyDescent="0.3">
      <c r="A73" t="s">
        <v>270</v>
      </c>
      <c r="B73">
        <v>17225</v>
      </c>
      <c r="C73">
        <v>1</v>
      </c>
      <c r="D73" t="s">
        <v>295</v>
      </c>
      <c r="E73" t="s">
        <v>296</v>
      </c>
      <c r="F73">
        <v>298</v>
      </c>
      <c r="G73">
        <v>23.77</v>
      </c>
      <c r="H73">
        <v>78.599999999999994</v>
      </c>
      <c r="I73">
        <v>18.059999999999999</v>
      </c>
      <c r="J73">
        <v>59.73</v>
      </c>
      <c r="K73">
        <v>298</v>
      </c>
      <c r="T73">
        <v>3</v>
      </c>
      <c r="U73">
        <v>1</v>
      </c>
      <c r="V73" t="s">
        <v>184</v>
      </c>
      <c r="W73">
        <v>78</v>
      </c>
      <c r="X73">
        <v>14</v>
      </c>
      <c r="Y73">
        <v>10</v>
      </c>
      <c r="Z73" t="s">
        <v>297</v>
      </c>
      <c r="AA73" t="s">
        <v>298</v>
      </c>
      <c r="AB73" t="s">
        <v>156</v>
      </c>
      <c r="AC73" t="s">
        <v>157</v>
      </c>
      <c r="AD73" t="s">
        <v>158</v>
      </c>
      <c r="AE73" t="s">
        <v>276</v>
      </c>
      <c r="AG73" t="s">
        <v>299</v>
      </c>
      <c r="AH73">
        <v>0</v>
      </c>
      <c r="AI73">
        <v>187</v>
      </c>
      <c r="AJ73">
        <v>16</v>
      </c>
      <c r="AK73">
        <v>203</v>
      </c>
      <c r="AL73">
        <v>0.68</v>
      </c>
    </row>
    <row r="74" spans="1:38" x14ac:dyDescent="0.3">
      <c r="A74" t="s">
        <v>270</v>
      </c>
      <c r="B74">
        <v>140237</v>
      </c>
      <c r="C74">
        <v>1</v>
      </c>
      <c r="D74" t="s">
        <v>300</v>
      </c>
      <c r="E74" t="s">
        <v>301</v>
      </c>
      <c r="F74">
        <v>28</v>
      </c>
      <c r="G74">
        <v>35.29</v>
      </c>
      <c r="H74">
        <v>116.69</v>
      </c>
      <c r="I74">
        <v>25.63</v>
      </c>
      <c r="J74">
        <v>84.75</v>
      </c>
      <c r="K74">
        <v>8</v>
      </c>
      <c r="T74">
        <v>3</v>
      </c>
      <c r="U74">
        <v>2</v>
      </c>
      <c r="V74" t="s">
        <v>153</v>
      </c>
      <c r="W74">
        <v>116</v>
      </c>
      <c r="X74">
        <v>8</v>
      </c>
      <c r="Y74">
        <v>6</v>
      </c>
      <c r="Z74" t="s">
        <v>302</v>
      </c>
      <c r="AA74" t="s">
        <v>303</v>
      </c>
      <c r="AB74" t="s">
        <v>156</v>
      </c>
      <c r="AC74" t="s">
        <v>157</v>
      </c>
      <c r="AD74" t="s">
        <v>158</v>
      </c>
      <c r="AE74" t="s">
        <v>276</v>
      </c>
      <c r="AG74" t="s">
        <v>304</v>
      </c>
      <c r="AH74">
        <v>0</v>
      </c>
      <c r="AI74">
        <v>99</v>
      </c>
      <c r="AJ74">
        <v>16</v>
      </c>
      <c r="AK74">
        <v>53</v>
      </c>
      <c r="AL74">
        <v>1.89</v>
      </c>
    </row>
    <row r="75" spans="1:38" x14ac:dyDescent="0.3">
      <c r="A75" t="s">
        <v>270</v>
      </c>
      <c r="B75">
        <v>140237</v>
      </c>
      <c r="C75">
        <v>2</v>
      </c>
      <c r="D75" t="s">
        <v>300</v>
      </c>
      <c r="E75" t="s">
        <v>301</v>
      </c>
      <c r="F75">
        <v>28</v>
      </c>
      <c r="G75">
        <v>46.72</v>
      </c>
      <c r="H75">
        <v>154.46</v>
      </c>
      <c r="I75">
        <v>34.020000000000003</v>
      </c>
      <c r="J75">
        <v>112.49</v>
      </c>
      <c r="K75">
        <v>8</v>
      </c>
      <c r="T75">
        <v>4</v>
      </c>
      <c r="U75">
        <v>2</v>
      </c>
      <c r="V75" t="s">
        <v>153</v>
      </c>
      <c r="W75">
        <v>154</v>
      </c>
      <c r="X75">
        <v>8</v>
      </c>
      <c r="Y75">
        <v>6</v>
      </c>
      <c r="Z75" t="s">
        <v>302</v>
      </c>
      <c r="AA75" t="s">
        <v>303</v>
      </c>
      <c r="AB75" t="s">
        <v>156</v>
      </c>
      <c r="AC75" t="s">
        <v>157</v>
      </c>
      <c r="AD75" t="s">
        <v>158</v>
      </c>
      <c r="AE75" t="s">
        <v>276</v>
      </c>
      <c r="AG75" t="s">
        <v>304</v>
      </c>
      <c r="AH75">
        <v>0</v>
      </c>
      <c r="AI75">
        <v>99</v>
      </c>
      <c r="AJ75">
        <v>16</v>
      </c>
      <c r="AK75">
        <v>53</v>
      </c>
      <c r="AL75">
        <v>1.89</v>
      </c>
    </row>
    <row r="76" spans="1:38" x14ac:dyDescent="0.3">
      <c r="A76" t="s">
        <v>270</v>
      </c>
      <c r="B76">
        <v>140237</v>
      </c>
      <c r="C76">
        <v>3</v>
      </c>
      <c r="D76" t="s">
        <v>300</v>
      </c>
      <c r="E76" t="s">
        <v>301</v>
      </c>
      <c r="F76">
        <v>28</v>
      </c>
      <c r="G76">
        <v>54.32</v>
      </c>
      <c r="H76">
        <v>179.6</v>
      </c>
      <c r="I76">
        <v>40.799999999999997</v>
      </c>
      <c r="J76">
        <v>134.88</v>
      </c>
      <c r="K76">
        <v>12</v>
      </c>
      <c r="T76">
        <v>5</v>
      </c>
      <c r="U76">
        <v>3</v>
      </c>
      <c r="V76" t="s">
        <v>153</v>
      </c>
      <c r="W76">
        <v>179</v>
      </c>
      <c r="X76">
        <v>8</v>
      </c>
      <c r="Y76">
        <v>6</v>
      </c>
      <c r="Z76" t="s">
        <v>302</v>
      </c>
      <c r="AA76" t="s">
        <v>303</v>
      </c>
      <c r="AB76" t="s">
        <v>156</v>
      </c>
      <c r="AC76" t="s">
        <v>157</v>
      </c>
      <c r="AD76" t="s">
        <v>158</v>
      </c>
      <c r="AE76" t="s">
        <v>276</v>
      </c>
      <c r="AG76" t="s">
        <v>304</v>
      </c>
      <c r="AH76">
        <v>0</v>
      </c>
      <c r="AI76">
        <v>99</v>
      </c>
      <c r="AJ76">
        <v>16</v>
      </c>
      <c r="AK76">
        <v>53</v>
      </c>
      <c r="AL76">
        <v>1.89</v>
      </c>
    </row>
    <row r="77" spans="1:38" x14ac:dyDescent="0.3">
      <c r="A77" t="s">
        <v>270</v>
      </c>
      <c r="B77">
        <v>101346</v>
      </c>
      <c r="C77">
        <v>1</v>
      </c>
      <c r="D77" t="s">
        <v>305</v>
      </c>
      <c r="E77" t="s">
        <v>301</v>
      </c>
      <c r="F77">
        <v>494</v>
      </c>
      <c r="G77">
        <v>21.64</v>
      </c>
      <c r="H77">
        <v>71.55</v>
      </c>
      <c r="I77">
        <v>18.059999999999999</v>
      </c>
      <c r="J77">
        <v>59.73</v>
      </c>
      <c r="K77">
        <v>494</v>
      </c>
      <c r="T77">
        <v>3</v>
      </c>
      <c r="U77">
        <v>1</v>
      </c>
      <c r="V77" t="s">
        <v>153</v>
      </c>
      <c r="W77">
        <v>71</v>
      </c>
      <c r="X77">
        <v>13</v>
      </c>
      <c r="Y77">
        <v>13</v>
      </c>
      <c r="Z77" t="s">
        <v>306</v>
      </c>
      <c r="AA77" t="s">
        <v>307</v>
      </c>
      <c r="AB77" t="s">
        <v>156</v>
      </c>
      <c r="AC77" t="s">
        <v>157</v>
      </c>
      <c r="AD77" t="s">
        <v>158</v>
      </c>
      <c r="AE77" t="s">
        <v>276</v>
      </c>
      <c r="AG77" t="s">
        <v>308</v>
      </c>
      <c r="AH77">
        <v>0</v>
      </c>
      <c r="AI77">
        <v>136</v>
      </c>
      <c r="AJ77">
        <v>15</v>
      </c>
      <c r="AK77">
        <v>369</v>
      </c>
      <c r="AL77">
        <v>0.75</v>
      </c>
    </row>
    <row r="78" spans="1:38" x14ac:dyDescent="0.3">
      <c r="A78" t="s">
        <v>270</v>
      </c>
      <c r="B78">
        <v>15375</v>
      </c>
      <c r="C78">
        <v>1</v>
      </c>
      <c r="D78" t="s">
        <v>191</v>
      </c>
      <c r="E78" t="s">
        <v>309</v>
      </c>
      <c r="F78">
        <v>883</v>
      </c>
      <c r="G78">
        <v>10.9</v>
      </c>
      <c r="H78">
        <v>36.049999999999997</v>
      </c>
      <c r="I78">
        <v>8.0500000000000007</v>
      </c>
      <c r="J78">
        <v>26.62</v>
      </c>
      <c r="K78">
        <v>132</v>
      </c>
      <c r="T78">
        <v>1</v>
      </c>
      <c r="U78">
        <v>1</v>
      </c>
      <c r="V78" t="s">
        <v>184</v>
      </c>
      <c r="W78">
        <v>36</v>
      </c>
      <c r="X78">
        <v>11</v>
      </c>
      <c r="Y78">
        <v>6</v>
      </c>
      <c r="Z78" t="s">
        <v>310</v>
      </c>
      <c r="AA78" t="s">
        <v>311</v>
      </c>
      <c r="AB78" t="s">
        <v>156</v>
      </c>
      <c r="AC78" t="s">
        <v>157</v>
      </c>
      <c r="AD78" t="s">
        <v>158</v>
      </c>
      <c r="AE78" t="s">
        <v>276</v>
      </c>
      <c r="AG78" t="s">
        <v>312</v>
      </c>
      <c r="AH78">
        <v>0</v>
      </c>
      <c r="AI78">
        <v>184</v>
      </c>
      <c r="AJ78">
        <v>19</v>
      </c>
      <c r="AK78">
        <v>374</v>
      </c>
      <c r="AL78">
        <v>0.42</v>
      </c>
    </row>
    <row r="79" spans="1:38" x14ac:dyDescent="0.3">
      <c r="A79" t="s">
        <v>270</v>
      </c>
      <c r="B79">
        <v>15375</v>
      </c>
      <c r="C79">
        <v>2</v>
      </c>
      <c r="D79" t="s">
        <v>191</v>
      </c>
      <c r="E79" t="s">
        <v>309</v>
      </c>
      <c r="F79">
        <v>883</v>
      </c>
      <c r="G79">
        <v>23.59</v>
      </c>
      <c r="H79">
        <v>77.989999999999995</v>
      </c>
      <c r="I79">
        <v>18.02</v>
      </c>
      <c r="J79">
        <v>59.58</v>
      </c>
      <c r="K79">
        <v>1</v>
      </c>
      <c r="T79">
        <v>3</v>
      </c>
      <c r="U79">
        <v>1</v>
      </c>
      <c r="V79" t="s">
        <v>184</v>
      </c>
      <c r="W79" t="s">
        <v>313</v>
      </c>
      <c r="X79">
        <v>11</v>
      </c>
      <c r="Y79">
        <v>6</v>
      </c>
      <c r="Z79" t="s">
        <v>310</v>
      </c>
      <c r="AA79" t="s">
        <v>311</v>
      </c>
      <c r="AB79" t="s">
        <v>156</v>
      </c>
      <c r="AC79" t="s">
        <v>157</v>
      </c>
      <c r="AD79" t="s">
        <v>158</v>
      </c>
      <c r="AE79" t="s">
        <v>276</v>
      </c>
      <c r="AG79" t="s">
        <v>312</v>
      </c>
      <c r="AH79">
        <v>0</v>
      </c>
      <c r="AI79">
        <v>184</v>
      </c>
      <c r="AJ79">
        <v>19</v>
      </c>
      <c r="AK79">
        <v>374</v>
      </c>
      <c r="AL79">
        <v>0.42</v>
      </c>
    </row>
    <row r="80" spans="1:38" x14ac:dyDescent="0.3">
      <c r="A80" t="s">
        <v>270</v>
      </c>
      <c r="B80">
        <v>15375</v>
      </c>
      <c r="C80">
        <v>3</v>
      </c>
      <c r="D80" t="s">
        <v>191</v>
      </c>
      <c r="E80" t="s">
        <v>309</v>
      </c>
      <c r="F80">
        <v>883</v>
      </c>
      <c r="G80">
        <v>23.62</v>
      </c>
      <c r="H80">
        <v>78.09</v>
      </c>
      <c r="I80">
        <v>18.05</v>
      </c>
      <c r="J80">
        <v>59.68</v>
      </c>
      <c r="K80">
        <v>750</v>
      </c>
      <c r="T80">
        <v>3</v>
      </c>
      <c r="U80">
        <v>1</v>
      </c>
      <c r="V80" t="s">
        <v>184</v>
      </c>
      <c r="W80" t="s">
        <v>112</v>
      </c>
      <c r="X80">
        <v>11</v>
      </c>
      <c r="Y80">
        <v>6</v>
      </c>
      <c r="Z80" t="s">
        <v>310</v>
      </c>
      <c r="AA80" t="s">
        <v>311</v>
      </c>
      <c r="AB80" t="s">
        <v>156</v>
      </c>
      <c r="AC80" t="s">
        <v>157</v>
      </c>
      <c r="AD80" t="s">
        <v>158</v>
      </c>
      <c r="AE80" t="s">
        <v>276</v>
      </c>
      <c r="AG80" t="s">
        <v>312</v>
      </c>
      <c r="AH80">
        <v>0</v>
      </c>
      <c r="AI80">
        <v>184</v>
      </c>
      <c r="AJ80">
        <v>19</v>
      </c>
      <c r="AK80">
        <v>374</v>
      </c>
      <c r="AL80">
        <v>0.42</v>
      </c>
    </row>
    <row r="81" spans="1:38" x14ac:dyDescent="0.3">
      <c r="A81" t="s">
        <v>270</v>
      </c>
      <c r="B81">
        <v>15376</v>
      </c>
      <c r="C81">
        <v>1</v>
      </c>
      <c r="D81" t="s">
        <v>314</v>
      </c>
      <c r="E81" t="s">
        <v>315</v>
      </c>
      <c r="F81">
        <v>264</v>
      </c>
      <c r="G81">
        <v>19.079999999999998</v>
      </c>
      <c r="H81">
        <v>63.1</v>
      </c>
      <c r="I81">
        <v>15.05</v>
      </c>
      <c r="J81">
        <v>49.76</v>
      </c>
      <c r="K81">
        <v>132</v>
      </c>
      <c r="T81">
        <v>2</v>
      </c>
      <c r="U81">
        <v>1</v>
      </c>
      <c r="V81" t="s">
        <v>184</v>
      </c>
      <c r="W81">
        <v>63</v>
      </c>
      <c r="X81">
        <v>11</v>
      </c>
      <c r="Y81">
        <v>11</v>
      </c>
      <c r="Z81" t="s">
        <v>316</v>
      </c>
      <c r="AA81" t="s">
        <v>317</v>
      </c>
      <c r="AB81" t="s">
        <v>156</v>
      </c>
      <c r="AC81" t="s">
        <v>157</v>
      </c>
      <c r="AD81" t="s">
        <v>158</v>
      </c>
      <c r="AE81" t="s">
        <v>276</v>
      </c>
      <c r="AG81" t="s">
        <v>318</v>
      </c>
      <c r="AH81">
        <v>0</v>
      </c>
      <c r="AI81">
        <v>217</v>
      </c>
      <c r="AJ81">
        <v>24</v>
      </c>
      <c r="AK81">
        <v>130</v>
      </c>
      <c r="AL81">
        <v>0.49</v>
      </c>
    </row>
    <row r="82" spans="1:38" x14ac:dyDescent="0.3">
      <c r="A82" t="s">
        <v>270</v>
      </c>
      <c r="B82">
        <v>15376</v>
      </c>
      <c r="C82">
        <v>2</v>
      </c>
      <c r="D82" t="s">
        <v>314</v>
      </c>
      <c r="E82" t="s">
        <v>315</v>
      </c>
      <c r="F82">
        <v>264</v>
      </c>
      <c r="G82">
        <v>22.73</v>
      </c>
      <c r="H82">
        <v>75.17</v>
      </c>
      <c r="I82">
        <v>18.13</v>
      </c>
      <c r="J82">
        <v>59.95</v>
      </c>
      <c r="K82">
        <v>132</v>
      </c>
      <c r="T82">
        <v>3</v>
      </c>
      <c r="U82">
        <v>1</v>
      </c>
      <c r="V82" t="s">
        <v>184</v>
      </c>
      <c r="W82">
        <v>75</v>
      </c>
      <c r="X82">
        <v>11</v>
      </c>
      <c r="Y82">
        <v>11</v>
      </c>
      <c r="Z82" t="s">
        <v>316</v>
      </c>
      <c r="AA82" t="s">
        <v>317</v>
      </c>
      <c r="AB82" t="s">
        <v>156</v>
      </c>
      <c r="AC82" t="s">
        <v>157</v>
      </c>
      <c r="AD82" t="s">
        <v>158</v>
      </c>
      <c r="AE82" t="s">
        <v>276</v>
      </c>
      <c r="AG82" t="s">
        <v>318</v>
      </c>
      <c r="AH82">
        <v>0</v>
      </c>
      <c r="AI82">
        <v>217</v>
      </c>
      <c r="AJ82">
        <v>24</v>
      </c>
      <c r="AK82">
        <v>130</v>
      </c>
      <c r="AL82">
        <v>0.49</v>
      </c>
    </row>
    <row r="83" spans="1:38" x14ac:dyDescent="0.3">
      <c r="A83" t="s">
        <v>270</v>
      </c>
      <c r="B83">
        <v>103374</v>
      </c>
      <c r="C83">
        <v>1</v>
      </c>
      <c r="D83" t="s">
        <v>319</v>
      </c>
      <c r="E83" t="s">
        <v>320</v>
      </c>
      <c r="F83">
        <v>910</v>
      </c>
      <c r="G83">
        <v>15.19</v>
      </c>
      <c r="H83">
        <v>50.22</v>
      </c>
      <c r="I83">
        <v>11.67</v>
      </c>
      <c r="J83">
        <v>38.61</v>
      </c>
      <c r="K83">
        <v>440</v>
      </c>
      <c r="T83">
        <v>1</v>
      </c>
      <c r="U83">
        <v>1</v>
      </c>
      <c r="V83" t="s">
        <v>184</v>
      </c>
      <c r="W83">
        <v>50</v>
      </c>
      <c r="X83">
        <v>12</v>
      </c>
      <c r="Y83">
        <v>10</v>
      </c>
      <c r="Z83" t="s">
        <v>321</v>
      </c>
      <c r="AA83" t="s">
        <v>322</v>
      </c>
      <c r="AB83" t="s">
        <v>156</v>
      </c>
      <c r="AC83" t="s">
        <v>157</v>
      </c>
      <c r="AD83" t="s">
        <v>158</v>
      </c>
      <c r="AE83" t="s">
        <v>276</v>
      </c>
      <c r="AG83" t="s">
        <v>323</v>
      </c>
      <c r="AH83">
        <v>0</v>
      </c>
      <c r="AI83">
        <v>137</v>
      </c>
      <c r="AJ83">
        <v>17</v>
      </c>
      <c r="AK83">
        <v>510</v>
      </c>
      <c r="AL83">
        <v>0.56000000000000005</v>
      </c>
    </row>
    <row r="84" spans="1:38" x14ac:dyDescent="0.3">
      <c r="A84" t="s">
        <v>270</v>
      </c>
      <c r="B84">
        <v>103374</v>
      </c>
      <c r="C84">
        <v>2</v>
      </c>
      <c r="D84" t="s">
        <v>319</v>
      </c>
      <c r="E84" t="s">
        <v>320</v>
      </c>
      <c r="F84">
        <v>910</v>
      </c>
      <c r="G84">
        <v>15.79</v>
      </c>
      <c r="H84">
        <v>52.23</v>
      </c>
      <c r="I84">
        <v>11.67</v>
      </c>
      <c r="J84">
        <v>38.61</v>
      </c>
      <c r="K84">
        <v>110</v>
      </c>
      <c r="T84">
        <v>1</v>
      </c>
      <c r="U84">
        <v>1</v>
      </c>
      <c r="V84" t="s">
        <v>184</v>
      </c>
      <c r="W84">
        <v>52</v>
      </c>
      <c r="X84">
        <v>12</v>
      </c>
      <c r="Y84">
        <v>10</v>
      </c>
      <c r="Z84" t="s">
        <v>321</v>
      </c>
      <c r="AA84" t="s">
        <v>322</v>
      </c>
      <c r="AB84" t="s">
        <v>156</v>
      </c>
      <c r="AC84" t="s">
        <v>157</v>
      </c>
      <c r="AD84" t="s">
        <v>158</v>
      </c>
      <c r="AE84" t="s">
        <v>276</v>
      </c>
      <c r="AG84" t="s">
        <v>323</v>
      </c>
      <c r="AH84">
        <v>0</v>
      </c>
      <c r="AI84">
        <v>137</v>
      </c>
      <c r="AJ84">
        <v>17</v>
      </c>
      <c r="AK84">
        <v>510</v>
      </c>
      <c r="AL84">
        <v>0.56000000000000005</v>
      </c>
    </row>
    <row r="85" spans="1:38" x14ac:dyDescent="0.3">
      <c r="A85" t="s">
        <v>270</v>
      </c>
      <c r="B85">
        <v>103374</v>
      </c>
      <c r="C85">
        <v>3</v>
      </c>
      <c r="D85" t="s">
        <v>319</v>
      </c>
      <c r="E85" t="s">
        <v>320</v>
      </c>
      <c r="F85">
        <v>910</v>
      </c>
      <c r="G85">
        <v>18.45</v>
      </c>
      <c r="H85">
        <v>61.02</v>
      </c>
      <c r="I85">
        <v>13.69</v>
      </c>
      <c r="J85">
        <v>45.27</v>
      </c>
      <c r="K85">
        <v>360</v>
      </c>
      <c r="T85">
        <v>2</v>
      </c>
      <c r="U85">
        <v>1</v>
      </c>
      <c r="V85" t="s">
        <v>184</v>
      </c>
      <c r="W85">
        <v>61</v>
      </c>
      <c r="X85">
        <v>12</v>
      </c>
      <c r="Y85">
        <v>10</v>
      </c>
      <c r="Z85" t="s">
        <v>321</v>
      </c>
      <c r="AA85" t="s">
        <v>322</v>
      </c>
      <c r="AB85" t="s">
        <v>156</v>
      </c>
      <c r="AC85" t="s">
        <v>157</v>
      </c>
      <c r="AD85" t="s">
        <v>158</v>
      </c>
      <c r="AE85" t="s">
        <v>276</v>
      </c>
      <c r="AG85" t="s">
        <v>323</v>
      </c>
      <c r="AH85">
        <v>0</v>
      </c>
      <c r="AI85">
        <v>137</v>
      </c>
      <c r="AJ85">
        <v>17</v>
      </c>
      <c r="AK85">
        <v>510</v>
      </c>
      <c r="AL85">
        <v>0.56000000000000005</v>
      </c>
    </row>
    <row r="86" spans="1:38" x14ac:dyDescent="0.3">
      <c r="A86" t="s">
        <v>270</v>
      </c>
      <c r="B86">
        <v>15377</v>
      </c>
      <c r="C86">
        <v>1</v>
      </c>
      <c r="D86" t="s">
        <v>324</v>
      </c>
      <c r="E86" t="s">
        <v>325</v>
      </c>
      <c r="F86">
        <v>425</v>
      </c>
      <c r="G86">
        <v>11.38</v>
      </c>
      <c r="H86">
        <v>37.630000000000003</v>
      </c>
      <c r="I86">
        <v>8.52</v>
      </c>
      <c r="J86">
        <v>28.17</v>
      </c>
      <c r="K86">
        <v>6</v>
      </c>
      <c r="T86">
        <v>1</v>
      </c>
      <c r="U86">
        <v>1</v>
      </c>
      <c r="V86" t="s">
        <v>184</v>
      </c>
      <c r="W86">
        <v>37</v>
      </c>
      <c r="X86">
        <v>6</v>
      </c>
      <c r="Y86">
        <v>3</v>
      </c>
      <c r="Z86" t="s">
        <v>326</v>
      </c>
      <c r="AA86" t="s">
        <v>327</v>
      </c>
      <c r="AB86" t="s">
        <v>156</v>
      </c>
      <c r="AC86" t="s">
        <v>157</v>
      </c>
      <c r="AD86" t="s">
        <v>158</v>
      </c>
      <c r="AE86" t="s">
        <v>276</v>
      </c>
      <c r="AG86" t="s">
        <v>328</v>
      </c>
      <c r="AH86">
        <v>0</v>
      </c>
      <c r="AI86">
        <v>178</v>
      </c>
      <c r="AJ86">
        <v>36</v>
      </c>
      <c r="AK86">
        <v>81</v>
      </c>
      <c r="AL86">
        <v>0.19</v>
      </c>
    </row>
    <row r="87" spans="1:38" x14ac:dyDescent="0.3">
      <c r="A87" t="s">
        <v>270</v>
      </c>
      <c r="B87">
        <v>15377</v>
      </c>
      <c r="C87">
        <v>2</v>
      </c>
      <c r="D87" t="s">
        <v>324</v>
      </c>
      <c r="E87" t="s">
        <v>325</v>
      </c>
      <c r="F87">
        <v>425</v>
      </c>
      <c r="G87">
        <v>11.57</v>
      </c>
      <c r="H87">
        <v>38.270000000000003</v>
      </c>
      <c r="I87">
        <v>8.66</v>
      </c>
      <c r="J87">
        <v>28.65</v>
      </c>
      <c r="K87">
        <v>61</v>
      </c>
      <c r="T87">
        <v>1</v>
      </c>
      <c r="U87">
        <v>1</v>
      </c>
      <c r="V87" t="s">
        <v>153</v>
      </c>
      <c r="W87">
        <v>38</v>
      </c>
      <c r="X87">
        <v>6</v>
      </c>
      <c r="Y87">
        <v>3</v>
      </c>
      <c r="Z87" t="s">
        <v>326</v>
      </c>
      <c r="AA87" t="s">
        <v>327</v>
      </c>
      <c r="AB87" t="s">
        <v>156</v>
      </c>
      <c r="AC87" t="s">
        <v>157</v>
      </c>
      <c r="AD87" t="s">
        <v>158</v>
      </c>
      <c r="AE87" t="s">
        <v>276</v>
      </c>
      <c r="AG87" t="s">
        <v>328</v>
      </c>
      <c r="AH87">
        <v>0</v>
      </c>
      <c r="AI87">
        <v>178</v>
      </c>
      <c r="AJ87">
        <v>36</v>
      </c>
      <c r="AK87">
        <v>81</v>
      </c>
      <c r="AL87">
        <v>0.19</v>
      </c>
    </row>
    <row r="88" spans="1:38" x14ac:dyDescent="0.3">
      <c r="A88" t="s">
        <v>270</v>
      </c>
      <c r="B88">
        <v>15377</v>
      </c>
      <c r="C88">
        <v>3</v>
      </c>
      <c r="D88" t="s">
        <v>324</v>
      </c>
      <c r="E88" t="s">
        <v>325</v>
      </c>
      <c r="F88">
        <v>425</v>
      </c>
      <c r="G88">
        <v>20.43</v>
      </c>
      <c r="H88">
        <v>67.540000000000006</v>
      </c>
      <c r="I88">
        <v>18.100000000000001</v>
      </c>
      <c r="J88">
        <v>59.85</v>
      </c>
      <c r="K88">
        <v>358</v>
      </c>
      <c r="T88">
        <v>2</v>
      </c>
      <c r="U88">
        <v>1</v>
      </c>
      <c r="V88" t="s">
        <v>153</v>
      </c>
      <c r="W88" t="s">
        <v>113</v>
      </c>
      <c r="X88">
        <v>6</v>
      </c>
      <c r="Y88">
        <v>3</v>
      </c>
      <c r="Z88" t="s">
        <v>326</v>
      </c>
      <c r="AA88" t="s">
        <v>327</v>
      </c>
      <c r="AB88" t="s">
        <v>156</v>
      </c>
      <c r="AC88" t="s">
        <v>157</v>
      </c>
      <c r="AD88" t="s">
        <v>158</v>
      </c>
      <c r="AE88" t="s">
        <v>276</v>
      </c>
      <c r="AG88" t="s">
        <v>328</v>
      </c>
      <c r="AH88">
        <v>0</v>
      </c>
      <c r="AI88">
        <v>178</v>
      </c>
      <c r="AJ88">
        <v>36</v>
      </c>
      <c r="AK88">
        <v>81</v>
      </c>
      <c r="AL88">
        <v>0.19</v>
      </c>
    </row>
    <row r="89" spans="1:38" x14ac:dyDescent="0.3">
      <c r="A89" t="s">
        <v>270</v>
      </c>
      <c r="B89">
        <v>15379</v>
      </c>
      <c r="C89">
        <v>1</v>
      </c>
      <c r="D89" t="s">
        <v>329</v>
      </c>
      <c r="E89" t="s">
        <v>330</v>
      </c>
      <c r="F89">
        <v>295</v>
      </c>
      <c r="G89">
        <v>25.6</v>
      </c>
      <c r="H89">
        <v>84.65</v>
      </c>
      <c r="I89">
        <v>18.11</v>
      </c>
      <c r="J89">
        <v>59.9</v>
      </c>
      <c r="K89">
        <v>242</v>
      </c>
      <c r="T89">
        <v>2</v>
      </c>
      <c r="U89">
        <v>1</v>
      </c>
      <c r="V89" t="s">
        <v>184</v>
      </c>
      <c r="W89" t="s">
        <v>83</v>
      </c>
      <c r="X89">
        <v>11</v>
      </c>
      <c r="Y89">
        <v>9</v>
      </c>
      <c r="Z89" t="s">
        <v>331</v>
      </c>
      <c r="AA89" t="s">
        <v>332</v>
      </c>
      <c r="AB89" t="s">
        <v>156</v>
      </c>
      <c r="AC89" t="s">
        <v>157</v>
      </c>
      <c r="AD89" t="s">
        <v>158</v>
      </c>
      <c r="AE89" t="s">
        <v>276</v>
      </c>
      <c r="AG89" t="s">
        <v>333</v>
      </c>
      <c r="AH89">
        <v>0</v>
      </c>
      <c r="AI89">
        <v>168</v>
      </c>
      <c r="AJ89">
        <v>17</v>
      </c>
      <c r="AK89">
        <v>213</v>
      </c>
      <c r="AL89">
        <v>0.72</v>
      </c>
    </row>
    <row r="90" spans="1:38" x14ac:dyDescent="0.3">
      <c r="A90" t="s">
        <v>270</v>
      </c>
      <c r="B90">
        <v>15379</v>
      </c>
      <c r="C90">
        <v>2</v>
      </c>
      <c r="D90" t="s">
        <v>329</v>
      </c>
      <c r="E90" t="s">
        <v>330</v>
      </c>
      <c r="F90">
        <v>295</v>
      </c>
      <c r="G90">
        <v>25.6</v>
      </c>
      <c r="H90">
        <v>84.65</v>
      </c>
      <c r="I90">
        <v>18.11</v>
      </c>
      <c r="J90">
        <v>59.9</v>
      </c>
      <c r="K90">
        <v>53</v>
      </c>
      <c r="T90">
        <v>3</v>
      </c>
      <c r="U90">
        <v>1</v>
      </c>
      <c r="V90" t="s">
        <v>184</v>
      </c>
      <c r="W90" t="s">
        <v>334</v>
      </c>
      <c r="X90">
        <v>11</v>
      </c>
      <c r="Y90">
        <v>9</v>
      </c>
      <c r="Z90" t="s">
        <v>331</v>
      </c>
      <c r="AA90" t="s">
        <v>332</v>
      </c>
      <c r="AB90" t="s">
        <v>156</v>
      </c>
      <c r="AC90" t="s">
        <v>157</v>
      </c>
      <c r="AD90" t="s">
        <v>158</v>
      </c>
      <c r="AE90" t="s">
        <v>276</v>
      </c>
      <c r="AG90" t="s">
        <v>333</v>
      </c>
      <c r="AH90">
        <v>0</v>
      </c>
      <c r="AI90">
        <v>168</v>
      </c>
      <c r="AJ90">
        <v>17</v>
      </c>
      <c r="AK90">
        <v>213</v>
      </c>
      <c r="AL90">
        <v>0.72</v>
      </c>
    </row>
    <row r="91" spans="1:38" x14ac:dyDescent="0.3">
      <c r="A91" t="s">
        <v>270</v>
      </c>
      <c r="B91">
        <v>15378</v>
      </c>
      <c r="C91">
        <v>1</v>
      </c>
      <c r="D91" t="s">
        <v>335</v>
      </c>
      <c r="E91" t="s">
        <v>336</v>
      </c>
      <c r="F91">
        <v>299</v>
      </c>
      <c r="G91">
        <v>22.9</v>
      </c>
      <c r="H91">
        <v>75.709999999999994</v>
      </c>
      <c r="I91">
        <v>18.14</v>
      </c>
      <c r="J91">
        <v>59.97</v>
      </c>
      <c r="K91">
        <v>233</v>
      </c>
      <c r="T91">
        <v>2</v>
      </c>
      <c r="U91">
        <v>1</v>
      </c>
      <c r="V91" t="s">
        <v>153</v>
      </c>
      <c r="W91">
        <v>75</v>
      </c>
      <c r="X91">
        <v>6</v>
      </c>
      <c r="Y91">
        <v>5</v>
      </c>
      <c r="Z91" t="s">
        <v>337</v>
      </c>
      <c r="AA91" t="s">
        <v>338</v>
      </c>
      <c r="AB91" t="s">
        <v>156</v>
      </c>
      <c r="AC91" t="s">
        <v>157</v>
      </c>
      <c r="AD91" t="s">
        <v>158</v>
      </c>
      <c r="AE91" t="s">
        <v>276</v>
      </c>
      <c r="AG91" t="s">
        <v>339</v>
      </c>
      <c r="AH91">
        <v>0</v>
      </c>
      <c r="AI91">
        <v>151</v>
      </c>
      <c r="AJ91">
        <v>30</v>
      </c>
      <c r="AK91">
        <v>136</v>
      </c>
      <c r="AL91">
        <v>0.45</v>
      </c>
    </row>
    <row r="92" spans="1:38" x14ac:dyDescent="0.3">
      <c r="A92" t="s">
        <v>270</v>
      </c>
      <c r="B92">
        <v>15378</v>
      </c>
      <c r="C92">
        <v>2</v>
      </c>
      <c r="D92" t="s">
        <v>335</v>
      </c>
      <c r="E92" t="s">
        <v>336</v>
      </c>
      <c r="F92">
        <v>299</v>
      </c>
      <c r="G92">
        <v>22.85</v>
      </c>
      <c r="H92">
        <v>75.56</v>
      </c>
      <c r="I92">
        <v>18.100000000000001</v>
      </c>
      <c r="J92">
        <v>59.85</v>
      </c>
      <c r="K92">
        <v>42</v>
      </c>
      <c r="T92">
        <v>3</v>
      </c>
      <c r="U92">
        <v>1</v>
      </c>
      <c r="V92" t="s">
        <v>184</v>
      </c>
      <c r="W92">
        <v>75</v>
      </c>
      <c r="X92">
        <v>6</v>
      </c>
      <c r="Y92">
        <v>5</v>
      </c>
      <c r="Z92" t="s">
        <v>337</v>
      </c>
      <c r="AA92" t="s">
        <v>338</v>
      </c>
      <c r="AB92" t="s">
        <v>156</v>
      </c>
      <c r="AC92" t="s">
        <v>157</v>
      </c>
      <c r="AD92" t="s">
        <v>158</v>
      </c>
      <c r="AE92" t="s">
        <v>276</v>
      </c>
      <c r="AG92" t="s">
        <v>339</v>
      </c>
      <c r="AH92">
        <v>0</v>
      </c>
      <c r="AI92">
        <v>151</v>
      </c>
      <c r="AJ92">
        <v>30</v>
      </c>
      <c r="AK92">
        <v>136</v>
      </c>
      <c r="AL92">
        <v>0.45</v>
      </c>
    </row>
    <row r="93" spans="1:38" x14ac:dyDescent="0.3">
      <c r="A93" t="s">
        <v>270</v>
      </c>
      <c r="B93">
        <v>15378</v>
      </c>
      <c r="C93">
        <v>3</v>
      </c>
      <c r="D93" t="s">
        <v>335</v>
      </c>
      <c r="E93" t="s">
        <v>336</v>
      </c>
      <c r="F93">
        <v>299</v>
      </c>
      <c r="G93">
        <v>32.409999999999997</v>
      </c>
      <c r="H93">
        <v>107.17</v>
      </c>
      <c r="I93">
        <v>25.67</v>
      </c>
      <c r="J93">
        <v>84.89</v>
      </c>
      <c r="K93">
        <v>24</v>
      </c>
      <c r="T93">
        <v>3</v>
      </c>
      <c r="U93">
        <v>2</v>
      </c>
      <c r="V93" t="s">
        <v>153</v>
      </c>
      <c r="W93">
        <v>107</v>
      </c>
      <c r="X93">
        <v>6</v>
      </c>
      <c r="Y93">
        <v>5</v>
      </c>
      <c r="Z93" t="s">
        <v>337</v>
      </c>
      <c r="AA93" t="s">
        <v>338</v>
      </c>
      <c r="AB93" t="s">
        <v>156</v>
      </c>
      <c r="AC93" t="s">
        <v>157</v>
      </c>
      <c r="AD93" t="s">
        <v>158</v>
      </c>
      <c r="AE93" t="s">
        <v>276</v>
      </c>
      <c r="AG93" t="s">
        <v>339</v>
      </c>
      <c r="AH93">
        <v>0</v>
      </c>
      <c r="AI93">
        <v>151</v>
      </c>
      <c r="AJ93">
        <v>30</v>
      </c>
      <c r="AK93">
        <v>136</v>
      </c>
      <c r="AL93">
        <v>0.45</v>
      </c>
    </row>
    <row r="94" spans="1:38" x14ac:dyDescent="0.3">
      <c r="A94" t="s">
        <v>270</v>
      </c>
      <c r="B94">
        <v>17224</v>
      </c>
      <c r="C94">
        <v>1</v>
      </c>
      <c r="D94" t="s">
        <v>340</v>
      </c>
      <c r="E94" t="s">
        <v>341</v>
      </c>
      <c r="F94">
        <v>160</v>
      </c>
      <c r="G94">
        <v>23.26</v>
      </c>
      <c r="H94">
        <v>76.92</v>
      </c>
      <c r="I94">
        <v>18.12</v>
      </c>
      <c r="J94">
        <v>59.92</v>
      </c>
      <c r="K94">
        <v>117</v>
      </c>
      <c r="T94">
        <v>3</v>
      </c>
      <c r="U94">
        <v>1</v>
      </c>
      <c r="V94" t="s">
        <v>184</v>
      </c>
      <c r="W94" t="s">
        <v>342</v>
      </c>
      <c r="X94">
        <v>8</v>
      </c>
      <c r="Y94">
        <v>4</v>
      </c>
      <c r="Z94" t="s">
        <v>343</v>
      </c>
      <c r="AA94" t="s">
        <v>344</v>
      </c>
      <c r="AB94" t="s">
        <v>156</v>
      </c>
      <c r="AC94" t="s">
        <v>157</v>
      </c>
      <c r="AD94" t="s">
        <v>158</v>
      </c>
      <c r="AE94" t="s">
        <v>276</v>
      </c>
      <c r="AG94" t="s">
        <v>345</v>
      </c>
      <c r="AH94">
        <v>0</v>
      </c>
      <c r="AI94">
        <v>134</v>
      </c>
      <c r="AJ94">
        <v>26</v>
      </c>
      <c r="AK94">
        <v>93</v>
      </c>
      <c r="AL94">
        <v>0.57999999999999996</v>
      </c>
    </row>
    <row r="95" spans="1:38" x14ac:dyDescent="0.3">
      <c r="A95" t="s">
        <v>270</v>
      </c>
      <c r="B95">
        <v>17224</v>
      </c>
      <c r="C95">
        <v>2</v>
      </c>
      <c r="D95" t="s">
        <v>340</v>
      </c>
      <c r="E95" t="s">
        <v>341</v>
      </c>
      <c r="F95">
        <v>160</v>
      </c>
      <c r="G95">
        <v>23.28</v>
      </c>
      <c r="H95">
        <v>76.98</v>
      </c>
      <c r="I95">
        <v>18.14</v>
      </c>
      <c r="J95">
        <v>59.97</v>
      </c>
      <c r="K95">
        <v>43</v>
      </c>
      <c r="T95">
        <v>3</v>
      </c>
      <c r="U95">
        <v>1</v>
      </c>
      <c r="V95" t="s">
        <v>184</v>
      </c>
      <c r="W95" t="s">
        <v>346</v>
      </c>
      <c r="X95">
        <v>8</v>
      </c>
      <c r="Y95">
        <v>4</v>
      </c>
      <c r="Z95" t="s">
        <v>343</v>
      </c>
      <c r="AA95" t="s">
        <v>344</v>
      </c>
      <c r="AB95" t="s">
        <v>156</v>
      </c>
      <c r="AC95" t="s">
        <v>157</v>
      </c>
      <c r="AD95" t="s">
        <v>158</v>
      </c>
      <c r="AE95" t="s">
        <v>276</v>
      </c>
      <c r="AG95" t="s">
        <v>345</v>
      </c>
      <c r="AH95">
        <v>0</v>
      </c>
      <c r="AI95">
        <v>134</v>
      </c>
      <c r="AJ95">
        <v>26</v>
      </c>
      <c r="AK95">
        <v>93</v>
      </c>
      <c r="AL95">
        <v>0.57999999999999996</v>
      </c>
    </row>
    <row r="96" spans="1:38" x14ac:dyDescent="0.3">
      <c r="A96" t="s">
        <v>270</v>
      </c>
      <c r="B96">
        <v>133003</v>
      </c>
      <c r="C96">
        <v>1</v>
      </c>
      <c r="D96" t="s">
        <v>347</v>
      </c>
      <c r="E96" t="s">
        <v>348</v>
      </c>
      <c r="F96">
        <v>48</v>
      </c>
      <c r="G96">
        <v>20.010000000000002</v>
      </c>
      <c r="H96">
        <v>66.180000000000007</v>
      </c>
      <c r="I96">
        <v>17.850000000000001</v>
      </c>
      <c r="J96">
        <v>59.04</v>
      </c>
      <c r="K96">
        <v>6</v>
      </c>
      <c r="T96">
        <v>3</v>
      </c>
      <c r="U96">
        <v>1</v>
      </c>
      <c r="V96" t="s">
        <v>153</v>
      </c>
      <c r="W96" t="s">
        <v>349</v>
      </c>
      <c r="X96">
        <v>6</v>
      </c>
      <c r="Y96">
        <v>6</v>
      </c>
      <c r="Z96" t="s">
        <v>350</v>
      </c>
      <c r="AA96" t="s">
        <v>351</v>
      </c>
      <c r="AB96" t="s">
        <v>156</v>
      </c>
      <c r="AC96" t="s">
        <v>157</v>
      </c>
      <c r="AD96" t="s">
        <v>158</v>
      </c>
      <c r="AE96" t="s">
        <v>276</v>
      </c>
      <c r="AG96" t="s">
        <v>352</v>
      </c>
      <c r="AH96">
        <v>0</v>
      </c>
      <c r="AI96">
        <v>142</v>
      </c>
      <c r="AJ96">
        <v>25</v>
      </c>
      <c r="AK96">
        <v>18</v>
      </c>
      <c r="AL96">
        <v>0.38</v>
      </c>
    </row>
    <row r="97" spans="1:38" x14ac:dyDescent="0.3">
      <c r="A97" t="s">
        <v>270</v>
      </c>
      <c r="B97">
        <v>133003</v>
      </c>
      <c r="C97">
        <v>2</v>
      </c>
      <c r="D97" t="s">
        <v>347</v>
      </c>
      <c r="E97" t="s">
        <v>348</v>
      </c>
      <c r="F97">
        <v>48</v>
      </c>
      <c r="G97">
        <v>20.14</v>
      </c>
      <c r="H97">
        <v>66.58</v>
      </c>
      <c r="I97">
        <v>17.98</v>
      </c>
      <c r="J97">
        <v>59.44</v>
      </c>
      <c r="K97">
        <v>6</v>
      </c>
      <c r="T97">
        <v>3</v>
      </c>
      <c r="U97">
        <v>1</v>
      </c>
      <c r="V97" t="s">
        <v>153</v>
      </c>
      <c r="W97" t="s">
        <v>353</v>
      </c>
      <c r="X97">
        <v>6</v>
      </c>
      <c r="Y97">
        <v>6</v>
      </c>
      <c r="Z97" t="s">
        <v>350</v>
      </c>
      <c r="AA97" t="s">
        <v>351</v>
      </c>
      <c r="AB97" t="s">
        <v>156</v>
      </c>
      <c r="AC97" t="s">
        <v>157</v>
      </c>
      <c r="AD97" t="s">
        <v>158</v>
      </c>
      <c r="AE97" t="s">
        <v>276</v>
      </c>
      <c r="AG97" t="s">
        <v>352</v>
      </c>
      <c r="AH97">
        <v>0</v>
      </c>
      <c r="AI97">
        <v>142</v>
      </c>
      <c r="AJ97">
        <v>25</v>
      </c>
      <c r="AK97">
        <v>18</v>
      </c>
      <c r="AL97">
        <v>0.38</v>
      </c>
    </row>
    <row r="98" spans="1:38" x14ac:dyDescent="0.3">
      <c r="A98" t="s">
        <v>270</v>
      </c>
      <c r="B98">
        <v>133003</v>
      </c>
      <c r="C98">
        <v>3</v>
      </c>
      <c r="D98" t="s">
        <v>347</v>
      </c>
      <c r="E98" t="s">
        <v>348</v>
      </c>
      <c r="F98">
        <v>48</v>
      </c>
      <c r="G98">
        <v>20.52</v>
      </c>
      <c r="H98">
        <v>67.86</v>
      </c>
      <c r="I98">
        <v>18.11</v>
      </c>
      <c r="J98">
        <v>59.88</v>
      </c>
      <c r="K98">
        <v>30</v>
      </c>
      <c r="T98">
        <v>3</v>
      </c>
      <c r="U98">
        <v>1</v>
      </c>
      <c r="V98" t="s">
        <v>153</v>
      </c>
      <c r="W98" t="s">
        <v>273</v>
      </c>
      <c r="X98">
        <v>6</v>
      </c>
      <c r="Y98">
        <v>6</v>
      </c>
      <c r="Z98" t="s">
        <v>350</v>
      </c>
      <c r="AA98" t="s">
        <v>351</v>
      </c>
      <c r="AB98" t="s">
        <v>156</v>
      </c>
      <c r="AC98" t="s">
        <v>157</v>
      </c>
      <c r="AD98" t="s">
        <v>158</v>
      </c>
      <c r="AE98" t="s">
        <v>276</v>
      </c>
      <c r="AG98" t="s">
        <v>352</v>
      </c>
      <c r="AH98">
        <v>0</v>
      </c>
      <c r="AI98">
        <v>142</v>
      </c>
      <c r="AJ98">
        <v>25</v>
      </c>
      <c r="AK98">
        <v>18</v>
      </c>
      <c r="AL98">
        <v>0.38</v>
      </c>
    </row>
    <row r="99" spans="1:38" x14ac:dyDescent="0.3">
      <c r="A99" t="s">
        <v>270</v>
      </c>
      <c r="B99">
        <v>133003</v>
      </c>
      <c r="C99">
        <v>4</v>
      </c>
      <c r="D99" t="s">
        <v>347</v>
      </c>
      <c r="E99" t="s">
        <v>348</v>
      </c>
      <c r="F99">
        <v>48</v>
      </c>
      <c r="G99">
        <v>20.51</v>
      </c>
      <c r="H99">
        <v>67.83</v>
      </c>
      <c r="I99">
        <v>18.100000000000001</v>
      </c>
      <c r="J99">
        <v>59.85</v>
      </c>
      <c r="K99">
        <v>6</v>
      </c>
      <c r="T99">
        <v>3</v>
      </c>
      <c r="U99">
        <v>1</v>
      </c>
      <c r="V99" t="s">
        <v>153</v>
      </c>
      <c r="W99" t="s">
        <v>113</v>
      </c>
      <c r="X99">
        <v>6</v>
      </c>
      <c r="Y99">
        <v>6</v>
      </c>
      <c r="Z99" t="s">
        <v>350</v>
      </c>
      <c r="AA99" t="s">
        <v>351</v>
      </c>
      <c r="AB99" t="s">
        <v>156</v>
      </c>
      <c r="AC99" t="s">
        <v>157</v>
      </c>
      <c r="AD99" t="s">
        <v>158</v>
      </c>
      <c r="AE99" t="s">
        <v>276</v>
      </c>
      <c r="AG99" t="s">
        <v>352</v>
      </c>
      <c r="AH99">
        <v>0</v>
      </c>
      <c r="AI99">
        <v>142</v>
      </c>
      <c r="AJ99">
        <v>25</v>
      </c>
      <c r="AK99">
        <v>18</v>
      </c>
      <c r="AL99">
        <v>0.38</v>
      </c>
    </row>
    <row r="100" spans="1:38" x14ac:dyDescent="0.3">
      <c r="A100" t="s">
        <v>354</v>
      </c>
      <c r="B100">
        <v>26509</v>
      </c>
      <c r="C100">
        <v>1</v>
      </c>
      <c r="D100" t="s">
        <v>355</v>
      </c>
      <c r="E100" t="s">
        <v>356</v>
      </c>
      <c r="F100">
        <v>333</v>
      </c>
      <c r="G100">
        <v>33.43</v>
      </c>
      <c r="H100">
        <v>110.54</v>
      </c>
      <c r="I100">
        <v>25.57</v>
      </c>
      <c r="J100">
        <v>84.54</v>
      </c>
      <c r="K100">
        <v>87</v>
      </c>
      <c r="T100">
        <v>3</v>
      </c>
      <c r="U100">
        <v>2</v>
      </c>
      <c r="V100" t="s">
        <v>153</v>
      </c>
      <c r="W100">
        <v>110</v>
      </c>
      <c r="X100">
        <v>20</v>
      </c>
      <c r="Y100">
        <v>14</v>
      </c>
      <c r="Z100" t="s">
        <v>357</v>
      </c>
      <c r="AA100" t="s">
        <v>358</v>
      </c>
      <c r="AB100" t="s">
        <v>156</v>
      </c>
      <c r="AC100" t="s">
        <v>157</v>
      </c>
      <c r="AD100" t="s">
        <v>158</v>
      </c>
      <c r="AE100" t="s">
        <v>359</v>
      </c>
      <c r="AG100" t="s">
        <v>360</v>
      </c>
      <c r="AH100">
        <v>0</v>
      </c>
      <c r="AI100">
        <v>200</v>
      </c>
      <c r="AJ100">
        <v>15</v>
      </c>
      <c r="AK100">
        <v>548</v>
      </c>
      <c r="AL100">
        <v>1.65</v>
      </c>
    </row>
    <row r="101" spans="1:38" x14ac:dyDescent="0.3">
      <c r="A101" t="s">
        <v>354</v>
      </c>
      <c r="B101">
        <v>26509</v>
      </c>
      <c r="C101">
        <v>2</v>
      </c>
      <c r="D101" t="s">
        <v>355</v>
      </c>
      <c r="E101" t="s">
        <v>356</v>
      </c>
      <c r="F101">
        <v>333</v>
      </c>
      <c r="G101">
        <v>39.82</v>
      </c>
      <c r="H101">
        <v>131.66</v>
      </c>
      <c r="I101">
        <v>30.92</v>
      </c>
      <c r="J101">
        <v>102.22</v>
      </c>
      <c r="K101">
        <v>98</v>
      </c>
      <c r="T101">
        <v>3</v>
      </c>
      <c r="U101">
        <v>2</v>
      </c>
      <c r="V101" t="s">
        <v>153</v>
      </c>
      <c r="W101">
        <v>131</v>
      </c>
      <c r="X101">
        <v>20</v>
      </c>
      <c r="Y101">
        <v>14</v>
      </c>
      <c r="Z101" t="s">
        <v>357</v>
      </c>
      <c r="AA101" t="s">
        <v>358</v>
      </c>
      <c r="AB101" t="s">
        <v>156</v>
      </c>
      <c r="AC101" t="s">
        <v>157</v>
      </c>
      <c r="AD101" t="s">
        <v>158</v>
      </c>
      <c r="AE101" t="s">
        <v>359</v>
      </c>
      <c r="AG101" t="s">
        <v>360</v>
      </c>
      <c r="AH101">
        <v>0</v>
      </c>
      <c r="AI101">
        <v>200</v>
      </c>
      <c r="AJ101">
        <v>15</v>
      </c>
      <c r="AK101">
        <v>548</v>
      </c>
      <c r="AL101">
        <v>1.65</v>
      </c>
    </row>
    <row r="102" spans="1:38" x14ac:dyDescent="0.3">
      <c r="A102" t="s">
        <v>354</v>
      </c>
      <c r="B102">
        <v>26509</v>
      </c>
      <c r="C102">
        <v>3</v>
      </c>
      <c r="D102" t="s">
        <v>355</v>
      </c>
      <c r="E102" t="s">
        <v>356</v>
      </c>
      <c r="F102">
        <v>333</v>
      </c>
      <c r="G102">
        <v>46.42</v>
      </c>
      <c r="H102">
        <v>153.47</v>
      </c>
      <c r="I102">
        <v>37.69</v>
      </c>
      <c r="J102">
        <v>124.62</v>
      </c>
      <c r="K102">
        <v>64</v>
      </c>
      <c r="T102">
        <v>4</v>
      </c>
      <c r="U102">
        <v>2</v>
      </c>
      <c r="V102" t="s">
        <v>153</v>
      </c>
      <c r="W102">
        <v>153</v>
      </c>
      <c r="X102">
        <v>20</v>
      </c>
      <c r="Y102">
        <v>14</v>
      </c>
      <c r="Z102" t="s">
        <v>357</v>
      </c>
      <c r="AA102" t="s">
        <v>358</v>
      </c>
      <c r="AB102" t="s">
        <v>156</v>
      </c>
      <c r="AC102" t="s">
        <v>157</v>
      </c>
      <c r="AD102" t="s">
        <v>158</v>
      </c>
      <c r="AE102" t="s">
        <v>359</v>
      </c>
      <c r="AG102" t="s">
        <v>360</v>
      </c>
      <c r="AH102">
        <v>0</v>
      </c>
      <c r="AI102">
        <v>200</v>
      </c>
      <c r="AJ102">
        <v>15</v>
      </c>
      <c r="AK102">
        <v>548</v>
      </c>
      <c r="AL102">
        <v>1.65</v>
      </c>
    </row>
    <row r="103" spans="1:38" x14ac:dyDescent="0.3">
      <c r="A103" t="s">
        <v>354</v>
      </c>
      <c r="B103">
        <v>26509</v>
      </c>
      <c r="C103">
        <v>4</v>
      </c>
      <c r="D103" t="s">
        <v>355</v>
      </c>
      <c r="E103" t="s">
        <v>356</v>
      </c>
      <c r="F103">
        <v>333</v>
      </c>
      <c r="G103">
        <v>52.57</v>
      </c>
      <c r="H103">
        <v>173.8</v>
      </c>
      <c r="I103">
        <v>40.520000000000003</v>
      </c>
      <c r="J103">
        <v>133.96</v>
      </c>
      <c r="K103">
        <v>10</v>
      </c>
      <c r="T103">
        <v>3</v>
      </c>
      <c r="U103">
        <v>3</v>
      </c>
      <c r="V103" t="s">
        <v>153</v>
      </c>
      <c r="W103">
        <v>173</v>
      </c>
      <c r="X103">
        <v>20</v>
      </c>
      <c r="Y103">
        <v>14</v>
      </c>
      <c r="Z103" t="s">
        <v>357</v>
      </c>
      <c r="AA103" t="s">
        <v>358</v>
      </c>
      <c r="AB103" t="s">
        <v>156</v>
      </c>
      <c r="AC103" t="s">
        <v>157</v>
      </c>
      <c r="AD103" t="s">
        <v>158</v>
      </c>
      <c r="AE103" t="s">
        <v>359</v>
      </c>
      <c r="AG103" t="s">
        <v>360</v>
      </c>
      <c r="AH103">
        <v>0</v>
      </c>
      <c r="AI103">
        <v>200</v>
      </c>
      <c r="AJ103">
        <v>15</v>
      </c>
      <c r="AK103">
        <v>548</v>
      </c>
      <c r="AL103">
        <v>1.65</v>
      </c>
    </row>
    <row r="104" spans="1:38" x14ac:dyDescent="0.3">
      <c r="A104" t="s">
        <v>354</v>
      </c>
      <c r="B104">
        <v>26509</v>
      </c>
      <c r="C104">
        <v>5</v>
      </c>
      <c r="D104" t="s">
        <v>355</v>
      </c>
      <c r="E104" t="s">
        <v>356</v>
      </c>
      <c r="F104">
        <v>333</v>
      </c>
      <c r="G104">
        <v>58.47</v>
      </c>
      <c r="H104">
        <v>193.31</v>
      </c>
      <c r="I104">
        <v>47.61</v>
      </c>
      <c r="J104">
        <v>157.38999999999999</v>
      </c>
      <c r="K104">
        <v>70</v>
      </c>
      <c r="T104">
        <v>3</v>
      </c>
      <c r="U104">
        <v>3</v>
      </c>
      <c r="V104" t="s">
        <v>153</v>
      </c>
      <c r="W104">
        <v>193</v>
      </c>
      <c r="X104">
        <v>20</v>
      </c>
      <c r="Y104">
        <v>14</v>
      </c>
      <c r="Z104" t="s">
        <v>357</v>
      </c>
      <c r="AA104" t="s">
        <v>358</v>
      </c>
      <c r="AB104" t="s">
        <v>156</v>
      </c>
      <c r="AC104" t="s">
        <v>157</v>
      </c>
      <c r="AD104" t="s">
        <v>158</v>
      </c>
      <c r="AE104" t="s">
        <v>359</v>
      </c>
      <c r="AG104" t="s">
        <v>360</v>
      </c>
      <c r="AH104">
        <v>0</v>
      </c>
      <c r="AI104">
        <v>200</v>
      </c>
      <c r="AJ104">
        <v>15</v>
      </c>
      <c r="AK104">
        <v>548</v>
      </c>
      <c r="AL104">
        <v>1.65</v>
      </c>
    </row>
    <row r="105" spans="1:38" x14ac:dyDescent="0.3">
      <c r="A105" t="s">
        <v>354</v>
      </c>
      <c r="B105">
        <v>26509</v>
      </c>
      <c r="C105">
        <v>6</v>
      </c>
      <c r="D105" t="s">
        <v>355</v>
      </c>
      <c r="E105" t="s">
        <v>356</v>
      </c>
      <c r="F105">
        <v>333</v>
      </c>
      <c r="G105">
        <v>69.22</v>
      </c>
      <c r="H105">
        <v>228.84</v>
      </c>
      <c r="I105">
        <v>55.45</v>
      </c>
      <c r="J105">
        <v>183.31</v>
      </c>
      <c r="K105">
        <v>4</v>
      </c>
      <c r="T105">
        <v>5</v>
      </c>
      <c r="U105">
        <v>4</v>
      </c>
      <c r="V105" t="s">
        <v>153</v>
      </c>
      <c r="W105">
        <v>228</v>
      </c>
      <c r="X105">
        <v>20</v>
      </c>
      <c r="Y105">
        <v>14</v>
      </c>
      <c r="Z105" t="s">
        <v>357</v>
      </c>
      <c r="AA105" t="s">
        <v>358</v>
      </c>
      <c r="AB105" t="s">
        <v>156</v>
      </c>
      <c r="AC105" t="s">
        <v>157</v>
      </c>
      <c r="AD105" t="s">
        <v>158</v>
      </c>
      <c r="AE105" t="s">
        <v>359</v>
      </c>
      <c r="AG105" t="s">
        <v>360</v>
      </c>
      <c r="AH105">
        <v>0</v>
      </c>
      <c r="AI105">
        <v>200</v>
      </c>
      <c r="AJ105">
        <v>15</v>
      </c>
      <c r="AK105">
        <v>548</v>
      </c>
      <c r="AL105">
        <v>1.65</v>
      </c>
    </row>
    <row r="106" spans="1:38" x14ac:dyDescent="0.3">
      <c r="A106" t="s">
        <v>354</v>
      </c>
      <c r="B106">
        <v>7027</v>
      </c>
      <c r="C106">
        <v>1</v>
      </c>
      <c r="D106" t="s">
        <v>361</v>
      </c>
      <c r="E106" t="s">
        <v>362</v>
      </c>
      <c r="F106">
        <v>461</v>
      </c>
      <c r="G106">
        <v>31.32</v>
      </c>
      <c r="H106">
        <v>103.55</v>
      </c>
      <c r="I106">
        <v>25.64</v>
      </c>
      <c r="J106">
        <v>84.78</v>
      </c>
      <c r="K106">
        <v>319</v>
      </c>
      <c r="T106">
        <v>3</v>
      </c>
      <c r="U106">
        <v>2</v>
      </c>
      <c r="V106" t="s">
        <v>153</v>
      </c>
      <c r="W106">
        <v>103</v>
      </c>
      <c r="X106">
        <v>15</v>
      </c>
      <c r="Y106">
        <v>11</v>
      </c>
      <c r="Z106" t="s">
        <v>363</v>
      </c>
      <c r="AA106" t="s">
        <v>364</v>
      </c>
      <c r="AB106" t="s">
        <v>156</v>
      </c>
      <c r="AC106" t="s">
        <v>157</v>
      </c>
      <c r="AD106" t="s">
        <v>158</v>
      </c>
      <c r="AE106" t="s">
        <v>359</v>
      </c>
      <c r="AG106" t="s">
        <v>365</v>
      </c>
      <c r="AH106">
        <v>0</v>
      </c>
      <c r="AI106">
        <v>224</v>
      </c>
      <c r="AJ106">
        <v>19</v>
      </c>
      <c r="AK106">
        <v>455</v>
      </c>
      <c r="AL106">
        <v>0.99</v>
      </c>
    </row>
    <row r="107" spans="1:38" x14ac:dyDescent="0.3">
      <c r="A107" t="s">
        <v>354</v>
      </c>
      <c r="B107">
        <v>7027</v>
      </c>
      <c r="C107">
        <v>2</v>
      </c>
      <c r="D107" t="s">
        <v>361</v>
      </c>
      <c r="E107" t="s">
        <v>362</v>
      </c>
      <c r="F107">
        <v>461</v>
      </c>
      <c r="G107">
        <v>47.19</v>
      </c>
      <c r="H107">
        <v>156.02000000000001</v>
      </c>
      <c r="I107">
        <v>40.56</v>
      </c>
      <c r="J107">
        <v>134.11000000000001</v>
      </c>
      <c r="K107">
        <v>57</v>
      </c>
      <c r="T107">
        <v>4</v>
      </c>
      <c r="U107">
        <v>2</v>
      </c>
      <c r="V107" t="s">
        <v>153</v>
      </c>
      <c r="W107">
        <v>156</v>
      </c>
      <c r="X107">
        <v>15</v>
      </c>
      <c r="Y107">
        <v>11</v>
      </c>
      <c r="Z107" t="s">
        <v>363</v>
      </c>
      <c r="AA107" t="s">
        <v>364</v>
      </c>
      <c r="AB107" t="s">
        <v>156</v>
      </c>
      <c r="AC107" t="s">
        <v>157</v>
      </c>
      <c r="AD107" t="s">
        <v>158</v>
      </c>
      <c r="AE107" t="s">
        <v>359</v>
      </c>
      <c r="AG107" t="s">
        <v>365</v>
      </c>
      <c r="AH107">
        <v>0</v>
      </c>
      <c r="AI107">
        <v>224</v>
      </c>
      <c r="AJ107">
        <v>19</v>
      </c>
      <c r="AK107">
        <v>455</v>
      </c>
      <c r="AL107">
        <v>0.99</v>
      </c>
    </row>
    <row r="108" spans="1:38" x14ac:dyDescent="0.3">
      <c r="A108" t="s">
        <v>354</v>
      </c>
      <c r="B108">
        <v>7027</v>
      </c>
      <c r="C108">
        <v>3</v>
      </c>
      <c r="D108" t="s">
        <v>361</v>
      </c>
      <c r="E108" t="s">
        <v>362</v>
      </c>
      <c r="F108">
        <v>461</v>
      </c>
      <c r="G108">
        <v>57.12</v>
      </c>
      <c r="H108">
        <v>188.84</v>
      </c>
      <c r="I108">
        <v>49.73</v>
      </c>
      <c r="J108">
        <v>164.42</v>
      </c>
      <c r="K108">
        <v>1</v>
      </c>
      <c r="T108">
        <v>4</v>
      </c>
      <c r="U108">
        <v>2</v>
      </c>
      <c r="V108" t="s">
        <v>153</v>
      </c>
      <c r="W108" t="s">
        <v>366</v>
      </c>
      <c r="X108">
        <v>15</v>
      </c>
      <c r="Y108">
        <v>11</v>
      </c>
      <c r="Z108" t="s">
        <v>363</v>
      </c>
      <c r="AA108" t="s">
        <v>364</v>
      </c>
      <c r="AB108" t="s">
        <v>156</v>
      </c>
      <c r="AC108" t="s">
        <v>157</v>
      </c>
      <c r="AD108" t="s">
        <v>158</v>
      </c>
      <c r="AE108" t="s">
        <v>359</v>
      </c>
      <c r="AG108" t="s">
        <v>365</v>
      </c>
      <c r="AH108">
        <v>0</v>
      </c>
      <c r="AI108">
        <v>224</v>
      </c>
      <c r="AJ108">
        <v>19</v>
      </c>
      <c r="AK108">
        <v>455</v>
      </c>
      <c r="AL108">
        <v>0.99</v>
      </c>
    </row>
    <row r="109" spans="1:38" x14ac:dyDescent="0.3">
      <c r="A109" t="s">
        <v>354</v>
      </c>
      <c r="B109">
        <v>7027</v>
      </c>
      <c r="C109">
        <v>4</v>
      </c>
      <c r="D109" t="s">
        <v>361</v>
      </c>
      <c r="E109" t="s">
        <v>362</v>
      </c>
      <c r="F109">
        <v>461</v>
      </c>
      <c r="G109">
        <v>57.18</v>
      </c>
      <c r="H109">
        <v>189.04</v>
      </c>
      <c r="I109">
        <v>49.79</v>
      </c>
      <c r="J109">
        <v>164.62</v>
      </c>
      <c r="K109">
        <v>84</v>
      </c>
      <c r="T109">
        <v>4</v>
      </c>
      <c r="U109">
        <v>2</v>
      </c>
      <c r="V109" t="s">
        <v>153</v>
      </c>
      <c r="W109" t="s">
        <v>117</v>
      </c>
      <c r="X109">
        <v>15</v>
      </c>
      <c r="Y109">
        <v>11</v>
      </c>
      <c r="Z109" t="s">
        <v>363</v>
      </c>
      <c r="AA109" t="s">
        <v>364</v>
      </c>
      <c r="AB109" t="s">
        <v>156</v>
      </c>
      <c r="AC109" t="s">
        <v>157</v>
      </c>
      <c r="AD109" t="s">
        <v>158</v>
      </c>
      <c r="AE109" t="s">
        <v>359</v>
      </c>
      <c r="AG109" t="s">
        <v>365</v>
      </c>
      <c r="AH109">
        <v>0</v>
      </c>
      <c r="AI109">
        <v>224</v>
      </c>
      <c r="AJ109">
        <v>19</v>
      </c>
      <c r="AK109">
        <v>455</v>
      </c>
      <c r="AL109">
        <v>0.99</v>
      </c>
    </row>
    <row r="110" spans="1:38" x14ac:dyDescent="0.3">
      <c r="A110" t="s">
        <v>354</v>
      </c>
      <c r="B110">
        <v>107105</v>
      </c>
      <c r="C110">
        <v>1</v>
      </c>
      <c r="D110" t="s">
        <v>367</v>
      </c>
      <c r="E110" t="s">
        <v>368</v>
      </c>
      <c r="F110">
        <v>49</v>
      </c>
      <c r="G110">
        <v>12.88</v>
      </c>
      <c r="H110">
        <v>42.58</v>
      </c>
      <c r="I110">
        <v>8.5299999999999994</v>
      </c>
      <c r="J110">
        <v>28.23</v>
      </c>
      <c r="K110">
        <v>1</v>
      </c>
      <c r="T110">
        <v>1</v>
      </c>
      <c r="U110">
        <v>1</v>
      </c>
      <c r="V110" t="s">
        <v>184</v>
      </c>
      <c r="W110" t="s">
        <v>369</v>
      </c>
      <c r="X110">
        <v>11</v>
      </c>
      <c r="Y110">
        <v>5</v>
      </c>
      <c r="Z110" t="s">
        <v>370</v>
      </c>
      <c r="AA110" t="s">
        <v>371</v>
      </c>
      <c r="AB110" t="s">
        <v>156</v>
      </c>
      <c r="AC110" t="s">
        <v>157</v>
      </c>
      <c r="AD110" t="s">
        <v>158</v>
      </c>
      <c r="AE110" t="s">
        <v>359</v>
      </c>
      <c r="AG110" t="s">
        <v>372</v>
      </c>
      <c r="AH110">
        <v>0</v>
      </c>
      <c r="AI110">
        <v>331</v>
      </c>
      <c r="AJ110">
        <v>54</v>
      </c>
      <c r="AK110">
        <v>36</v>
      </c>
      <c r="AL110">
        <v>0.73</v>
      </c>
    </row>
    <row r="111" spans="1:38" x14ac:dyDescent="0.3">
      <c r="A111" t="s">
        <v>354</v>
      </c>
      <c r="B111">
        <v>107105</v>
      </c>
      <c r="C111">
        <v>2</v>
      </c>
      <c r="D111" t="s">
        <v>367</v>
      </c>
      <c r="E111" t="s">
        <v>368</v>
      </c>
      <c r="F111">
        <v>49</v>
      </c>
      <c r="G111">
        <v>13.55</v>
      </c>
      <c r="H111">
        <v>44.81</v>
      </c>
      <c r="I111">
        <v>9.0399999999999991</v>
      </c>
      <c r="J111">
        <v>29.91</v>
      </c>
      <c r="K111">
        <v>1</v>
      </c>
      <c r="T111">
        <v>1</v>
      </c>
      <c r="U111">
        <v>1</v>
      </c>
      <c r="V111" t="s">
        <v>184</v>
      </c>
      <c r="W111">
        <v>44</v>
      </c>
      <c r="X111">
        <v>11</v>
      </c>
      <c r="Y111">
        <v>5</v>
      </c>
      <c r="Z111" t="s">
        <v>370</v>
      </c>
      <c r="AA111" t="s">
        <v>371</v>
      </c>
      <c r="AB111" t="s">
        <v>156</v>
      </c>
      <c r="AC111" t="s">
        <v>157</v>
      </c>
      <c r="AD111" t="s">
        <v>158</v>
      </c>
      <c r="AE111" t="s">
        <v>359</v>
      </c>
      <c r="AG111" t="s">
        <v>372</v>
      </c>
      <c r="AH111">
        <v>0</v>
      </c>
      <c r="AI111">
        <v>331</v>
      </c>
      <c r="AJ111">
        <v>54</v>
      </c>
      <c r="AK111">
        <v>36</v>
      </c>
      <c r="AL111">
        <v>0.73</v>
      </c>
    </row>
    <row r="112" spans="1:38" x14ac:dyDescent="0.3">
      <c r="A112" t="s">
        <v>354</v>
      </c>
      <c r="B112">
        <v>107105</v>
      </c>
      <c r="C112">
        <v>3</v>
      </c>
      <c r="D112" t="s">
        <v>367</v>
      </c>
      <c r="E112" t="s">
        <v>368</v>
      </c>
      <c r="F112">
        <v>49</v>
      </c>
      <c r="G112">
        <v>13.31</v>
      </c>
      <c r="H112">
        <v>44.01</v>
      </c>
      <c r="I112">
        <v>8.76</v>
      </c>
      <c r="J112">
        <v>28.98</v>
      </c>
      <c r="K112">
        <v>1</v>
      </c>
      <c r="T112">
        <v>1</v>
      </c>
      <c r="U112">
        <v>1</v>
      </c>
      <c r="V112" t="s">
        <v>184</v>
      </c>
      <c r="W112" t="s">
        <v>373</v>
      </c>
      <c r="X112">
        <v>11</v>
      </c>
      <c r="Y112">
        <v>5</v>
      </c>
      <c r="Z112" t="s">
        <v>370</v>
      </c>
      <c r="AA112" t="s">
        <v>371</v>
      </c>
      <c r="AB112" t="s">
        <v>156</v>
      </c>
      <c r="AC112" t="s">
        <v>157</v>
      </c>
      <c r="AD112" t="s">
        <v>158</v>
      </c>
      <c r="AE112" t="s">
        <v>359</v>
      </c>
      <c r="AG112" t="s">
        <v>372</v>
      </c>
      <c r="AH112">
        <v>0</v>
      </c>
      <c r="AI112">
        <v>331</v>
      </c>
      <c r="AJ112">
        <v>54</v>
      </c>
      <c r="AK112">
        <v>36</v>
      </c>
      <c r="AL112">
        <v>0.73</v>
      </c>
    </row>
    <row r="113" spans="1:38" x14ac:dyDescent="0.3">
      <c r="A113" t="s">
        <v>354</v>
      </c>
      <c r="B113">
        <v>107105</v>
      </c>
      <c r="C113">
        <v>4</v>
      </c>
      <c r="D113" t="s">
        <v>367</v>
      </c>
      <c r="E113" t="s">
        <v>368</v>
      </c>
      <c r="F113">
        <v>49</v>
      </c>
      <c r="G113">
        <v>15.01</v>
      </c>
      <c r="H113">
        <v>49.63</v>
      </c>
      <c r="I113">
        <v>10.130000000000001</v>
      </c>
      <c r="J113">
        <v>33.520000000000003</v>
      </c>
      <c r="K113">
        <v>2</v>
      </c>
      <c r="T113">
        <v>2</v>
      </c>
      <c r="U113">
        <v>1</v>
      </c>
      <c r="V113" t="s">
        <v>184</v>
      </c>
      <c r="W113" t="s">
        <v>374</v>
      </c>
      <c r="X113">
        <v>11</v>
      </c>
      <c r="Y113">
        <v>5</v>
      </c>
      <c r="Z113" t="s">
        <v>370</v>
      </c>
      <c r="AA113" t="s">
        <v>371</v>
      </c>
      <c r="AB113" t="s">
        <v>156</v>
      </c>
      <c r="AC113" t="s">
        <v>157</v>
      </c>
      <c r="AD113" t="s">
        <v>158</v>
      </c>
      <c r="AE113" t="s">
        <v>359</v>
      </c>
      <c r="AG113" t="s">
        <v>372</v>
      </c>
      <c r="AH113">
        <v>0</v>
      </c>
      <c r="AI113">
        <v>331</v>
      </c>
      <c r="AJ113">
        <v>54</v>
      </c>
      <c r="AK113">
        <v>36</v>
      </c>
      <c r="AL113">
        <v>0.73</v>
      </c>
    </row>
    <row r="114" spans="1:38" x14ac:dyDescent="0.3">
      <c r="A114" t="s">
        <v>354</v>
      </c>
      <c r="B114">
        <v>107105</v>
      </c>
      <c r="C114">
        <v>5</v>
      </c>
      <c r="D114" t="s">
        <v>367</v>
      </c>
      <c r="E114" t="s">
        <v>368</v>
      </c>
      <c r="F114">
        <v>49</v>
      </c>
      <c r="G114">
        <v>15.3</v>
      </c>
      <c r="H114">
        <v>50.58</v>
      </c>
      <c r="I114">
        <v>10.24</v>
      </c>
      <c r="J114">
        <v>33.880000000000003</v>
      </c>
      <c r="K114">
        <v>1</v>
      </c>
      <c r="T114">
        <v>2</v>
      </c>
      <c r="U114">
        <v>1</v>
      </c>
      <c r="V114" t="s">
        <v>184</v>
      </c>
      <c r="W114" t="s">
        <v>375</v>
      </c>
      <c r="X114">
        <v>11</v>
      </c>
      <c r="Y114">
        <v>5</v>
      </c>
      <c r="Z114" t="s">
        <v>370</v>
      </c>
      <c r="AA114" t="s">
        <v>371</v>
      </c>
      <c r="AB114" t="s">
        <v>156</v>
      </c>
      <c r="AC114" t="s">
        <v>157</v>
      </c>
      <c r="AD114" t="s">
        <v>158</v>
      </c>
      <c r="AE114" t="s">
        <v>359</v>
      </c>
      <c r="AG114" t="s">
        <v>372</v>
      </c>
      <c r="AH114">
        <v>0</v>
      </c>
      <c r="AI114">
        <v>331</v>
      </c>
      <c r="AJ114">
        <v>54</v>
      </c>
      <c r="AK114">
        <v>36</v>
      </c>
      <c r="AL114">
        <v>0.73</v>
      </c>
    </row>
    <row r="115" spans="1:38" x14ac:dyDescent="0.3">
      <c r="A115" t="s">
        <v>354</v>
      </c>
      <c r="B115">
        <v>107105</v>
      </c>
      <c r="C115">
        <v>6</v>
      </c>
      <c r="D115" t="s">
        <v>367</v>
      </c>
      <c r="E115" t="s">
        <v>368</v>
      </c>
      <c r="F115">
        <v>49</v>
      </c>
      <c r="G115">
        <v>16.96</v>
      </c>
      <c r="H115">
        <v>56.08</v>
      </c>
      <c r="I115">
        <v>11.01</v>
      </c>
      <c r="J115">
        <v>36.409999999999997</v>
      </c>
      <c r="K115">
        <v>1</v>
      </c>
      <c r="T115">
        <v>2</v>
      </c>
      <c r="U115">
        <v>1</v>
      </c>
      <c r="V115" t="s">
        <v>184</v>
      </c>
      <c r="W115" t="s">
        <v>376</v>
      </c>
      <c r="X115">
        <v>11</v>
      </c>
      <c r="Y115">
        <v>5</v>
      </c>
      <c r="Z115" t="s">
        <v>370</v>
      </c>
      <c r="AA115" t="s">
        <v>371</v>
      </c>
      <c r="AB115" t="s">
        <v>156</v>
      </c>
      <c r="AC115" t="s">
        <v>157</v>
      </c>
      <c r="AD115" t="s">
        <v>158</v>
      </c>
      <c r="AE115" t="s">
        <v>359</v>
      </c>
      <c r="AG115" t="s">
        <v>372</v>
      </c>
      <c r="AH115">
        <v>0</v>
      </c>
      <c r="AI115">
        <v>331</v>
      </c>
      <c r="AJ115">
        <v>54</v>
      </c>
      <c r="AK115">
        <v>36</v>
      </c>
      <c r="AL115">
        <v>0.73</v>
      </c>
    </row>
    <row r="116" spans="1:38" x14ac:dyDescent="0.3">
      <c r="A116" t="s">
        <v>354</v>
      </c>
      <c r="B116">
        <v>107105</v>
      </c>
      <c r="C116">
        <v>7</v>
      </c>
      <c r="D116" t="s">
        <v>367</v>
      </c>
      <c r="E116" t="s">
        <v>368</v>
      </c>
      <c r="F116">
        <v>49</v>
      </c>
      <c r="G116">
        <v>16.940000000000001</v>
      </c>
      <c r="H116">
        <v>56.03</v>
      </c>
      <c r="I116">
        <v>11.34</v>
      </c>
      <c r="J116">
        <v>37.51</v>
      </c>
      <c r="K116">
        <v>1</v>
      </c>
      <c r="T116">
        <v>2</v>
      </c>
      <c r="U116">
        <v>1</v>
      </c>
      <c r="V116" t="s">
        <v>184</v>
      </c>
      <c r="W116" t="s">
        <v>377</v>
      </c>
      <c r="X116">
        <v>11</v>
      </c>
      <c r="Y116">
        <v>5</v>
      </c>
      <c r="Z116" t="s">
        <v>370</v>
      </c>
      <c r="AA116" t="s">
        <v>371</v>
      </c>
      <c r="AB116" t="s">
        <v>156</v>
      </c>
      <c r="AC116" t="s">
        <v>157</v>
      </c>
      <c r="AD116" t="s">
        <v>158</v>
      </c>
      <c r="AE116" t="s">
        <v>359</v>
      </c>
      <c r="AG116" t="s">
        <v>372</v>
      </c>
      <c r="AH116">
        <v>0</v>
      </c>
      <c r="AI116">
        <v>331</v>
      </c>
      <c r="AJ116">
        <v>54</v>
      </c>
      <c r="AK116">
        <v>36</v>
      </c>
      <c r="AL116">
        <v>0.73</v>
      </c>
    </row>
    <row r="117" spans="1:38" x14ac:dyDescent="0.3">
      <c r="A117" t="s">
        <v>354</v>
      </c>
      <c r="B117">
        <v>107105</v>
      </c>
      <c r="C117">
        <v>8</v>
      </c>
      <c r="D117" t="s">
        <v>367</v>
      </c>
      <c r="E117" t="s">
        <v>368</v>
      </c>
      <c r="F117">
        <v>49</v>
      </c>
      <c r="G117">
        <v>16.95</v>
      </c>
      <c r="H117">
        <v>56.06</v>
      </c>
      <c r="I117">
        <v>11.38</v>
      </c>
      <c r="J117">
        <v>37.619999999999997</v>
      </c>
      <c r="K117">
        <v>1</v>
      </c>
      <c r="T117">
        <v>2</v>
      </c>
      <c r="U117">
        <v>1</v>
      </c>
      <c r="V117" t="s">
        <v>184</v>
      </c>
      <c r="W117" t="s">
        <v>378</v>
      </c>
      <c r="X117">
        <v>11</v>
      </c>
      <c r="Y117">
        <v>5</v>
      </c>
      <c r="Z117" t="s">
        <v>370</v>
      </c>
      <c r="AA117" t="s">
        <v>371</v>
      </c>
      <c r="AB117" t="s">
        <v>156</v>
      </c>
      <c r="AC117" t="s">
        <v>157</v>
      </c>
      <c r="AD117" t="s">
        <v>158</v>
      </c>
      <c r="AE117" t="s">
        <v>359</v>
      </c>
      <c r="AG117" t="s">
        <v>372</v>
      </c>
      <c r="AH117">
        <v>0</v>
      </c>
      <c r="AI117">
        <v>331</v>
      </c>
      <c r="AJ117">
        <v>54</v>
      </c>
      <c r="AK117">
        <v>36</v>
      </c>
      <c r="AL117">
        <v>0.73</v>
      </c>
    </row>
    <row r="118" spans="1:38" x14ac:dyDescent="0.3">
      <c r="A118" t="s">
        <v>354</v>
      </c>
      <c r="B118">
        <v>107105</v>
      </c>
      <c r="C118">
        <v>9</v>
      </c>
      <c r="D118" t="s">
        <v>367</v>
      </c>
      <c r="E118" t="s">
        <v>368</v>
      </c>
      <c r="F118">
        <v>49</v>
      </c>
      <c r="G118">
        <v>17.82</v>
      </c>
      <c r="H118">
        <v>58.93</v>
      </c>
      <c r="I118">
        <v>11.5</v>
      </c>
      <c r="J118">
        <v>38.03</v>
      </c>
      <c r="K118">
        <v>1</v>
      </c>
      <c r="T118">
        <v>2</v>
      </c>
      <c r="U118">
        <v>1</v>
      </c>
      <c r="V118" t="s">
        <v>184</v>
      </c>
      <c r="W118" t="s">
        <v>379</v>
      </c>
      <c r="X118">
        <v>11</v>
      </c>
      <c r="Y118">
        <v>5</v>
      </c>
      <c r="Z118" t="s">
        <v>370</v>
      </c>
      <c r="AA118" t="s">
        <v>371</v>
      </c>
      <c r="AB118" t="s">
        <v>156</v>
      </c>
      <c r="AC118" t="s">
        <v>157</v>
      </c>
      <c r="AD118" t="s">
        <v>158</v>
      </c>
      <c r="AE118" t="s">
        <v>359</v>
      </c>
      <c r="AG118" t="s">
        <v>372</v>
      </c>
      <c r="AH118">
        <v>0</v>
      </c>
      <c r="AI118">
        <v>331</v>
      </c>
      <c r="AJ118">
        <v>54</v>
      </c>
      <c r="AK118">
        <v>36</v>
      </c>
      <c r="AL118">
        <v>0.73</v>
      </c>
    </row>
    <row r="119" spans="1:38" x14ac:dyDescent="0.3">
      <c r="A119" t="s">
        <v>354</v>
      </c>
      <c r="B119">
        <v>107105</v>
      </c>
      <c r="C119">
        <v>10</v>
      </c>
      <c r="D119" t="s">
        <v>367</v>
      </c>
      <c r="E119" t="s">
        <v>368</v>
      </c>
      <c r="F119">
        <v>49</v>
      </c>
      <c r="G119">
        <v>18.28</v>
      </c>
      <c r="H119">
        <v>60.43</v>
      </c>
      <c r="I119">
        <v>12.62</v>
      </c>
      <c r="J119">
        <v>41.74</v>
      </c>
      <c r="K119">
        <v>4</v>
      </c>
      <c r="T119">
        <v>2</v>
      </c>
      <c r="U119">
        <v>1</v>
      </c>
      <c r="V119" t="s">
        <v>184</v>
      </c>
      <c r="W119" t="s">
        <v>235</v>
      </c>
      <c r="X119">
        <v>11</v>
      </c>
      <c r="Y119">
        <v>5</v>
      </c>
      <c r="Z119" t="s">
        <v>370</v>
      </c>
      <c r="AA119" t="s">
        <v>371</v>
      </c>
      <c r="AB119" t="s">
        <v>156</v>
      </c>
      <c r="AC119" t="s">
        <v>157</v>
      </c>
      <c r="AD119" t="s">
        <v>158</v>
      </c>
      <c r="AE119" t="s">
        <v>359</v>
      </c>
      <c r="AG119" t="s">
        <v>372</v>
      </c>
      <c r="AH119">
        <v>0</v>
      </c>
      <c r="AI119">
        <v>331</v>
      </c>
      <c r="AJ119">
        <v>54</v>
      </c>
      <c r="AK119">
        <v>36</v>
      </c>
      <c r="AL119">
        <v>0.73</v>
      </c>
    </row>
    <row r="120" spans="1:38" x14ac:dyDescent="0.3">
      <c r="A120" t="s">
        <v>354</v>
      </c>
      <c r="B120">
        <v>107105</v>
      </c>
      <c r="C120">
        <v>11</v>
      </c>
      <c r="D120" t="s">
        <v>367</v>
      </c>
      <c r="E120" t="s">
        <v>368</v>
      </c>
      <c r="F120">
        <v>49</v>
      </c>
      <c r="G120">
        <v>18.850000000000001</v>
      </c>
      <c r="H120">
        <v>62.33</v>
      </c>
      <c r="I120">
        <v>12.92</v>
      </c>
      <c r="J120">
        <v>42.72</v>
      </c>
      <c r="K120">
        <v>2</v>
      </c>
      <c r="T120">
        <v>2</v>
      </c>
      <c r="U120">
        <v>1</v>
      </c>
      <c r="V120" t="s">
        <v>184</v>
      </c>
      <c r="W120">
        <v>62</v>
      </c>
      <c r="X120">
        <v>11</v>
      </c>
      <c r="Y120">
        <v>5</v>
      </c>
      <c r="Z120" t="s">
        <v>370</v>
      </c>
      <c r="AA120" t="s">
        <v>371</v>
      </c>
      <c r="AB120" t="s">
        <v>156</v>
      </c>
      <c r="AC120" t="s">
        <v>157</v>
      </c>
      <c r="AD120" t="s">
        <v>158</v>
      </c>
      <c r="AE120" t="s">
        <v>359</v>
      </c>
      <c r="AG120" t="s">
        <v>372</v>
      </c>
      <c r="AH120">
        <v>0</v>
      </c>
      <c r="AI120">
        <v>331</v>
      </c>
      <c r="AJ120">
        <v>54</v>
      </c>
      <c r="AK120">
        <v>36</v>
      </c>
      <c r="AL120">
        <v>0.73</v>
      </c>
    </row>
    <row r="121" spans="1:38" x14ac:dyDescent="0.3">
      <c r="A121" t="s">
        <v>354</v>
      </c>
      <c r="B121">
        <v>107105</v>
      </c>
      <c r="C121">
        <v>12</v>
      </c>
      <c r="D121" t="s">
        <v>367</v>
      </c>
      <c r="E121" t="s">
        <v>368</v>
      </c>
      <c r="F121">
        <v>49</v>
      </c>
      <c r="G121">
        <v>21.8</v>
      </c>
      <c r="H121">
        <v>72.069999999999993</v>
      </c>
      <c r="I121">
        <v>14.97</v>
      </c>
      <c r="J121">
        <v>49.52</v>
      </c>
      <c r="K121">
        <v>19</v>
      </c>
      <c r="T121">
        <v>2</v>
      </c>
      <c r="U121">
        <v>1</v>
      </c>
      <c r="V121" t="s">
        <v>184</v>
      </c>
      <c r="W121">
        <v>72</v>
      </c>
      <c r="X121">
        <v>11</v>
      </c>
      <c r="Y121">
        <v>5</v>
      </c>
      <c r="Z121" t="s">
        <v>370</v>
      </c>
      <c r="AA121" t="s">
        <v>371</v>
      </c>
      <c r="AB121" t="s">
        <v>156</v>
      </c>
      <c r="AC121" t="s">
        <v>157</v>
      </c>
      <c r="AD121" t="s">
        <v>158</v>
      </c>
      <c r="AE121" t="s">
        <v>359</v>
      </c>
      <c r="AG121" t="s">
        <v>372</v>
      </c>
      <c r="AH121">
        <v>0</v>
      </c>
      <c r="AI121">
        <v>331</v>
      </c>
      <c r="AJ121">
        <v>54</v>
      </c>
      <c r="AK121">
        <v>36</v>
      </c>
      <c r="AL121">
        <v>0.73</v>
      </c>
    </row>
    <row r="122" spans="1:38" x14ac:dyDescent="0.3">
      <c r="A122" t="s">
        <v>354</v>
      </c>
      <c r="B122">
        <v>107105</v>
      </c>
      <c r="C122">
        <v>13</v>
      </c>
      <c r="D122" t="s">
        <v>367</v>
      </c>
      <c r="E122" t="s">
        <v>368</v>
      </c>
      <c r="F122">
        <v>49</v>
      </c>
      <c r="G122">
        <v>23</v>
      </c>
      <c r="H122">
        <v>76.040000000000006</v>
      </c>
      <c r="I122">
        <v>15.67</v>
      </c>
      <c r="J122">
        <v>51.81</v>
      </c>
      <c r="K122">
        <v>1</v>
      </c>
      <c r="T122">
        <v>3</v>
      </c>
      <c r="U122">
        <v>2</v>
      </c>
      <c r="V122" t="s">
        <v>184</v>
      </c>
      <c r="W122" t="s">
        <v>342</v>
      </c>
      <c r="X122">
        <v>11</v>
      </c>
      <c r="Y122">
        <v>5</v>
      </c>
      <c r="Z122" t="s">
        <v>370</v>
      </c>
      <c r="AA122" t="s">
        <v>371</v>
      </c>
      <c r="AB122" t="s">
        <v>156</v>
      </c>
      <c r="AC122" t="s">
        <v>157</v>
      </c>
      <c r="AD122" t="s">
        <v>158</v>
      </c>
      <c r="AE122" t="s">
        <v>359</v>
      </c>
      <c r="AG122" t="s">
        <v>372</v>
      </c>
      <c r="AH122">
        <v>0</v>
      </c>
      <c r="AI122">
        <v>331</v>
      </c>
      <c r="AJ122">
        <v>54</v>
      </c>
      <c r="AK122">
        <v>36</v>
      </c>
      <c r="AL122">
        <v>0.73</v>
      </c>
    </row>
    <row r="123" spans="1:38" x14ac:dyDescent="0.3">
      <c r="A123" t="s">
        <v>354</v>
      </c>
      <c r="B123">
        <v>107105</v>
      </c>
      <c r="C123">
        <v>14</v>
      </c>
      <c r="D123" t="s">
        <v>367</v>
      </c>
      <c r="E123" t="s">
        <v>368</v>
      </c>
      <c r="F123">
        <v>49</v>
      </c>
      <c r="G123">
        <v>23.11</v>
      </c>
      <c r="H123">
        <v>76.400000000000006</v>
      </c>
      <c r="I123">
        <v>15.96</v>
      </c>
      <c r="J123">
        <v>52.79</v>
      </c>
      <c r="K123">
        <v>1</v>
      </c>
      <c r="T123">
        <v>3</v>
      </c>
      <c r="U123">
        <v>2</v>
      </c>
      <c r="V123" t="s">
        <v>184</v>
      </c>
      <c r="W123" t="s">
        <v>346</v>
      </c>
      <c r="X123">
        <v>11</v>
      </c>
      <c r="Y123">
        <v>5</v>
      </c>
      <c r="Z123" t="s">
        <v>370</v>
      </c>
      <c r="AA123" t="s">
        <v>371</v>
      </c>
      <c r="AB123" t="s">
        <v>156</v>
      </c>
      <c r="AC123" t="s">
        <v>157</v>
      </c>
      <c r="AD123" t="s">
        <v>158</v>
      </c>
      <c r="AE123" t="s">
        <v>359</v>
      </c>
      <c r="AG123" t="s">
        <v>372</v>
      </c>
      <c r="AH123">
        <v>0</v>
      </c>
      <c r="AI123">
        <v>331</v>
      </c>
      <c r="AJ123">
        <v>54</v>
      </c>
      <c r="AK123">
        <v>36</v>
      </c>
      <c r="AL123">
        <v>0.73</v>
      </c>
    </row>
    <row r="124" spans="1:38" x14ac:dyDescent="0.3">
      <c r="A124" t="s">
        <v>354</v>
      </c>
      <c r="B124">
        <v>107105</v>
      </c>
      <c r="C124">
        <v>15</v>
      </c>
      <c r="D124" t="s">
        <v>367</v>
      </c>
      <c r="E124" t="s">
        <v>368</v>
      </c>
      <c r="F124">
        <v>49</v>
      </c>
      <c r="G124">
        <v>25.1</v>
      </c>
      <c r="H124">
        <v>83</v>
      </c>
      <c r="I124">
        <v>17.2</v>
      </c>
      <c r="J124">
        <v>56.87</v>
      </c>
      <c r="K124">
        <v>1</v>
      </c>
      <c r="T124">
        <v>3</v>
      </c>
      <c r="U124">
        <v>2</v>
      </c>
      <c r="V124" t="s">
        <v>184</v>
      </c>
      <c r="W124" t="s">
        <v>72</v>
      </c>
      <c r="X124">
        <v>11</v>
      </c>
      <c r="Y124">
        <v>5</v>
      </c>
      <c r="Z124" t="s">
        <v>370</v>
      </c>
      <c r="AA124" t="s">
        <v>371</v>
      </c>
      <c r="AB124" t="s">
        <v>156</v>
      </c>
      <c r="AC124" t="s">
        <v>157</v>
      </c>
      <c r="AD124" t="s">
        <v>158</v>
      </c>
      <c r="AE124" t="s">
        <v>359</v>
      </c>
      <c r="AG124" t="s">
        <v>372</v>
      </c>
      <c r="AH124">
        <v>0</v>
      </c>
      <c r="AI124">
        <v>331</v>
      </c>
      <c r="AJ124">
        <v>54</v>
      </c>
      <c r="AK124">
        <v>36</v>
      </c>
      <c r="AL124">
        <v>0.73</v>
      </c>
    </row>
    <row r="125" spans="1:38" x14ac:dyDescent="0.3">
      <c r="A125" t="s">
        <v>354</v>
      </c>
      <c r="B125">
        <v>107105</v>
      </c>
      <c r="C125">
        <v>16</v>
      </c>
      <c r="D125" t="s">
        <v>367</v>
      </c>
      <c r="E125" t="s">
        <v>368</v>
      </c>
      <c r="F125">
        <v>49</v>
      </c>
      <c r="G125">
        <v>25.41</v>
      </c>
      <c r="H125">
        <v>84.02</v>
      </c>
      <c r="I125">
        <v>17.43</v>
      </c>
      <c r="J125">
        <v>57.64</v>
      </c>
      <c r="K125">
        <v>1</v>
      </c>
      <c r="T125">
        <v>3</v>
      </c>
      <c r="U125">
        <v>2</v>
      </c>
      <c r="V125" t="s">
        <v>184</v>
      </c>
      <c r="W125" t="s">
        <v>334</v>
      </c>
      <c r="X125">
        <v>11</v>
      </c>
      <c r="Y125">
        <v>5</v>
      </c>
      <c r="Z125" t="s">
        <v>370</v>
      </c>
      <c r="AA125" t="s">
        <v>371</v>
      </c>
      <c r="AB125" t="s">
        <v>156</v>
      </c>
      <c r="AC125" t="s">
        <v>157</v>
      </c>
      <c r="AD125" t="s">
        <v>158</v>
      </c>
      <c r="AE125" t="s">
        <v>359</v>
      </c>
      <c r="AG125" t="s">
        <v>372</v>
      </c>
      <c r="AH125">
        <v>0</v>
      </c>
      <c r="AI125">
        <v>331</v>
      </c>
      <c r="AJ125">
        <v>54</v>
      </c>
      <c r="AK125">
        <v>36</v>
      </c>
      <c r="AL125">
        <v>0.73</v>
      </c>
    </row>
    <row r="126" spans="1:38" x14ac:dyDescent="0.3">
      <c r="A126" t="s">
        <v>354</v>
      </c>
      <c r="B126">
        <v>107105</v>
      </c>
      <c r="C126">
        <v>17</v>
      </c>
      <c r="D126" t="s">
        <v>367</v>
      </c>
      <c r="E126" t="s">
        <v>368</v>
      </c>
      <c r="F126">
        <v>49</v>
      </c>
      <c r="G126">
        <v>26.01</v>
      </c>
      <c r="H126">
        <v>86.01</v>
      </c>
      <c r="I126">
        <v>17.920000000000002</v>
      </c>
      <c r="J126">
        <v>59.26</v>
      </c>
      <c r="K126">
        <v>8</v>
      </c>
      <c r="T126">
        <v>3</v>
      </c>
      <c r="U126">
        <v>2</v>
      </c>
      <c r="V126" t="s">
        <v>184</v>
      </c>
      <c r="W126">
        <v>86</v>
      </c>
      <c r="X126">
        <v>11</v>
      </c>
      <c r="Y126">
        <v>5</v>
      </c>
      <c r="Z126" t="s">
        <v>370</v>
      </c>
      <c r="AA126" t="s">
        <v>371</v>
      </c>
      <c r="AB126" t="s">
        <v>156</v>
      </c>
      <c r="AC126" t="s">
        <v>157</v>
      </c>
      <c r="AD126" t="s">
        <v>158</v>
      </c>
      <c r="AE126" t="s">
        <v>359</v>
      </c>
      <c r="AG126" t="s">
        <v>372</v>
      </c>
      <c r="AH126">
        <v>0</v>
      </c>
      <c r="AI126">
        <v>331</v>
      </c>
      <c r="AJ126">
        <v>54</v>
      </c>
      <c r="AK126">
        <v>36</v>
      </c>
      <c r="AL126">
        <v>0.73</v>
      </c>
    </row>
    <row r="127" spans="1:38" x14ac:dyDescent="0.3">
      <c r="A127" t="s">
        <v>354</v>
      </c>
      <c r="B127">
        <v>107105</v>
      </c>
      <c r="C127">
        <v>18</v>
      </c>
      <c r="D127" t="s">
        <v>367</v>
      </c>
      <c r="E127" t="s">
        <v>368</v>
      </c>
      <c r="F127">
        <v>49</v>
      </c>
      <c r="G127">
        <v>30.02</v>
      </c>
      <c r="H127">
        <v>99.27</v>
      </c>
      <c r="I127">
        <v>19.75</v>
      </c>
      <c r="J127">
        <v>65.3</v>
      </c>
      <c r="K127">
        <v>1</v>
      </c>
      <c r="T127">
        <v>3</v>
      </c>
      <c r="U127">
        <v>2</v>
      </c>
      <c r="V127" t="s">
        <v>184</v>
      </c>
      <c r="W127" t="s">
        <v>123</v>
      </c>
      <c r="X127">
        <v>11</v>
      </c>
      <c r="Y127">
        <v>5</v>
      </c>
      <c r="Z127" t="s">
        <v>370</v>
      </c>
      <c r="AA127" t="s">
        <v>371</v>
      </c>
      <c r="AB127" t="s">
        <v>156</v>
      </c>
      <c r="AC127" t="s">
        <v>157</v>
      </c>
      <c r="AD127" t="s">
        <v>158</v>
      </c>
      <c r="AE127" t="s">
        <v>359</v>
      </c>
      <c r="AG127" t="s">
        <v>372</v>
      </c>
      <c r="AH127">
        <v>0</v>
      </c>
      <c r="AI127">
        <v>331</v>
      </c>
      <c r="AJ127">
        <v>54</v>
      </c>
      <c r="AK127">
        <v>36</v>
      </c>
      <c r="AL127">
        <v>0.73</v>
      </c>
    </row>
    <row r="128" spans="1:38" x14ac:dyDescent="0.3">
      <c r="A128" t="s">
        <v>354</v>
      </c>
      <c r="B128">
        <v>107105</v>
      </c>
      <c r="C128">
        <v>19</v>
      </c>
      <c r="D128" t="s">
        <v>367</v>
      </c>
      <c r="E128" t="s">
        <v>368</v>
      </c>
      <c r="F128">
        <v>49</v>
      </c>
      <c r="G128">
        <v>29.95</v>
      </c>
      <c r="H128">
        <v>99.03</v>
      </c>
      <c r="I128">
        <v>19.97</v>
      </c>
      <c r="J128">
        <v>66.02</v>
      </c>
      <c r="K128">
        <v>1</v>
      </c>
      <c r="T128">
        <v>3</v>
      </c>
      <c r="U128">
        <v>2</v>
      </c>
      <c r="V128" t="s">
        <v>184</v>
      </c>
      <c r="W128" t="s">
        <v>115</v>
      </c>
      <c r="X128">
        <v>11</v>
      </c>
      <c r="Y128">
        <v>5</v>
      </c>
      <c r="Z128" t="s">
        <v>370</v>
      </c>
      <c r="AA128" t="s">
        <v>371</v>
      </c>
      <c r="AB128" t="s">
        <v>156</v>
      </c>
      <c r="AC128" t="s">
        <v>157</v>
      </c>
      <c r="AD128" t="s">
        <v>158</v>
      </c>
      <c r="AE128" t="s">
        <v>359</v>
      </c>
      <c r="AG128" t="s">
        <v>372</v>
      </c>
      <c r="AH128">
        <v>0</v>
      </c>
      <c r="AI128">
        <v>331</v>
      </c>
      <c r="AJ128">
        <v>54</v>
      </c>
      <c r="AK128">
        <v>36</v>
      </c>
      <c r="AL128">
        <v>0.73</v>
      </c>
    </row>
    <row r="129" spans="1:38" x14ac:dyDescent="0.3">
      <c r="A129" t="s">
        <v>354</v>
      </c>
      <c r="B129">
        <v>105963</v>
      </c>
      <c r="C129">
        <v>1</v>
      </c>
      <c r="D129" t="s">
        <v>267</v>
      </c>
      <c r="E129" t="s">
        <v>380</v>
      </c>
      <c r="F129">
        <v>80</v>
      </c>
      <c r="G129">
        <v>21.51</v>
      </c>
      <c r="H129">
        <v>71.11</v>
      </c>
      <c r="I129">
        <v>18.059999999999999</v>
      </c>
      <c r="J129">
        <v>59.71</v>
      </c>
      <c r="K129">
        <v>80</v>
      </c>
      <c r="T129">
        <v>3</v>
      </c>
      <c r="U129">
        <v>1</v>
      </c>
      <c r="V129" t="s">
        <v>153</v>
      </c>
      <c r="W129">
        <v>71</v>
      </c>
      <c r="X129">
        <v>5</v>
      </c>
      <c r="Y129">
        <v>5</v>
      </c>
      <c r="Z129" t="s">
        <v>381</v>
      </c>
      <c r="AA129" t="s">
        <v>382</v>
      </c>
      <c r="AB129" t="s">
        <v>156</v>
      </c>
      <c r="AC129" t="s">
        <v>157</v>
      </c>
      <c r="AD129" t="s">
        <v>158</v>
      </c>
      <c r="AE129" t="s">
        <v>359</v>
      </c>
      <c r="AG129" t="s">
        <v>383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354</v>
      </c>
      <c r="B130">
        <v>26197</v>
      </c>
      <c r="C130">
        <v>1</v>
      </c>
      <c r="D130" t="s">
        <v>384</v>
      </c>
      <c r="E130" t="s">
        <v>385</v>
      </c>
      <c r="F130">
        <v>411</v>
      </c>
      <c r="G130">
        <v>14.16</v>
      </c>
      <c r="H130">
        <v>46.84</v>
      </c>
      <c r="I130">
        <v>10.08</v>
      </c>
      <c r="J130">
        <v>33.33</v>
      </c>
      <c r="K130">
        <v>355</v>
      </c>
      <c r="T130">
        <v>2</v>
      </c>
      <c r="U130">
        <v>1</v>
      </c>
      <c r="V130" t="s">
        <v>184</v>
      </c>
      <c r="W130">
        <v>46</v>
      </c>
      <c r="X130">
        <v>15</v>
      </c>
      <c r="Y130">
        <v>12</v>
      </c>
      <c r="Z130" t="s">
        <v>386</v>
      </c>
      <c r="AA130" t="s">
        <v>387</v>
      </c>
      <c r="AB130" t="s">
        <v>156</v>
      </c>
      <c r="AC130" t="s">
        <v>157</v>
      </c>
      <c r="AD130" t="s">
        <v>158</v>
      </c>
      <c r="AE130" t="s">
        <v>359</v>
      </c>
      <c r="AG130" t="s">
        <v>388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354</v>
      </c>
      <c r="B131">
        <v>26197</v>
      </c>
      <c r="C131">
        <v>2</v>
      </c>
      <c r="D131" t="s">
        <v>384</v>
      </c>
      <c r="E131" t="s">
        <v>385</v>
      </c>
      <c r="F131">
        <v>411</v>
      </c>
      <c r="G131">
        <v>15.23</v>
      </c>
      <c r="H131">
        <v>50.38</v>
      </c>
      <c r="I131">
        <v>10.84</v>
      </c>
      <c r="J131">
        <v>35.85</v>
      </c>
      <c r="K131">
        <v>56</v>
      </c>
      <c r="T131">
        <v>2</v>
      </c>
      <c r="U131">
        <v>1</v>
      </c>
      <c r="V131" t="s">
        <v>184</v>
      </c>
      <c r="W131">
        <v>50</v>
      </c>
      <c r="X131">
        <v>15</v>
      </c>
      <c r="Y131">
        <v>12</v>
      </c>
      <c r="Z131" t="s">
        <v>386</v>
      </c>
      <c r="AA131" t="s">
        <v>387</v>
      </c>
      <c r="AB131" t="s">
        <v>156</v>
      </c>
      <c r="AC131" t="s">
        <v>157</v>
      </c>
      <c r="AD131" t="s">
        <v>158</v>
      </c>
      <c r="AE131" t="s">
        <v>359</v>
      </c>
      <c r="AG131" t="s">
        <v>388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354</v>
      </c>
      <c r="B132">
        <v>7028</v>
      </c>
      <c r="C132">
        <v>1</v>
      </c>
      <c r="D132" t="s">
        <v>389</v>
      </c>
      <c r="E132" t="s">
        <v>390</v>
      </c>
      <c r="F132">
        <v>398</v>
      </c>
      <c r="G132">
        <v>16.149999999999999</v>
      </c>
      <c r="H132">
        <v>53.4</v>
      </c>
      <c r="I132">
        <v>13.12</v>
      </c>
      <c r="J132">
        <v>43.4</v>
      </c>
      <c r="K132">
        <v>8</v>
      </c>
      <c r="T132">
        <v>2</v>
      </c>
      <c r="U132">
        <v>1</v>
      </c>
      <c r="V132" t="s">
        <v>153</v>
      </c>
      <c r="W132">
        <v>53</v>
      </c>
      <c r="X132">
        <v>15</v>
      </c>
      <c r="Y132">
        <v>4</v>
      </c>
      <c r="Z132" t="s">
        <v>391</v>
      </c>
      <c r="AA132" t="s">
        <v>392</v>
      </c>
      <c r="AB132" t="s">
        <v>156</v>
      </c>
      <c r="AC132" t="s">
        <v>157</v>
      </c>
      <c r="AD132" t="s">
        <v>158</v>
      </c>
      <c r="AE132" t="s">
        <v>359</v>
      </c>
      <c r="AG132" t="s">
        <v>393</v>
      </c>
      <c r="AH132">
        <v>0</v>
      </c>
      <c r="AI132">
        <v>184</v>
      </c>
      <c r="AJ132">
        <v>18</v>
      </c>
      <c r="AK132">
        <v>370</v>
      </c>
      <c r="AL132">
        <v>0.93</v>
      </c>
    </row>
    <row r="133" spans="1:38" x14ac:dyDescent="0.3">
      <c r="A133" t="s">
        <v>354</v>
      </c>
      <c r="B133">
        <v>7028</v>
      </c>
      <c r="C133">
        <v>2</v>
      </c>
      <c r="D133" t="s">
        <v>389</v>
      </c>
      <c r="E133" t="s">
        <v>390</v>
      </c>
      <c r="F133">
        <v>398</v>
      </c>
      <c r="G133">
        <v>18.71</v>
      </c>
      <c r="H133">
        <v>61.86</v>
      </c>
      <c r="I133">
        <v>15.52</v>
      </c>
      <c r="J133">
        <v>51.32</v>
      </c>
      <c r="K133">
        <v>20</v>
      </c>
      <c r="T133">
        <v>2</v>
      </c>
      <c r="U133">
        <v>1</v>
      </c>
      <c r="V133" t="s">
        <v>153</v>
      </c>
      <c r="W133">
        <v>61</v>
      </c>
      <c r="X133">
        <v>15</v>
      </c>
      <c r="Y133">
        <v>4</v>
      </c>
      <c r="Z133" t="s">
        <v>391</v>
      </c>
      <c r="AA133" t="s">
        <v>392</v>
      </c>
      <c r="AB133" t="s">
        <v>156</v>
      </c>
      <c r="AC133" t="s">
        <v>157</v>
      </c>
      <c r="AD133" t="s">
        <v>158</v>
      </c>
      <c r="AE133" t="s">
        <v>359</v>
      </c>
      <c r="AG133" t="s">
        <v>393</v>
      </c>
      <c r="AH133">
        <v>0</v>
      </c>
      <c r="AI133">
        <v>184</v>
      </c>
      <c r="AJ133">
        <v>18</v>
      </c>
      <c r="AK133">
        <v>370</v>
      </c>
      <c r="AL133">
        <v>0.93</v>
      </c>
    </row>
    <row r="134" spans="1:38" x14ac:dyDescent="0.3">
      <c r="A134" t="s">
        <v>354</v>
      </c>
      <c r="B134">
        <v>7028</v>
      </c>
      <c r="C134">
        <v>3</v>
      </c>
      <c r="D134" t="s">
        <v>389</v>
      </c>
      <c r="E134" t="s">
        <v>390</v>
      </c>
      <c r="F134">
        <v>398</v>
      </c>
      <c r="G134">
        <v>23.15</v>
      </c>
      <c r="H134">
        <v>76.55</v>
      </c>
      <c r="I134">
        <v>18.14</v>
      </c>
      <c r="J134">
        <v>59.98</v>
      </c>
      <c r="K134">
        <v>131</v>
      </c>
      <c r="T134">
        <v>3</v>
      </c>
      <c r="U134">
        <v>1</v>
      </c>
      <c r="V134" t="s">
        <v>153</v>
      </c>
      <c r="W134">
        <v>76</v>
      </c>
      <c r="X134">
        <v>15</v>
      </c>
      <c r="Y134">
        <v>4</v>
      </c>
      <c r="Z134" t="s">
        <v>391</v>
      </c>
      <c r="AA134" t="s">
        <v>392</v>
      </c>
      <c r="AB134" t="s">
        <v>156</v>
      </c>
      <c r="AC134" t="s">
        <v>157</v>
      </c>
      <c r="AD134" t="s">
        <v>158</v>
      </c>
      <c r="AE134" t="s">
        <v>359</v>
      </c>
      <c r="AG134" t="s">
        <v>393</v>
      </c>
      <c r="AH134">
        <v>0</v>
      </c>
      <c r="AI134">
        <v>184</v>
      </c>
      <c r="AJ134">
        <v>18</v>
      </c>
      <c r="AK134">
        <v>370</v>
      </c>
      <c r="AL134">
        <v>0.93</v>
      </c>
    </row>
    <row r="135" spans="1:38" x14ac:dyDescent="0.3">
      <c r="A135" t="s">
        <v>354</v>
      </c>
      <c r="B135">
        <v>7028</v>
      </c>
      <c r="C135">
        <v>4</v>
      </c>
      <c r="D135" t="s">
        <v>389</v>
      </c>
      <c r="E135" t="s">
        <v>390</v>
      </c>
      <c r="F135">
        <v>398</v>
      </c>
      <c r="G135">
        <v>31.46</v>
      </c>
      <c r="H135">
        <v>104.01</v>
      </c>
      <c r="I135">
        <v>25.7</v>
      </c>
      <c r="J135">
        <v>84.96</v>
      </c>
      <c r="K135">
        <v>239</v>
      </c>
      <c r="T135">
        <v>3</v>
      </c>
      <c r="U135">
        <v>2</v>
      </c>
      <c r="V135" t="s">
        <v>153</v>
      </c>
      <c r="W135">
        <v>104</v>
      </c>
      <c r="X135">
        <v>15</v>
      </c>
      <c r="Y135">
        <v>4</v>
      </c>
      <c r="Z135" t="s">
        <v>391</v>
      </c>
      <c r="AA135" t="s">
        <v>392</v>
      </c>
      <c r="AB135" t="s">
        <v>156</v>
      </c>
      <c r="AC135" t="s">
        <v>157</v>
      </c>
      <c r="AD135" t="s">
        <v>158</v>
      </c>
      <c r="AE135" t="s">
        <v>359</v>
      </c>
      <c r="AG135" t="s">
        <v>393</v>
      </c>
      <c r="AH135">
        <v>0</v>
      </c>
      <c r="AI135">
        <v>184</v>
      </c>
      <c r="AJ135">
        <v>18</v>
      </c>
      <c r="AK135">
        <v>370</v>
      </c>
      <c r="AL135">
        <v>0.93</v>
      </c>
    </row>
    <row r="136" spans="1:38" x14ac:dyDescent="0.3">
      <c r="A136" t="s">
        <v>354</v>
      </c>
      <c r="B136">
        <v>112607</v>
      </c>
      <c r="C136">
        <v>1</v>
      </c>
      <c r="D136" t="s">
        <v>394</v>
      </c>
      <c r="E136" t="s">
        <v>395</v>
      </c>
      <c r="F136">
        <v>729</v>
      </c>
      <c r="G136">
        <v>25.64</v>
      </c>
      <c r="H136">
        <v>84.78</v>
      </c>
      <c r="I136">
        <v>18.14</v>
      </c>
      <c r="J136">
        <v>59.97</v>
      </c>
      <c r="K136">
        <v>204</v>
      </c>
      <c r="T136">
        <v>3</v>
      </c>
      <c r="U136">
        <v>2</v>
      </c>
      <c r="V136" t="s">
        <v>153</v>
      </c>
      <c r="W136">
        <v>84</v>
      </c>
      <c r="X136">
        <v>28</v>
      </c>
      <c r="Y136">
        <v>22</v>
      </c>
      <c r="Z136" t="s">
        <v>396</v>
      </c>
      <c r="AA136" t="s">
        <v>397</v>
      </c>
      <c r="AB136" t="s">
        <v>156</v>
      </c>
      <c r="AC136" t="s">
        <v>157</v>
      </c>
      <c r="AD136" t="s">
        <v>158</v>
      </c>
      <c r="AE136" t="s">
        <v>359</v>
      </c>
      <c r="AG136" t="s">
        <v>398</v>
      </c>
      <c r="AH136">
        <v>0</v>
      </c>
      <c r="AI136">
        <v>219</v>
      </c>
      <c r="AJ136">
        <v>15</v>
      </c>
      <c r="AK136">
        <v>970</v>
      </c>
      <c r="AL136">
        <v>1.33</v>
      </c>
    </row>
    <row r="137" spans="1:38" x14ac:dyDescent="0.3">
      <c r="A137" t="s">
        <v>354</v>
      </c>
      <c r="B137">
        <v>112607</v>
      </c>
      <c r="C137">
        <v>2</v>
      </c>
      <c r="D137" t="s">
        <v>394</v>
      </c>
      <c r="E137" t="s">
        <v>395</v>
      </c>
      <c r="F137">
        <v>729</v>
      </c>
      <c r="G137">
        <v>29.93</v>
      </c>
      <c r="H137">
        <v>98.96</v>
      </c>
      <c r="I137">
        <v>22.5</v>
      </c>
      <c r="J137">
        <v>74.39</v>
      </c>
      <c r="K137">
        <v>119</v>
      </c>
      <c r="T137">
        <v>3</v>
      </c>
      <c r="U137">
        <v>2</v>
      </c>
      <c r="V137" t="s">
        <v>153</v>
      </c>
      <c r="W137">
        <v>98</v>
      </c>
      <c r="X137">
        <v>28</v>
      </c>
      <c r="Y137">
        <v>22</v>
      </c>
      <c r="Z137" t="s">
        <v>396</v>
      </c>
      <c r="AA137" t="s">
        <v>397</v>
      </c>
      <c r="AB137" t="s">
        <v>156</v>
      </c>
      <c r="AC137" t="s">
        <v>157</v>
      </c>
      <c r="AD137" t="s">
        <v>158</v>
      </c>
      <c r="AE137" t="s">
        <v>359</v>
      </c>
      <c r="AG137" t="s">
        <v>398</v>
      </c>
      <c r="AH137">
        <v>0</v>
      </c>
      <c r="AI137">
        <v>219</v>
      </c>
      <c r="AJ137">
        <v>15</v>
      </c>
      <c r="AK137">
        <v>970</v>
      </c>
      <c r="AL137">
        <v>1.33</v>
      </c>
    </row>
    <row r="138" spans="1:38" x14ac:dyDescent="0.3">
      <c r="A138" t="s">
        <v>354</v>
      </c>
      <c r="B138">
        <v>112607</v>
      </c>
      <c r="C138">
        <v>3</v>
      </c>
      <c r="D138" t="s">
        <v>394</v>
      </c>
      <c r="E138" t="s">
        <v>395</v>
      </c>
      <c r="F138">
        <v>729</v>
      </c>
      <c r="G138">
        <v>33.89</v>
      </c>
      <c r="H138">
        <v>112.05</v>
      </c>
      <c r="I138">
        <v>25.7</v>
      </c>
      <c r="J138">
        <v>84.97</v>
      </c>
      <c r="K138">
        <v>406</v>
      </c>
      <c r="T138">
        <v>4</v>
      </c>
      <c r="U138">
        <v>2</v>
      </c>
      <c r="V138" t="s">
        <v>153</v>
      </c>
      <c r="W138">
        <v>112</v>
      </c>
      <c r="X138">
        <v>28</v>
      </c>
      <c r="Y138">
        <v>22</v>
      </c>
      <c r="Z138" t="s">
        <v>396</v>
      </c>
      <c r="AA138" t="s">
        <v>397</v>
      </c>
      <c r="AB138" t="s">
        <v>156</v>
      </c>
      <c r="AC138" t="s">
        <v>157</v>
      </c>
      <c r="AD138" t="s">
        <v>158</v>
      </c>
      <c r="AE138" t="s">
        <v>359</v>
      </c>
      <c r="AG138" t="s">
        <v>398</v>
      </c>
      <c r="AH138">
        <v>0</v>
      </c>
      <c r="AI138">
        <v>219</v>
      </c>
      <c r="AJ138">
        <v>15</v>
      </c>
      <c r="AK138">
        <v>970</v>
      </c>
      <c r="AL138">
        <v>1.33</v>
      </c>
    </row>
    <row r="139" spans="1:38" x14ac:dyDescent="0.3">
      <c r="A139" t="s">
        <v>354</v>
      </c>
      <c r="B139">
        <v>25717</v>
      </c>
      <c r="C139">
        <v>1</v>
      </c>
      <c r="D139" t="s">
        <v>399</v>
      </c>
      <c r="E139" t="s">
        <v>400</v>
      </c>
      <c r="F139">
        <v>356</v>
      </c>
      <c r="G139">
        <v>18.27</v>
      </c>
      <c r="H139">
        <v>60.4</v>
      </c>
      <c r="I139">
        <v>13.35</v>
      </c>
      <c r="J139">
        <v>44.16</v>
      </c>
      <c r="K139">
        <v>25</v>
      </c>
      <c r="T139">
        <v>2</v>
      </c>
      <c r="U139">
        <v>1</v>
      </c>
      <c r="V139" t="s">
        <v>153</v>
      </c>
      <c r="W139">
        <v>60</v>
      </c>
      <c r="X139">
        <v>15</v>
      </c>
      <c r="Y139">
        <v>10</v>
      </c>
      <c r="Z139" t="s">
        <v>401</v>
      </c>
      <c r="AA139" t="s">
        <v>402</v>
      </c>
      <c r="AB139" t="s">
        <v>156</v>
      </c>
      <c r="AC139" t="s">
        <v>157</v>
      </c>
      <c r="AD139" t="s">
        <v>158</v>
      </c>
      <c r="AE139" t="s">
        <v>359</v>
      </c>
      <c r="AG139" t="s">
        <v>403</v>
      </c>
      <c r="AH139">
        <v>0</v>
      </c>
      <c r="AI139">
        <v>259</v>
      </c>
      <c r="AJ139">
        <v>27</v>
      </c>
      <c r="AK139">
        <v>282</v>
      </c>
      <c r="AL139">
        <v>0.79</v>
      </c>
    </row>
    <row r="140" spans="1:38" x14ac:dyDescent="0.3">
      <c r="A140" t="s">
        <v>354</v>
      </c>
      <c r="B140">
        <v>25717</v>
      </c>
      <c r="C140">
        <v>2</v>
      </c>
      <c r="D140" t="s">
        <v>399</v>
      </c>
      <c r="E140" t="s">
        <v>400</v>
      </c>
      <c r="F140">
        <v>356</v>
      </c>
      <c r="G140">
        <v>20.47</v>
      </c>
      <c r="H140">
        <v>67.7</v>
      </c>
      <c r="I140">
        <v>14.97</v>
      </c>
      <c r="J140">
        <v>49.5</v>
      </c>
      <c r="K140">
        <v>105</v>
      </c>
      <c r="T140">
        <v>2</v>
      </c>
      <c r="U140">
        <v>1</v>
      </c>
      <c r="V140" t="s">
        <v>153</v>
      </c>
      <c r="W140">
        <v>67</v>
      </c>
      <c r="X140">
        <v>15</v>
      </c>
      <c r="Y140">
        <v>10</v>
      </c>
      <c r="Z140" t="s">
        <v>401</v>
      </c>
      <c r="AA140" t="s">
        <v>402</v>
      </c>
      <c r="AB140" t="s">
        <v>156</v>
      </c>
      <c r="AC140" t="s">
        <v>157</v>
      </c>
      <c r="AD140" t="s">
        <v>158</v>
      </c>
      <c r="AE140" t="s">
        <v>359</v>
      </c>
      <c r="AG140" t="s">
        <v>403</v>
      </c>
      <c r="AH140">
        <v>0</v>
      </c>
      <c r="AI140">
        <v>259</v>
      </c>
      <c r="AJ140">
        <v>27</v>
      </c>
      <c r="AK140">
        <v>282</v>
      </c>
      <c r="AL140">
        <v>0.79</v>
      </c>
    </row>
    <row r="141" spans="1:38" x14ac:dyDescent="0.3">
      <c r="A141" t="s">
        <v>354</v>
      </c>
      <c r="B141">
        <v>25717</v>
      </c>
      <c r="C141">
        <v>3</v>
      </c>
      <c r="D141" t="s">
        <v>399</v>
      </c>
      <c r="E141" t="s">
        <v>400</v>
      </c>
      <c r="F141">
        <v>356</v>
      </c>
      <c r="G141">
        <v>24.6</v>
      </c>
      <c r="H141">
        <v>81.34</v>
      </c>
      <c r="I141">
        <v>17.98</v>
      </c>
      <c r="J141">
        <v>59.47</v>
      </c>
      <c r="K141">
        <v>226</v>
      </c>
      <c r="T141">
        <v>3</v>
      </c>
      <c r="U141">
        <v>1</v>
      </c>
      <c r="V141" t="s">
        <v>153</v>
      </c>
      <c r="W141">
        <v>81</v>
      </c>
      <c r="X141">
        <v>15</v>
      </c>
      <c r="Y141">
        <v>10</v>
      </c>
      <c r="Z141" t="s">
        <v>401</v>
      </c>
      <c r="AA141" t="s">
        <v>402</v>
      </c>
      <c r="AB141" t="s">
        <v>156</v>
      </c>
      <c r="AC141" t="s">
        <v>157</v>
      </c>
      <c r="AD141" t="s">
        <v>158</v>
      </c>
      <c r="AE141" t="s">
        <v>359</v>
      </c>
      <c r="AG141" t="s">
        <v>403</v>
      </c>
      <c r="AH141">
        <v>0</v>
      </c>
      <c r="AI141">
        <v>259</v>
      </c>
      <c r="AJ141">
        <v>27</v>
      </c>
      <c r="AK141">
        <v>282</v>
      </c>
      <c r="AL141">
        <v>0.79</v>
      </c>
    </row>
    <row r="142" spans="1:38" x14ac:dyDescent="0.3">
      <c r="A142" t="s">
        <v>354</v>
      </c>
      <c r="B142">
        <v>7030</v>
      </c>
      <c r="C142">
        <v>1</v>
      </c>
      <c r="D142" t="s">
        <v>404</v>
      </c>
      <c r="E142" t="s">
        <v>405</v>
      </c>
      <c r="F142">
        <v>958</v>
      </c>
      <c r="G142">
        <v>26.55</v>
      </c>
      <c r="H142">
        <v>87.77</v>
      </c>
      <c r="I142">
        <v>21.87</v>
      </c>
      <c r="J142">
        <v>72.33</v>
      </c>
      <c r="K142">
        <v>45</v>
      </c>
      <c r="T142">
        <v>3</v>
      </c>
      <c r="U142">
        <v>1</v>
      </c>
      <c r="V142" t="s">
        <v>153</v>
      </c>
      <c r="W142" t="s">
        <v>406</v>
      </c>
      <c r="X142">
        <v>15</v>
      </c>
      <c r="Y142">
        <v>7</v>
      </c>
      <c r="Z142" t="s">
        <v>407</v>
      </c>
      <c r="AA142" t="s">
        <v>408</v>
      </c>
      <c r="AB142" t="s">
        <v>156</v>
      </c>
      <c r="AC142" t="s">
        <v>157</v>
      </c>
      <c r="AD142" t="s">
        <v>158</v>
      </c>
      <c r="AE142" t="s">
        <v>359</v>
      </c>
      <c r="AG142" t="s">
        <v>409</v>
      </c>
      <c r="AH142">
        <v>0</v>
      </c>
      <c r="AI142">
        <v>225</v>
      </c>
      <c r="AJ142">
        <v>18</v>
      </c>
      <c r="AK142">
        <v>691</v>
      </c>
      <c r="AL142">
        <v>0.72</v>
      </c>
    </row>
    <row r="143" spans="1:38" x14ac:dyDescent="0.3">
      <c r="A143" t="s">
        <v>354</v>
      </c>
      <c r="B143">
        <v>7030</v>
      </c>
      <c r="C143">
        <v>2</v>
      </c>
      <c r="D143" t="s">
        <v>404</v>
      </c>
      <c r="E143" t="s">
        <v>405</v>
      </c>
      <c r="F143">
        <v>958</v>
      </c>
      <c r="G143">
        <v>26.81</v>
      </c>
      <c r="H143">
        <v>88.66</v>
      </c>
      <c r="I143">
        <v>22.01</v>
      </c>
      <c r="J143">
        <v>72.78</v>
      </c>
      <c r="K143">
        <v>191</v>
      </c>
      <c r="T143">
        <v>3</v>
      </c>
      <c r="U143">
        <v>1</v>
      </c>
      <c r="V143" t="s">
        <v>153</v>
      </c>
      <c r="W143" t="s">
        <v>118</v>
      </c>
      <c r="X143">
        <v>15</v>
      </c>
      <c r="Y143">
        <v>7</v>
      </c>
      <c r="Z143" t="s">
        <v>407</v>
      </c>
      <c r="AA143" t="s">
        <v>408</v>
      </c>
      <c r="AB143" t="s">
        <v>156</v>
      </c>
      <c r="AC143" t="s">
        <v>157</v>
      </c>
      <c r="AD143" t="s">
        <v>158</v>
      </c>
      <c r="AE143" t="s">
        <v>359</v>
      </c>
      <c r="AG143" t="s">
        <v>409</v>
      </c>
      <c r="AH143">
        <v>0</v>
      </c>
      <c r="AI143">
        <v>225</v>
      </c>
      <c r="AJ143">
        <v>18</v>
      </c>
      <c r="AK143">
        <v>691</v>
      </c>
      <c r="AL143">
        <v>0.72</v>
      </c>
    </row>
    <row r="144" spans="1:38" x14ac:dyDescent="0.3">
      <c r="A144" t="s">
        <v>354</v>
      </c>
      <c r="B144">
        <v>7030</v>
      </c>
      <c r="C144">
        <v>3</v>
      </c>
      <c r="D144" t="s">
        <v>404</v>
      </c>
      <c r="E144" t="s">
        <v>405</v>
      </c>
      <c r="F144">
        <v>958</v>
      </c>
      <c r="G144">
        <v>31.15</v>
      </c>
      <c r="H144">
        <v>103</v>
      </c>
      <c r="I144">
        <v>25.65</v>
      </c>
      <c r="J144">
        <v>84.81</v>
      </c>
      <c r="K144">
        <v>544</v>
      </c>
      <c r="T144">
        <v>3</v>
      </c>
      <c r="U144">
        <v>2</v>
      </c>
      <c r="V144" t="s">
        <v>153</v>
      </c>
      <c r="W144">
        <v>103</v>
      </c>
      <c r="X144">
        <v>15</v>
      </c>
      <c r="Y144">
        <v>7</v>
      </c>
      <c r="Z144" t="s">
        <v>407</v>
      </c>
      <c r="AA144" t="s">
        <v>408</v>
      </c>
      <c r="AB144" t="s">
        <v>156</v>
      </c>
      <c r="AC144" t="s">
        <v>157</v>
      </c>
      <c r="AD144" t="s">
        <v>158</v>
      </c>
      <c r="AE144" t="s">
        <v>359</v>
      </c>
      <c r="AG144" t="s">
        <v>409</v>
      </c>
      <c r="AH144">
        <v>0</v>
      </c>
      <c r="AI144">
        <v>225</v>
      </c>
      <c r="AJ144">
        <v>18</v>
      </c>
      <c r="AK144">
        <v>691</v>
      </c>
      <c r="AL144">
        <v>0.72</v>
      </c>
    </row>
    <row r="145" spans="1:38" x14ac:dyDescent="0.3">
      <c r="A145" t="s">
        <v>354</v>
      </c>
      <c r="B145">
        <v>7030</v>
      </c>
      <c r="C145">
        <v>4</v>
      </c>
      <c r="D145" t="s">
        <v>404</v>
      </c>
      <c r="E145" t="s">
        <v>405</v>
      </c>
      <c r="F145">
        <v>958</v>
      </c>
      <c r="G145">
        <v>44.15</v>
      </c>
      <c r="H145">
        <v>145.97</v>
      </c>
      <c r="I145">
        <v>37.450000000000003</v>
      </c>
      <c r="J145">
        <v>123.81</v>
      </c>
      <c r="K145">
        <v>178</v>
      </c>
      <c r="T145">
        <v>4</v>
      </c>
      <c r="U145">
        <v>2</v>
      </c>
      <c r="V145" t="s">
        <v>153</v>
      </c>
      <c r="W145">
        <v>145</v>
      </c>
      <c r="X145">
        <v>15</v>
      </c>
      <c r="Y145">
        <v>7</v>
      </c>
      <c r="Z145" t="s">
        <v>407</v>
      </c>
      <c r="AA145" t="s">
        <v>408</v>
      </c>
      <c r="AB145" t="s">
        <v>156</v>
      </c>
      <c r="AC145" t="s">
        <v>157</v>
      </c>
      <c r="AD145" t="s">
        <v>158</v>
      </c>
      <c r="AE145" t="s">
        <v>359</v>
      </c>
      <c r="AG145" t="s">
        <v>409</v>
      </c>
      <c r="AH145">
        <v>0</v>
      </c>
      <c r="AI145">
        <v>225</v>
      </c>
      <c r="AJ145">
        <v>18</v>
      </c>
      <c r="AK145">
        <v>691</v>
      </c>
      <c r="AL145">
        <v>0.72</v>
      </c>
    </row>
    <row r="146" spans="1:38" x14ac:dyDescent="0.3">
      <c r="A146" t="s">
        <v>354</v>
      </c>
      <c r="B146">
        <v>106337</v>
      </c>
      <c r="C146">
        <v>1</v>
      </c>
      <c r="D146" t="s">
        <v>410</v>
      </c>
      <c r="E146" t="s">
        <v>411</v>
      </c>
      <c r="F146">
        <v>499</v>
      </c>
      <c r="G146">
        <v>12.42</v>
      </c>
      <c r="H146">
        <v>41.09</v>
      </c>
      <c r="I146">
        <v>9.0500000000000007</v>
      </c>
      <c r="J146">
        <v>29.92</v>
      </c>
      <c r="K146">
        <v>499</v>
      </c>
      <c r="T146">
        <v>1</v>
      </c>
      <c r="U146">
        <v>1</v>
      </c>
      <c r="V146" t="s">
        <v>184</v>
      </c>
      <c r="W146">
        <v>41</v>
      </c>
      <c r="X146">
        <v>15</v>
      </c>
      <c r="Y146">
        <v>11</v>
      </c>
      <c r="Z146" t="s">
        <v>412</v>
      </c>
      <c r="AA146" t="s">
        <v>413</v>
      </c>
      <c r="AB146" t="s">
        <v>156</v>
      </c>
      <c r="AC146" t="s">
        <v>157</v>
      </c>
      <c r="AD146" t="s">
        <v>158</v>
      </c>
      <c r="AE146" t="s">
        <v>359</v>
      </c>
      <c r="AG146" t="s">
        <v>414</v>
      </c>
      <c r="AH146">
        <v>0</v>
      </c>
      <c r="AI146">
        <v>399</v>
      </c>
      <c r="AJ146">
        <v>47</v>
      </c>
      <c r="AK146">
        <v>352</v>
      </c>
      <c r="AL146">
        <v>0.71</v>
      </c>
    </row>
    <row r="147" spans="1:38" x14ac:dyDescent="0.3">
      <c r="A147" t="s">
        <v>354</v>
      </c>
      <c r="B147">
        <v>101064</v>
      </c>
      <c r="C147">
        <v>1</v>
      </c>
      <c r="D147" t="s">
        <v>415</v>
      </c>
      <c r="E147" t="s">
        <v>416</v>
      </c>
      <c r="F147">
        <v>142</v>
      </c>
      <c r="G147">
        <v>20.2</v>
      </c>
      <c r="H147">
        <v>66.8</v>
      </c>
      <c r="I147">
        <v>15.02</v>
      </c>
      <c r="J147">
        <v>49.67</v>
      </c>
      <c r="K147">
        <v>90</v>
      </c>
      <c r="T147">
        <v>3</v>
      </c>
      <c r="U147">
        <v>1</v>
      </c>
      <c r="V147" t="s">
        <v>153</v>
      </c>
      <c r="W147">
        <v>66</v>
      </c>
      <c r="X147">
        <v>15</v>
      </c>
      <c r="Y147">
        <v>8</v>
      </c>
      <c r="Z147" t="s">
        <v>417</v>
      </c>
      <c r="AA147" t="s">
        <v>418</v>
      </c>
      <c r="AB147" t="s">
        <v>156</v>
      </c>
      <c r="AC147" t="s">
        <v>157</v>
      </c>
      <c r="AD147" t="s">
        <v>158</v>
      </c>
      <c r="AE147" t="s">
        <v>359</v>
      </c>
      <c r="AG147" t="s">
        <v>419</v>
      </c>
      <c r="AH147">
        <v>0</v>
      </c>
      <c r="AI147">
        <v>0</v>
      </c>
      <c r="AJ147">
        <v>0</v>
      </c>
      <c r="AK147">
        <v>110</v>
      </c>
      <c r="AL147">
        <v>0.77</v>
      </c>
    </row>
    <row r="148" spans="1:38" x14ac:dyDescent="0.3">
      <c r="A148" t="s">
        <v>354</v>
      </c>
      <c r="B148">
        <v>101064</v>
      </c>
      <c r="C148">
        <v>2</v>
      </c>
      <c r="D148" t="s">
        <v>415</v>
      </c>
      <c r="E148" t="s">
        <v>416</v>
      </c>
      <c r="F148">
        <v>142</v>
      </c>
      <c r="G148">
        <v>24.08</v>
      </c>
      <c r="H148">
        <v>79.61</v>
      </c>
      <c r="I148">
        <v>17.899999999999999</v>
      </c>
      <c r="J148">
        <v>59.2</v>
      </c>
      <c r="K148">
        <v>46</v>
      </c>
      <c r="T148">
        <v>3</v>
      </c>
      <c r="U148">
        <v>1</v>
      </c>
      <c r="V148" t="s">
        <v>153</v>
      </c>
      <c r="W148" t="s">
        <v>122</v>
      </c>
      <c r="X148">
        <v>15</v>
      </c>
      <c r="Y148">
        <v>8</v>
      </c>
      <c r="Z148" t="s">
        <v>417</v>
      </c>
      <c r="AA148" t="s">
        <v>418</v>
      </c>
      <c r="AB148" t="s">
        <v>156</v>
      </c>
      <c r="AC148" t="s">
        <v>157</v>
      </c>
      <c r="AD148" t="s">
        <v>158</v>
      </c>
      <c r="AE148" t="s">
        <v>359</v>
      </c>
      <c r="AG148" t="s">
        <v>419</v>
      </c>
      <c r="AH148">
        <v>0</v>
      </c>
      <c r="AI148">
        <v>0</v>
      </c>
      <c r="AJ148">
        <v>0</v>
      </c>
      <c r="AK148">
        <v>110</v>
      </c>
      <c r="AL148">
        <v>0.77</v>
      </c>
    </row>
    <row r="149" spans="1:38" x14ac:dyDescent="0.3">
      <c r="A149" t="s">
        <v>354</v>
      </c>
      <c r="B149">
        <v>101064</v>
      </c>
      <c r="C149">
        <v>3</v>
      </c>
      <c r="D149" t="s">
        <v>415</v>
      </c>
      <c r="E149" t="s">
        <v>416</v>
      </c>
      <c r="F149">
        <v>142</v>
      </c>
      <c r="G149">
        <v>24.22</v>
      </c>
      <c r="H149">
        <v>80.069999999999993</v>
      </c>
      <c r="I149">
        <v>18.010000000000002</v>
      </c>
      <c r="J149">
        <v>59.54</v>
      </c>
      <c r="K149">
        <v>6</v>
      </c>
      <c r="T149">
        <v>3</v>
      </c>
      <c r="U149">
        <v>1</v>
      </c>
      <c r="V149" t="s">
        <v>153</v>
      </c>
      <c r="W149" t="s">
        <v>420</v>
      </c>
      <c r="X149">
        <v>15</v>
      </c>
      <c r="Y149">
        <v>8</v>
      </c>
      <c r="Z149" t="s">
        <v>417</v>
      </c>
      <c r="AA149" t="s">
        <v>418</v>
      </c>
      <c r="AB149" t="s">
        <v>156</v>
      </c>
      <c r="AC149" t="s">
        <v>157</v>
      </c>
      <c r="AD149" t="s">
        <v>158</v>
      </c>
      <c r="AE149" t="s">
        <v>359</v>
      </c>
      <c r="AG149" t="s">
        <v>419</v>
      </c>
      <c r="AH149">
        <v>0</v>
      </c>
      <c r="AI149">
        <v>0</v>
      </c>
      <c r="AJ149">
        <v>0</v>
      </c>
      <c r="AK149">
        <v>110</v>
      </c>
      <c r="AL149">
        <v>0.77</v>
      </c>
    </row>
    <row r="150" spans="1:38" x14ac:dyDescent="0.3">
      <c r="A150" t="s">
        <v>354</v>
      </c>
      <c r="B150">
        <v>15394</v>
      </c>
      <c r="C150">
        <v>1</v>
      </c>
      <c r="D150" t="s">
        <v>216</v>
      </c>
      <c r="E150" t="s">
        <v>421</v>
      </c>
      <c r="F150">
        <v>180</v>
      </c>
      <c r="G150">
        <v>21.03</v>
      </c>
      <c r="H150">
        <v>69.55</v>
      </c>
      <c r="I150">
        <v>17.88</v>
      </c>
      <c r="J150">
        <v>59.14</v>
      </c>
      <c r="K150">
        <v>180</v>
      </c>
      <c r="T150">
        <v>3</v>
      </c>
      <c r="U150">
        <v>1</v>
      </c>
      <c r="V150" t="s">
        <v>153</v>
      </c>
      <c r="W150">
        <v>69</v>
      </c>
      <c r="X150">
        <v>5</v>
      </c>
      <c r="Y150">
        <v>5</v>
      </c>
      <c r="Z150" t="s">
        <v>422</v>
      </c>
      <c r="AA150" t="s">
        <v>382</v>
      </c>
      <c r="AB150" t="s">
        <v>156</v>
      </c>
      <c r="AC150" t="s">
        <v>157</v>
      </c>
      <c r="AD150" t="s">
        <v>158</v>
      </c>
      <c r="AE150" t="s">
        <v>359</v>
      </c>
      <c r="AG150" t="s">
        <v>383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">
      <c r="A151" t="s">
        <v>354</v>
      </c>
      <c r="B151">
        <v>26341</v>
      </c>
      <c r="C151">
        <v>1</v>
      </c>
      <c r="D151" t="s">
        <v>423</v>
      </c>
      <c r="E151" t="s">
        <v>424</v>
      </c>
      <c r="F151">
        <v>86</v>
      </c>
      <c r="G151">
        <v>32.32</v>
      </c>
      <c r="H151">
        <v>106.86</v>
      </c>
      <c r="I151">
        <v>25.68</v>
      </c>
      <c r="J151">
        <v>84.91</v>
      </c>
      <c r="K151">
        <v>86</v>
      </c>
      <c r="T151">
        <v>3</v>
      </c>
      <c r="U151">
        <v>2</v>
      </c>
      <c r="V151" t="s">
        <v>153</v>
      </c>
      <c r="W151">
        <v>106</v>
      </c>
      <c r="X151">
        <v>15</v>
      </c>
      <c r="Y151">
        <v>14</v>
      </c>
      <c r="Z151" t="s">
        <v>425</v>
      </c>
      <c r="AA151" t="s">
        <v>426</v>
      </c>
      <c r="AB151" t="s">
        <v>156</v>
      </c>
      <c r="AC151" t="s">
        <v>157</v>
      </c>
      <c r="AD151" t="s">
        <v>158</v>
      </c>
      <c r="AE151" t="s">
        <v>359</v>
      </c>
      <c r="AG151" t="s">
        <v>427</v>
      </c>
      <c r="AH151">
        <v>0</v>
      </c>
      <c r="AI151">
        <v>186</v>
      </c>
      <c r="AJ151">
        <v>16</v>
      </c>
      <c r="AK151">
        <v>88</v>
      </c>
      <c r="AL151">
        <v>1.02</v>
      </c>
    </row>
    <row r="152" spans="1:38" x14ac:dyDescent="0.3">
      <c r="A152" t="s">
        <v>354</v>
      </c>
      <c r="B152">
        <v>26510</v>
      </c>
      <c r="C152">
        <v>1</v>
      </c>
      <c r="D152" t="s">
        <v>428</v>
      </c>
      <c r="E152" t="s">
        <v>356</v>
      </c>
      <c r="F152">
        <v>478</v>
      </c>
      <c r="G152">
        <v>34.11</v>
      </c>
      <c r="H152">
        <v>112.79</v>
      </c>
      <c r="I152">
        <v>25.57</v>
      </c>
      <c r="J152">
        <v>84.54</v>
      </c>
      <c r="K152">
        <v>155</v>
      </c>
      <c r="T152">
        <v>3</v>
      </c>
      <c r="U152">
        <v>2</v>
      </c>
      <c r="V152" t="s">
        <v>153</v>
      </c>
      <c r="W152" t="s">
        <v>87</v>
      </c>
      <c r="X152">
        <v>18</v>
      </c>
      <c r="Y152">
        <v>12</v>
      </c>
      <c r="Z152" t="s">
        <v>429</v>
      </c>
      <c r="AA152" t="s">
        <v>430</v>
      </c>
      <c r="AB152" t="s">
        <v>156</v>
      </c>
      <c r="AC152" t="s">
        <v>157</v>
      </c>
      <c r="AD152" t="s">
        <v>158</v>
      </c>
      <c r="AE152" t="s">
        <v>359</v>
      </c>
      <c r="AG152" t="s">
        <v>431</v>
      </c>
      <c r="AH152">
        <v>0</v>
      </c>
      <c r="AI152">
        <v>213</v>
      </c>
      <c r="AJ152">
        <v>19</v>
      </c>
      <c r="AK152">
        <v>793</v>
      </c>
      <c r="AL152">
        <v>1.66</v>
      </c>
    </row>
    <row r="153" spans="1:38" x14ac:dyDescent="0.3">
      <c r="A153" t="s">
        <v>354</v>
      </c>
      <c r="B153">
        <v>26510</v>
      </c>
      <c r="C153">
        <v>2</v>
      </c>
      <c r="D153" t="s">
        <v>428</v>
      </c>
      <c r="E153" t="s">
        <v>356</v>
      </c>
      <c r="F153">
        <v>478</v>
      </c>
      <c r="G153">
        <v>34.57</v>
      </c>
      <c r="H153">
        <v>114.29</v>
      </c>
      <c r="I153">
        <v>25.42</v>
      </c>
      <c r="J153">
        <v>84.05</v>
      </c>
      <c r="K153">
        <v>49</v>
      </c>
      <c r="T153">
        <v>3</v>
      </c>
      <c r="U153">
        <v>2</v>
      </c>
      <c r="V153" t="s">
        <v>153</v>
      </c>
      <c r="W153" t="s">
        <v>78</v>
      </c>
      <c r="X153">
        <v>18</v>
      </c>
      <c r="Y153">
        <v>12</v>
      </c>
      <c r="Z153" t="s">
        <v>429</v>
      </c>
      <c r="AA153" t="s">
        <v>430</v>
      </c>
      <c r="AB153" t="s">
        <v>156</v>
      </c>
      <c r="AC153" t="s">
        <v>157</v>
      </c>
      <c r="AD153" t="s">
        <v>158</v>
      </c>
      <c r="AE153" t="s">
        <v>359</v>
      </c>
      <c r="AG153" t="s">
        <v>431</v>
      </c>
      <c r="AH153">
        <v>0</v>
      </c>
      <c r="AI153">
        <v>213</v>
      </c>
      <c r="AJ153">
        <v>19</v>
      </c>
      <c r="AK153">
        <v>793</v>
      </c>
      <c r="AL153">
        <v>1.66</v>
      </c>
    </row>
    <row r="154" spans="1:38" x14ac:dyDescent="0.3">
      <c r="A154" t="s">
        <v>354</v>
      </c>
      <c r="B154">
        <v>26510</v>
      </c>
      <c r="C154">
        <v>3</v>
      </c>
      <c r="D154" t="s">
        <v>428</v>
      </c>
      <c r="E154" t="s">
        <v>356</v>
      </c>
      <c r="F154">
        <v>478</v>
      </c>
      <c r="G154">
        <v>39.32</v>
      </c>
      <c r="H154">
        <v>130</v>
      </c>
      <c r="I154">
        <v>30.92</v>
      </c>
      <c r="J154">
        <v>102.22</v>
      </c>
      <c r="K154">
        <v>108</v>
      </c>
      <c r="T154">
        <v>3</v>
      </c>
      <c r="U154">
        <v>2</v>
      </c>
      <c r="V154" t="s">
        <v>153</v>
      </c>
      <c r="W154">
        <v>130</v>
      </c>
      <c r="X154">
        <v>18</v>
      </c>
      <c r="Y154">
        <v>12</v>
      </c>
      <c r="Z154" t="s">
        <v>429</v>
      </c>
      <c r="AA154" t="s">
        <v>430</v>
      </c>
      <c r="AB154" t="s">
        <v>156</v>
      </c>
      <c r="AC154" t="s">
        <v>157</v>
      </c>
      <c r="AD154" t="s">
        <v>158</v>
      </c>
      <c r="AE154" t="s">
        <v>359</v>
      </c>
      <c r="AG154" t="s">
        <v>431</v>
      </c>
      <c r="AH154">
        <v>0</v>
      </c>
      <c r="AI154">
        <v>213</v>
      </c>
      <c r="AJ154">
        <v>19</v>
      </c>
      <c r="AK154">
        <v>793</v>
      </c>
      <c r="AL154">
        <v>1.66</v>
      </c>
    </row>
    <row r="155" spans="1:38" x14ac:dyDescent="0.3">
      <c r="A155" t="s">
        <v>354</v>
      </c>
      <c r="B155">
        <v>26510</v>
      </c>
      <c r="C155">
        <v>4</v>
      </c>
      <c r="D155" t="s">
        <v>428</v>
      </c>
      <c r="E155" t="s">
        <v>356</v>
      </c>
      <c r="F155">
        <v>478</v>
      </c>
      <c r="G155">
        <v>46.6</v>
      </c>
      <c r="H155">
        <v>154.08000000000001</v>
      </c>
      <c r="I155">
        <v>37.69</v>
      </c>
      <c r="J155">
        <v>124.62</v>
      </c>
      <c r="K155">
        <v>88</v>
      </c>
      <c r="T155">
        <v>4</v>
      </c>
      <c r="U155">
        <v>2</v>
      </c>
      <c r="V155" t="s">
        <v>153</v>
      </c>
      <c r="W155">
        <v>154</v>
      </c>
      <c r="X155">
        <v>18</v>
      </c>
      <c r="Y155">
        <v>12</v>
      </c>
      <c r="Z155" t="s">
        <v>429</v>
      </c>
      <c r="AA155" t="s">
        <v>430</v>
      </c>
      <c r="AB155" t="s">
        <v>156</v>
      </c>
      <c r="AC155" t="s">
        <v>157</v>
      </c>
      <c r="AD155" t="s">
        <v>158</v>
      </c>
      <c r="AE155" t="s">
        <v>359</v>
      </c>
      <c r="AG155" t="s">
        <v>431</v>
      </c>
      <c r="AH155">
        <v>0</v>
      </c>
      <c r="AI155">
        <v>213</v>
      </c>
      <c r="AJ155">
        <v>19</v>
      </c>
      <c r="AK155">
        <v>793</v>
      </c>
      <c r="AL155">
        <v>1.66</v>
      </c>
    </row>
    <row r="156" spans="1:38" x14ac:dyDescent="0.3">
      <c r="A156" t="s">
        <v>354</v>
      </c>
      <c r="B156">
        <v>26510</v>
      </c>
      <c r="C156">
        <v>5</v>
      </c>
      <c r="D156" t="s">
        <v>428</v>
      </c>
      <c r="E156" t="s">
        <v>356</v>
      </c>
      <c r="F156">
        <v>478</v>
      </c>
      <c r="G156">
        <v>58.6</v>
      </c>
      <c r="H156">
        <v>193.74</v>
      </c>
      <c r="I156">
        <v>47.61</v>
      </c>
      <c r="J156">
        <v>157.38999999999999</v>
      </c>
      <c r="K156">
        <v>72</v>
      </c>
      <c r="T156">
        <v>4</v>
      </c>
      <c r="U156">
        <v>2</v>
      </c>
      <c r="V156" t="s">
        <v>153</v>
      </c>
      <c r="W156">
        <v>193</v>
      </c>
      <c r="X156">
        <v>18</v>
      </c>
      <c r="Y156">
        <v>12</v>
      </c>
      <c r="Z156" t="s">
        <v>429</v>
      </c>
      <c r="AA156" t="s">
        <v>430</v>
      </c>
      <c r="AB156" t="s">
        <v>156</v>
      </c>
      <c r="AC156" t="s">
        <v>157</v>
      </c>
      <c r="AD156" t="s">
        <v>158</v>
      </c>
      <c r="AE156" t="s">
        <v>359</v>
      </c>
      <c r="AG156" t="s">
        <v>431</v>
      </c>
      <c r="AH156">
        <v>0</v>
      </c>
      <c r="AI156">
        <v>213</v>
      </c>
      <c r="AJ156">
        <v>19</v>
      </c>
      <c r="AK156">
        <v>793</v>
      </c>
      <c r="AL156">
        <v>1.66</v>
      </c>
    </row>
    <row r="157" spans="1:38" x14ac:dyDescent="0.3">
      <c r="A157" t="s">
        <v>354</v>
      </c>
      <c r="B157">
        <v>26510</v>
      </c>
      <c r="C157">
        <v>6</v>
      </c>
      <c r="D157" t="s">
        <v>428</v>
      </c>
      <c r="E157" t="s">
        <v>356</v>
      </c>
      <c r="F157">
        <v>478</v>
      </c>
      <c r="G157">
        <v>69.489999999999995</v>
      </c>
      <c r="H157">
        <v>229.72</v>
      </c>
      <c r="I157">
        <v>55.45</v>
      </c>
      <c r="J157">
        <v>183.31</v>
      </c>
      <c r="K157">
        <v>6</v>
      </c>
      <c r="T157">
        <v>5</v>
      </c>
      <c r="U157">
        <v>3</v>
      </c>
      <c r="V157" t="s">
        <v>153</v>
      </c>
      <c r="W157">
        <v>229</v>
      </c>
      <c r="X157">
        <v>18</v>
      </c>
      <c r="Y157">
        <v>12</v>
      </c>
      <c r="Z157" t="s">
        <v>429</v>
      </c>
      <c r="AA157" t="s">
        <v>430</v>
      </c>
      <c r="AB157" t="s">
        <v>156</v>
      </c>
      <c r="AC157" t="s">
        <v>157</v>
      </c>
      <c r="AD157" t="s">
        <v>158</v>
      </c>
      <c r="AE157" t="s">
        <v>359</v>
      </c>
      <c r="AG157" t="s">
        <v>431</v>
      </c>
      <c r="AH157">
        <v>0</v>
      </c>
      <c r="AI157">
        <v>213</v>
      </c>
      <c r="AJ157">
        <v>19</v>
      </c>
      <c r="AK157">
        <v>793</v>
      </c>
      <c r="AL157">
        <v>1.66</v>
      </c>
    </row>
    <row r="158" spans="1:38" x14ac:dyDescent="0.3">
      <c r="A158" t="s">
        <v>432</v>
      </c>
      <c r="B158">
        <v>124956</v>
      </c>
      <c r="C158">
        <v>1</v>
      </c>
      <c r="D158" t="s">
        <v>433</v>
      </c>
      <c r="E158" t="s">
        <v>434</v>
      </c>
      <c r="F158">
        <v>10</v>
      </c>
      <c r="G158">
        <v>18.82</v>
      </c>
      <c r="H158">
        <v>62.24</v>
      </c>
      <c r="I158">
        <v>13.86</v>
      </c>
      <c r="J158">
        <v>45.85</v>
      </c>
      <c r="K158">
        <v>7</v>
      </c>
      <c r="T158">
        <v>2</v>
      </c>
      <c r="U158">
        <v>1</v>
      </c>
      <c r="V158" t="s">
        <v>153</v>
      </c>
      <c r="W158">
        <v>62</v>
      </c>
      <c r="X158">
        <v>3</v>
      </c>
      <c r="Y158">
        <v>2</v>
      </c>
      <c r="Z158" t="s">
        <v>435</v>
      </c>
      <c r="AA158" t="s">
        <v>436</v>
      </c>
      <c r="AB158" t="s">
        <v>156</v>
      </c>
      <c r="AC158" t="s">
        <v>157</v>
      </c>
      <c r="AD158" t="s">
        <v>158</v>
      </c>
      <c r="AE158" t="s">
        <v>128</v>
      </c>
      <c r="AG158" t="s">
        <v>437</v>
      </c>
      <c r="AH158">
        <v>0</v>
      </c>
      <c r="AI158">
        <v>249</v>
      </c>
      <c r="AJ158">
        <v>59</v>
      </c>
      <c r="AK158">
        <v>7</v>
      </c>
      <c r="AL158">
        <v>0.7</v>
      </c>
    </row>
    <row r="159" spans="1:38" x14ac:dyDescent="0.3">
      <c r="A159" t="s">
        <v>432</v>
      </c>
      <c r="B159">
        <v>124956</v>
      </c>
      <c r="C159">
        <v>2</v>
      </c>
      <c r="D159" t="s">
        <v>433</v>
      </c>
      <c r="E159" t="s">
        <v>434</v>
      </c>
      <c r="F159">
        <v>10</v>
      </c>
      <c r="G159">
        <v>19.55</v>
      </c>
      <c r="H159">
        <v>64.650000000000006</v>
      </c>
      <c r="I159">
        <v>14.4</v>
      </c>
      <c r="J159">
        <v>47.62</v>
      </c>
      <c r="K159">
        <v>2</v>
      </c>
      <c r="T159">
        <v>3</v>
      </c>
      <c r="U159">
        <v>1</v>
      </c>
      <c r="V159" t="s">
        <v>153</v>
      </c>
      <c r="W159">
        <v>64</v>
      </c>
      <c r="X159">
        <v>3</v>
      </c>
      <c r="Y159">
        <v>2</v>
      </c>
      <c r="Z159" t="s">
        <v>435</v>
      </c>
      <c r="AA159" t="s">
        <v>436</v>
      </c>
      <c r="AB159" t="s">
        <v>156</v>
      </c>
      <c r="AC159" t="s">
        <v>157</v>
      </c>
      <c r="AD159" t="s">
        <v>158</v>
      </c>
      <c r="AE159" t="s">
        <v>128</v>
      </c>
      <c r="AG159" t="s">
        <v>437</v>
      </c>
      <c r="AH159">
        <v>0</v>
      </c>
      <c r="AI159">
        <v>249</v>
      </c>
      <c r="AJ159">
        <v>59</v>
      </c>
      <c r="AK159">
        <v>7</v>
      </c>
      <c r="AL159">
        <v>0.7</v>
      </c>
    </row>
    <row r="160" spans="1:38" x14ac:dyDescent="0.3">
      <c r="A160" t="s">
        <v>432</v>
      </c>
      <c r="B160">
        <v>124956</v>
      </c>
      <c r="C160">
        <v>3</v>
      </c>
      <c r="D160" t="s">
        <v>433</v>
      </c>
      <c r="E160" t="s">
        <v>434</v>
      </c>
      <c r="F160">
        <v>10</v>
      </c>
      <c r="G160">
        <v>21.94</v>
      </c>
      <c r="H160">
        <v>72.540000000000006</v>
      </c>
      <c r="I160">
        <v>16.16</v>
      </c>
      <c r="J160">
        <v>53.43</v>
      </c>
      <c r="K160">
        <v>1</v>
      </c>
      <c r="T160">
        <v>3</v>
      </c>
      <c r="U160">
        <v>1</v>
      </c>
      <c r="V160" t="s">
        <v>153</v>
      </c>
      <c r="W160">
        <v>72</v>
      </c>
      <c r="X160">
        <v>3</v>
      </c>
      <c r="Y160">
        <v>2</v>
      </c>
      <c r="Z160" t="s">
        <v>435</v>
      </c>
      <c r="AA160" t="s">
        <v>436</v>
      </c>
      <c r="AB160" t="s">
        <v>156</v>
      </c>
      <c r="AC160" t="s">
        <v>157</v>
      </c>
      <c r="AD160" t="s">
        <v>158</v>
      </c>
      <c r="AE160" t="s">
        <v>128</v>
      </c>
      <c r="AG160" t="s">
        <v>437</v>
      </c>
      <c r="AH160">
        <v>0</v>
      </c>
      <c r="AI160">
        <v>249</v>
      </c>
      <c r="AJ160">
        <v>59</v>
      </c>
      <c r="AK160">
        <v>7</v>
      </c>
      <c r="AL160">
        <v>0.7</v>
      </c>
    </row>
    <row r="161" spans="1:38" x14ac:dyDescent="0.3">
      <c r="A161" t="s">
        <v>432</v>
      </c>
      <c r="B161">
        <v>109399</v>
      </c>
      <c r="C161">
        <v>1</v>
      </c>
      <c r="D161" t="s">
        <v>438</v>
      </c>
      <c r="E161" t="s">
        <v>439</v>
      </c>
      <c r="F161">
        <v>592</v>
      </c>
      <c r="G161">
        <v>29.81</v>
      </c>
      <c r="H161">
        <v>98.55</v>
      </c>
      <c r="I161">
        <v>22.78</v>
      </c>
      <c r="J161">
        <v>75.33</v>
      </c>
      <c r="K161">
        <v>126</v>
      </c>
      <c r="T161">
        <v>3</v>
      </c>
      <c r="U161">
        <v>2</v>
      </c>
      <c r="V161" t="s">
        <v>153</v>
      </c>
      <c r="W161">
        <v>98</v>
      </c>
      <c r="X161">
        <v>23</v>
      </c>
      <c r="Y161">
        <v>15</v>
      </c>
      <c r="Z161" t="s">
        <v>440</v>
      </c>
      <c r="AA161" t="s">
        <v>441</v>
      </c>
      <c r="AB161" t="s">
        <v>156</v>
      </c>
      <c r="AC161" t="s">
        <v>157</v>
      </c>
      <c r="AD161" t="s">
        <v>158</v>
      </c>
      <c r="AE161" t="s">
        <v>128</v>
      </c>
      <c r="AG161" t="s">
        <v>442</v>
      </c>
      <c r="AH161">
        <v>0</v>
      </c>
      <c r="AI161">
        <v>199</v>
      </c>
      <c r="AJ161">
        <v>18</v>
      </c>
      <c r="AK161">
        <v>773</v>
      </c>
      <c r="AL161">
        <v>1.31</v>
      </c>
    </row>
    <row r="162" spans="1:38" x14ac:dyDescent="0.3">
      <c r="A162" t="s">
        <v>432</v>
      </c>
      <c r="B162">
        <v>109399</v>
      </c>
      <c r="C162">
        <v>2</v>
      </c>
      <c r="D162" t="s">
        <v>438</v>
      </c>
      <c r="E162" t="s">
        <v>439</v>
      </c>
      <c r="F162">
        <v>592</v>
      </c>
      <c r="G162">
        <v>33.72</v>
      </c>
      <c r="H162">
        <v>111.49</v>
      </c>
      <c r="I162">
        <v>25.7</v>
      </c>
      <c r="J162">
        <v>84.96</v>
      </c>
      <c r="K162">
        <v>408</v>
      </c>
      <c r="T162">
        <v>3</v>
      </c>
      <c r="U162">
        <v>2</v>
      </c>
      <c r="V162" t="s">
        <v>153</v>
      </c>
      <c r="W162" t="s">
        <v>109</v>
      </c>
      <c r="X162">
        <v>23</v>
      </c>
      <c r="Y162">
        <v>15</v>
      </c>
      <c r="Z162" t="s">
        <v>440</v>
      </c>
      <c r="AA162" t="s">
        <v>441</v>
      </c>
      <c r="AB162" t="s">
        <v>156</v>
      </c>
      <c r="AC162" t="s">
        <v>157</v>
      </c>
      <c r="AD162" t="s">
        <v>158</v>
      </c>
      <c r="AE162" t="s">
        <v>128</v>
      </c>
      <c r="AG162" t="s">
        <v>442</v>
      </c>
      <c r="AH162">
        <v>0</v>
      </c>
      <c r="AI162">
        <v>199</v>
      </c>
      <c r="AJ162">
        <v>18</v>
      </c>
      <c r="AK162">
        <v>773</v>
      </c>
      <c r="AL162">
        <v>1.31</v>
      </c>
    </row>
    <row r="163" spans="1:38" x14ac:dyDescent="0.3">
      <c r="A163" t="s">
        <v>432</v>
      </c>
      <c r="B163">
        <v>109399</v>
      </c>
      <c r="C163">
        <v>3</v>
      </c>
      <c r="D163" t="s">
        <v>438</v>
      </c>
      <c r="E163" t="s">
        <v>439</v>
      </c>
      <c r="F163">
        <v>592</v>
      </c>
      <c r="G163">
        <v>34.19</v>
      </c>
      <c r="H163">
        <v>113.03</v>
      </c>
      <c r="I163">
        <v>25.68</v>
      </c>
      <c r="J163">
        <v>84.91</v>
      </c>
      <c r="K163">
        <v>58</v>
      </c>
      <c r="T163">
        <v>3</v>
      </c>
      <c r="U163">
        <v>2</v>
      </c>
      <c r="V163" t="s">
        <v>153</v>
      </c>
      <c r="W163" t="s">
        <v>443</v>
      </c>
      <c r="X163">
        <v>23</v>
      </c>
      <c r="Y163">
        <v>15</v>
      </c>
      <c r="Z163" t="s">
        <v>440</v>
      </c>
      <c r="AA163" t="s">
        <v>441</v>
      </c>
      <c r="AB163" t="s">
        <v>156</v>
      </c>
      <c r="AC163" t="s">
        <v>157</v>
      </c>
      <c r="AD163" t="s">
        <v>158</v>
      </c>
      <c r="AE163" t="s">
        <v>128</v>
      </c>
      <c r="AG163" t="s">
        <v>442</v>
      </c>
      <c r="AH163">
        <v>0</v>
      </c>
      <c r="AI163">
        <v>199</v>
      </c>
      <c r="AJ163">
        <v>18</v>
      </c>
      <c r="AK163">
        <v>773</v>
      </c>
      <c r="AL163">
        <v>1.31</v>
      </c>
    </row>
    <row r="164" spans="1:38" x14ac:dyDescent="0.3">
      <c r="A164" t="s">
        <v>432</v>
      </c>
      <c r="B164">
        <v>107657</v>
      </c>
      <c r="C164">
        <v>1</v>
      </c>
      <c r="D164" t="s">
        <v>444</v>
      </c>
      <c r="E164" t="s">
        <v>445</v>
      </c>
      <c r="F164">
        <v>472</v>
      </c>
      <c r="G164">
        <v>29.98</v>
      </c>
      <c r="H164">
        <v>99.13</v>
      </c>
      <c r="I164">
        <v>22.61</v>
      </c>
      <c r="J164">
        <v>74.75</v>
      </c>
      <c r="K164">
        <v>71</v>
      </c>
      <c r="T164">
        <v>3</v>
      </c>
      <c r="U164">
        <v>2</v>
      </c>
      <c r="V164" t="s">
        <v>153</v>
      </c>
      <c r="W164">
        <v>99</v>
      </c>
      <c r="X164">
        <v>25</v>
      </c>
      <c r="Y164">
        <v>17</v>
      </c>
      <c r="Z164" t="s">
        <v>446</v>
      </c>
      <c r="AA164" t="s">
        <v>447</v>
      </c>
      <c r="AB164" t="s">
        <v>156</v>
      </c>
      <c r="AC164" t="s">
        <v>157</v>
      </c>
      <c r="AD164" t="s">
        <v>158</v>
      </c>
      <c r="AE164" t="s">
        <v>128</v>
      </c>
      <c r="AG164" t="s">
        <v>448</v>
      </c>
      <c r="AH164">
        <v>0</v>
      </c>
      <c r="AI164">
        <v>199</v>
      </c>
      <c r="AJ164">
        <v>18</v>
      </c>
      <c r="AK164">
        <v>617</v>
      </c>
      <c r="AL164">
        <v>1.31</v>
      </c>
    </row>
    <row r="165" spans="1:38" x14ac:dyDescent="0.3">
      <c r="A165" t="s">
        <v>432</v>
      </c>
      <c r="B165">
        <v>107657</v>
      </c>
      <c r="C165">
        <v>2</v>
      </c>
      <c r="D165" t="s">
        <v>444</v>
      </c>
      <c r="E165" t="s">
        <v>445</v>
      </c>
      <c r="F165">
        <v>472</v>
      </c>
      <c r="G165">
        <v>33.409999999999997</v>
      </c>
      <c r="H165">
        <v>110.47</v>
      </c>
      <c r="I165">
        <v>25.7</v>
      </c>
      <c r="J165">
        <v>84.99</v>
      </c>
      <c r="K165">
        <v>401</v>
      </c>
      <c r="T165">
        <v>3</v>
      </c>
      <c r="U165">
        <v>2</v>
      </c>
      <c r="V165" t="s">
        <v>153</v>
      </c>
      <c r="W165">
        <v>110</v>
      </c>
      <c r="X165">
        <v>25</v>
      </c>
      <c r="Y165">
        <v>17</v>
      </c>
      <c r="Z165" t="s">
        <v>446</v>
      </c>
      <c r="AA165" t="s">
        <v>447</v>
      </c>
      <c r="AB165" t="s">
        <v>156</v>
      </c>
      <c r="AC165" t="s">
        <v>157</v>
      </c>
      <c r="AD165" t="s">
        <v>158</v>
      </c>
      <c r="AE165" t="s">
        <v>128</v>
      </c>
      <c r="AG165" t="s">
        <v>448</v>
      </c>
      <c r="AH165">
        <v>0</v>
      </c>
      <c r="AI165">
        <v>199</v>
      </c>
      <c r="AJ165">
        <v>18</v>
      </c>
      <c r="AK165">
        <v>617</v>
      </c>
      <c r="AL165">
        <v>1.31</v>
      </c>
    </row>
    <row r="166" spans="1:38" x14ac:dyDescent="0.3">
      <c r="A166" t="s">
        <v>432</v>
      </c>
      <c r="B166">
        <v>108414</v>
      </c>
      <c r="C166">
        <v>1</v>
      </c>
      <c r="D166" t="s">
        <v>449</v>
      </c>
      <c r="E166" t="s">
        <v>450</v>
      </c>
      <c r="F166">
        <v>34</v>
      </c>
      <c r="G166">
        <v>21.48</v>
      </c>
      <c r="H166">
        <v>71.010000000000005</v>
      </c>
      <c r="I166">
        <v>17.96</v>
      </c>
      <c r="J166">
        <v>59.4</v>
      </c>
      <c r="K166">
        <v>5</v>
      </c>
      <c r="T166">
        <v>3</v>
      </c>
      <c r="U166">
        <v>1</v>
      </c>
      <c r="V166" t="s">
        <v>153</v>
      </c>
      <c r="W166" t="s">
        <v>451</v>
      </c>
      <c r="X166">
        <v>8</v>
      </c>
      <c r="Y166">
        <v>5</v>
      </c>
      <c r="Z166" t="s">
        <v>452</v>
      </c>
      <c r="AA166" t="s">
        <v>453</v>
      </c>
      <c r="AB166" t="s">
        <v>156</v>
      </c>
      <c r="AC166" t="s">
        <v>157</v>
      </c>
      <c r="AD166" t="s">
        <v>158</v>
      </c>
      <c r="AE166" t="s">
        <v>128</v>
      </c>
      <c r="AG166" t="s">
        <v>454</v>
      </c>
      <c r="AH166">
        <v>0</v>
      </c>
      <c r="AI166">
        <v>165</v>
      </c>
      <c r="AJ166">
        <v>28</v>
      </c>
      <c r="AK166">
        <v>24</v>
      </c>
      <c r="AL166">
        <v>0.71</v>
      </c>
    </row>
    <row r="167" spans="1:38" x14ac:dyDescent="0.3">
      <c r="A167" t="s">
        <v>432</v>
      </c>
      <c r="B167">
        <v>108414</v>
      </c>
      <c r="C167">
        <v>2</v>
      </c>
      <c r="D167" t="s">
        <v>449</v>
      </c>
      <c r="E167" t="s">
        <v>450</v>
      </c>
      <c r="F167">
        <v>34</v>
      </c>
      <c r="G167">
        <v>21.49</v>
      </c>
      <c r="H167">
        <v>71.05</v>
      </c>
      <c r="I167">
        <v>17.97</v>
      </c>
      <c r="J167">
        <v>59.43</v>
      </c>
      <c r="K167">
        <v>5</v>
      </c>
      <c r="T167">
        <v>3</v>
      </c>
      <c r="U167">
        <v>1</v>
      </c>
      <c r="V167" t="s">
        <v>153</v>
      </c>
      <c r="W167" t="s">
        <v>455</v>
      </c>
      <c r="X167">
        <v>8</v>
      </c>
      <c r="Y167">
        <v>5</v>
      </c>
      <c r="Z167" t="s">
        <v>452</v>
      </c>
      <c r="AA167" t="s">
        <v>453</v>
      </c>
      <c r="AB167" t="s">
        <v>156</v>
      </c>
      <c r="AC167" t="s">
        <v>157</v>
      </c>
      <c r="AD167" t="s">
        <v>158</v>
      </c>
      <c r="AE167" t="s">
        <v>128</v>
      </c>
      <c r="AG167" t="s">
        <v>454</v>
      </c>
      <c r="AH167">
        <v>0</v>
      </c>
      <c r="AI167">
        <v>165</v>
      </c>
      <c r="AJ167">
        <v>28</v>
      </c>
      <c r="AK167">
        <v>24</v>
      </c>
      <c r="AL167">
        <v>0.71</v>
      </c>
    </row>
    <row r="168" spans="1:38" x14ac:dyDescent="0.3">
      <c r="A168" t="s">
        <v>432</v>
      </c>
      <c r="B168">
        <v>108414</v>
      </c>
      <c r="C168">
        <v>3</v>
      </c>
      <c r="D168" t="s">
        <v>449</v>
      </c>
      <c r="E168" t="s">
        <v>450</v>
      </c>
      <c r="F168">
        <v>34</v>
      </c>
      <c r="G168">
        <v>29.71</v>
      </c>
      <c r="H168">
        <v>98.24</v>
      </c>
      <c r="I168">
        <v>24.95</v>
      </c>
      <c r="J168">
        <v>82.49</v>
      </c>
      <c r="K168">
        <v>8</v>
      </c>
      <c r="T168">
        <v>3</v>
      </c>
      <c r="U168">
        <v>2</v>
      </c>
      <c r="V168" t="s">
        <v>153</v>
      </c>
      <c r="W168" t="s">
        <v>222</v>
      </c>
      <c r="X168">
        <v>8</v>
      </c>
      <c r="Y168">
        <v>5</v>
      </c>
      <c r="Z168" t="s">
        <v>452</v>
      </c>
      <c r="AA168" t="s">
        <v>453</v>
      </c>
      <c r="AB168" t="s">
        <v>156</v>
      </c>
      <c r="AC168" t="s">
        <v>157</v>
      </c>
      <c r="AD168" t="s">
        <v>158</v>
      </c>
      <c r="AE168" t="s">
        <v>128</v>
      </c>
      <c r="AG168" t="s">
        <v>454</v>
      </c>
      <c r="AH168">
        <v>0</v>
      </c>
      <c r="AI168">
        <v>165</v>
      </c>
      <c r="AJ168">
        <v>28</v>
      </c>
      <c r="AK168">
        <v>24</v>
      </c>
      <c r="AL168">
        <v>0.71</v>
      </c>
    </row>
    <row r="169" spans="1:38" x14ac:dyDescent="0.3">
      <c r="A169" t="s">
        <v>432</v>
      </c>
      <c r="B169">
        <v>108414</v>
      </c>
      <c r="C169">
        <v>4</v>
      </c>
      <c r="D169" t="s">
        <v>449</v>
      </c>
      <c r="E169" t="s">
        <v>450</v>
      </c>
      <c r="F169">
        <v>34</v>
      </c>
      <c r="G169">
        <v>29.82</v>
      </c>
      <c r="H169">
        <v>98.61</v>
      </c>
      <c r="I169">
        <v>25.04</v>
      </c>
      <c r="J169">
        <v>82.8</v>
      </c>
      <c r="K169">
        <v>8</v>
      </c>
      <c r="T169">
        <v>3</v>
      </c>
      <c r="U169">
        <v>2</v>
      </c>
      <c r="V169" t="s">
        <v>153</v>
      </c>
      <c r="W169" t="s">
        <v>456</v>
      </c>
      <c r="X169">
        <v>8</v>
      </c>
      <c r="Y169">
        <v>5</v>
      </c>
      <c r="Z169" t="s">
        <v>452</v>
      </c>
      <c r="AA169" t="s">
        <v>453</v>
      </c>
      <c r="AB169" t="s">
        <v>156</v>
      </c>
      <c r="AC169" t="s">
        <v>157</v>
      </c>
      <c r="AD169" t="s">
        <v>158</v>
      </c>
      <c r="AE169" t="s">
        <v>128</v>
      </c>
      <c r="AG169" t="s">
        <v>454</v>
      </c>
      <c r="AH169">
        <v>0</v>
      </c>
      <c r="AI169">
        <v>165</v>
      </c>
      <c r="AJ169">
        <v>28</v>
      </c>
      <c r="AK169">
        <v>24</v>
      </c>
      <c r="AL169">
        <v>0.71</v>
      </c>
    </row>
    <row r="170" spans="1:38" x14ac:dyDescent="0.3">
      <c r="A170" t="s">
        <v>432</v>
      </c>
      <c r="B170">
        <v>108414</v>
      </c>
      <c r="C170">
        <v>5</v>
      </c>
      <c r="D170" t="s">
        <v>449</v>
      </c>
      <c r="E170" t="s">
        <v>450</v>
      </c>
      <c r="F170">
        <v>34</v>
      </c>
      <c r="G170">
        <v>29.89</v>
      </c>
      <c r="H170">
        <v>98.83</v>
      </c>
      <c r="I170">
        <v>25.1</v>
      </c>
      <c r="J170">
        <v>82.98</v>
      </c>
      <c r="K170">
        <v>8</v>
      </c>
      <c r="T170">
        <v>3</v>
      </c>
      <c r="U170">
        <v>2</v>
      </c>
      <c r="V170" t="s">
        <v>153</v>
      </c>
      <c r="W170" t="s">
        <v>457</v>
      </c>
      <c r="X170">
        <v>8</v>
      </c>
      <c r="Y170">
        <v>5</v>
      </c>
      <c r="Z170" t="s">
        <v>452</v>
      </c>
      <c r="AA170" t="s">
        <v>453</v>
      </c>
      <c r="AB170" t="s">
        <v>156</v>
      </c>
      <c r="AC170" t="s">
        <v>157</v>
      </c>
      <c r="AD170" t="s">
        <v>158</v>
      </c>
      <c r="AE170" t="s">
        <v>128</v>
      </c>
      <c r="AG170" t="s">
        <v>454</v>
      </c>
      <c r="AH170">
        <v>0</v>
      </c>
      <c r="AI170">
        <v>165</v>
      </c>
      <c r="AJ170">
        <v>28</v>
      </c>
      <c r="AK170">
        <v>24</v>
      </c>
      <c r="AL170">
        <v>0.71</v>
      </c>
    </row>
    <row r="171" spans="1:38" x14ac:dyDescent="0.3">
      <c r="A171" t="s">
        <v>432</v>
      </c>
      <c r="B171">
        <v>19047</v>
      </c>
      <c r="C171">
        <v>1</v>
      </c>
      <c r="D171" t="s">
        <v>458</v>
      </c>
      <c r="E171" t="s">
        <v>459</v>
      </c>
      <c r="F171">
        <v>622</v>
      </c>
      <c r="G171">
        <v>25.34</v>
      </c>
      <c r="H171">
        <v>83.78</v>
      </c>
      <c r="I171">
        <v>18.13</v>
      </c>
      <c r="J171">
        <v>59.94</v>
      </c>
      <c r="K171">
        <v>172</v>
      </c>
      <c r="T171">
        <v>3</v>
      </c>
      <c r="U171">
        <v>2</v>
      </c>
      <c r="V171" t="s">
        <v>153</v>
      </c>
      <c r="W171">
        <v>83</v>
      </c>
      <c r="X171">
        <v>15</v>
      </c>
      <c r="Y171">
        <v>14</v>
      </c>
      <c r="Z171" t="s">
        <v>460</v>
      </c>
      <c r="AA171" t="s">
        <v>461</v>
      </c>
      <c r="AB171" t="s">
        <v>156</v>
      </c>
      <c r="AC171" t="s">
        <v>157</v>
      </c>
      <c r="AD171" t="s">
        <v>158</v>
      </c>
      <c r="AE171" t="s">
        <v>128</v>
      </c>
      <c r="AG171" t="s">
        <v>462</v>
      </c>
      <c r="AH171">
        <v>0</v>
      </c>
      <c r="AI171">
        <v>165</v>
      </c>
      <c r="AJ171">
        <v>16</v>
      </c>
      <c r="AK171">
        <v>816</v>
      </c>
      <c r="AL171">
        <v>1.31</v>
      </c>
    </row>
    <row r="172" spans="1:38" x14ac:dyDescent="0.3">
      <c r="A172" t="s">
        <v>432</v>
      </c>
      <c r="B172">
        <v>19047</v>
      </c>
      <c r="C172">
        <v>2</v>
      </c>
      <c r="D172" t="s">
        <v>458</v>
      </c>
      <c r="E172" t="s">
        <v>459</v>
      </c>
      <c r="F172">
        <v>622</v>
      </c>
      <c r="G172">
        <v>33.19</v>
      </c>
      <c r="H172">
        <v>109.72</v>
      </c>
      <c r="I172">
        <v>25.7</v>
      </c>
      <c r="J172">
        <v>84.98</v>
      </c>
      <c r="K172">
        <v>270</v>
      </c>
      <c r="T172">
        <v>3</v>
      </c>
      <c r="U172">
        <v>2</v>
      </c>
      <c r="V172" t="s">
        <v>153</v>
      </c>
      <c r="W172">
        <v>109</v>
      </c>
      <c r="X172">
        <v>15</v>
      </c>
      <c r="Y172">
        <v>14</v>
      </c>
      <c r="Z172" t="s">
        <v>460</v>
      </c>
      <c r="AA172" t="s">
        <v>461</v>
      </c>
      <c r="AB172" t="s">
        <v>156</v>
      </c>
      <c r="AC172" t="s">
        <v>157</v>
      </c>
      <c r="AD172" t="s">
        <v>158</v>
      </c>
      <c r="AE172" t="s">
        <v>128</v>
      </c>
      <c r="AG172" t="s">
        <v>462</v>
      </c>
      <c r="AH172">
        <v>0</v>
      </c>
      <c r="AI172">
        <v>165</v>
      </c>
      <c r="AJ172">
        <v>16</v>
      </c>
      <c r="AK172">
        <v>816</v>
      </c>
      <c r="AL172">
        <v>1.31</v>
      </c>
    </row>
    <row r="173" spans="1:38" x14ac:dyDescent="0.3">
      <c r="A173" t="s">
        <v>432</v>
      </c>
      <c r="B173">
        <v>19047</v>
      </c>
      <c r="C173">
        <v>3</v>
      </c>
      <c r="D173" t="s">
        <v>458</v>
      </c>
      <c r="E173" t="s">
        <v>459</v>
      </c>
      <c r="F173">
        <v>622</v>
      </c>
      <c r="G173">
        <v>45.87</v>
      </c>
      <c r="H173">
        <v>151.66</v>
      </c>
      <c r="I173">
        <v>36.74</v>
      </c>
      <c r="J173">
        <v>121.48</v>
      </c>
      <c r="K173">
        <v>180</v>
      </c>
      <c r="T173">
        <v>4</v>
      </c>
      <c r="U173">
        <v>2</v>
      </c>
      <c r="V173" t="s">
        <v>153</v>
      </c>
      <c r="W173">
        <v>151</v>
      </c>
      <c r="X173">
        <v>15</v>
      </c>
      <c r="Y173">
        <v>14</v>
      </c>
      <c r="Z173" t="s">
        <v>460</v>
      </c>
      <c r="AA173" t="s">
        <v>461</v>
      </c>
      <c r="AB173" t="s">
        <v>156</v>
      </c>
      <c r="AC173" t="s">
        <v>157</v>
      </c>
      <c r="AD173" t="s">
        <v>158</v>
      </c>
      <c r="AE173" t="s">
        <v>128</v>
      </c>
      <c r="AG173" t="s">
        <v>462</v>
      </c>
      <c r="AH173">
        <v>0</v>
      </c>
      <c r="AI173">
        <v>165</v>
      </c>
      <c r="AJ173">
        <v>16</v>
      </c>
      <c r="AK173">
        <v>816</v>
      </c>
      <c r="AL173">
        <v>1.31</v>
      </c>
    </row>
    <row r="174" spans="1:38" x14ac:dyDescent="0.3">
      <c r="A174" t="s">
        <v>432</v>
      </c>
      <c r="B174">
        <v>108604</v>
      </c>
      <c r="C174">
        <v>1</v>
      </c>
      <c r="D174" t="s">
        <v>463</v>
      </c>
      <c r="E174" t="s">
        <v>464</v>
      </c>
      <c r="F174">
        <v>178</v>
      </c>
      <c r="G174">
        <v>10.98</v>
      </c>
      <c r="H174">
        <v>36.31</v>
      </c>
      <c r="I174">
        <v>8.4499999999999993</v>
      </c>
      <c r="J174">
        <v>27.96</v>
      </c>
      <c r="K174">
        <v>58</v>
      </c>
      <c r="T174">
        <v>2</v>
      </c>
      <c r="U174">
        <v>1</v>
      </c>
      <c r="V174" t="s">
        <v>153</v>
      </c>
      <c r="W174">
        <v>36</v>
      </c>
      <c r="X174">
        <v>6</v>
      </c>
      <c r="Y174">
        <v>4</v>
      </c>
      <c r="Z174" t="s">
        <v>465</v>
      </c>
      <c r="AA174" t="s">
        <v>466</v>
      </c>
      <c r="AB174" t="s">
        <v>156</v>
      </c>
      <c r="AC174" t="s">
        <v>157</v>
      </c>
      <c r="AD174" t="s">
        <v>158</v>
      </c>
      <c r="AE174" t="s">
        <v>128</v>
      </c>
      <c r="AG174" t="s">
        <v>467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432</v>
      </c>
      <c r="B175">
        <v>108604</v>
      </c>
      <c r="C175">
        <v>2</v>
      </c>
      <c r="D175" t="s">
        <v>463</v>
      </c>
      <c r="E175" t="s">
        <v>464</v>
      </c>
      <c r="F175">
        <v>178</v>
      </c>
      <c r="G175">
        <v>17.55</v>
      </c>
      <c r="H175">
        <v>58.02</v>
      </c>
      <c r="I175">
        <v>13.02</v>
      </c>
      <c r="J175">
        <v>43.05</v>
      </c>
      <c r="K175">
        <v>5</v>
      </c>
      <c r="T175">
        <v>2</v>
      </c>
      <c r="U175">
        <v>1</v>
      </c>
      <c r="V175" t="s">
        <v>184</v>
      </c>
      <c r="W175">
        <v>58</v>
      </c>
      <c r="X175">
        <v>6</v>
      </c>
      <c r="Y175">
        <v>4</v>
      </c>
      <c r="Z175" t="s">
        <v>465</v>
      </c>
      <c r="AA175" t="s">
        <v>466</v>
      </c>
      <c r="AB175" t="s">
        <v>156</v>
      </c>
      <c r="AC175" t="s">
        <v>157</v>
      </c>
      <c r="AD175" t="s">
        <v>158</v>
      </c>
      <c r="AE175" t="s">
        <v>128</v>
      </c>
      <c r="AG175" t="s">
        <v>467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432</v>
      </c>
      <c r="B176">
        <v>108604</v>
      </c>
      <c r="C176">
        <v>3</v>
      </c>
      <c r="D176" t="s">
        <v>463</v>
      </c>
      <c r="E176" t="s">
        <v>464</v>
      </c>
      <c r="F176">
        <v>178</v>
      </c>
      <c r="G176">
        <v>20.69</v>
      </c>
      <c r="H176">
        <v>68.400000000000006</v>
      </c>
      <c r="I176">
        <v>18.100000000000001</v>
      </c>
      <c r="J176">
        <v>59.85</v>
      </c>
      <c r="K176">
        <v>115</v>
      </c>
      <c r="T176">
        <v>2</v>
      </c>
      <c r="U176">
        <v>1</v>
      </c>
      <c r="V176" t="s">
        <v>153</v>
      </c>
      <c r="W176">
        <v>68</v>
      </c>
      <c r="X176">
        <v>6</v>
      </c>
      <c r="Y176">
        <v>4</v>
      </c>
      <c r="Z176" t="s">
        <v>465</v>
      </c>
      <c r="AA176" t="s">
        <v>466</v>
      </c>
      <c r="AB176" t="s">
        <v>156</v>
      </c>
      <c r="AC176" t="s">
        <v>157</v>
      </c>
      <c r="AD176" t="s">
        <v>158</v>
      </c>
      <c r="AE176" t="s">
        <v>128</v>
      </c>
      <c r="AG176" t="s">
        <v>467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432</v>
      </c>
      <c r="B177">
        <v>19052</v>
      </c>
      <c r="C177">
        <v>1</v>
      </c>
      <c r="D177" t="s">
        <v>468</v>
      </c>
      <c r="E177" t="s">
        <v>459</v>
      </c>
      <c r="F177">
        <v>1338</v>
      </c>
      <c r="G177">
        <v>25.91</v>
      </c>
      <c r="H177">
        <v>85.68</v>
      </c>
      <c r="I177">
        <v>18.12</v>
      </c>
      <c r="J177">
        <v>59.92</v>
      </c>
      <c r="K177">
        <v>396</v>
      </c>
      <c r="T177">
        <v>3</v>
      </c>
      <c r="U177">
        <v>2</v>
      </c>
      <c r="V177" t="s">
        <v>153</v>
      </c>
      <c r="W177">
        <v>85</v>
      </c>
      <c r="X177">
        <v>18</v>
      </c>
      <c r="Y177">
        <v>13</v>
      </c>
      <c r="Z177" t="s">
        <v>469</v>
      </c>
      <c r="AA177" t="s">
        <v>470</v>
      </c>
      <c r="AB177" t="s">
        <v>156</v>
      </c>
      <c r="AC177" t="s">
        <v>157</v>
      </c>
      <c r="AD177" t="s">
        <v>158</v>
      </c>
      <c r="AE177" t="s">
        <v>128</v>
      </c>
      <c r="AG177" t="s">
        <v>471</v>
      </c>
      <c r="AH177">
        <v>0</v>
      </c>
      <c r="AI177">
        <v>194</v>
      </c>
      <c r="AJ177">
        <v>14</v>
      </c>
      <c r="AK177">
        <v>1748</v>
      </c>
      <c r="AL177">
        <v>1.31</v>
      </c>
    </row>
    <row r="178" spans="1:38" x14ac:dyDescent="0.3">
      <c r="A178" t="s">
        <v>432</v>
      </c>
      <c r="B178">
        <v>19052</v>
      </c>
      <c r="C178">
        <v>2</v>
      </c>
      <c r="D178" t="s">
        <v>468</v>
      </c>
      <c r="E178" t="s">
        <v>459</v>
      </c>
      <c r="F178">
        <v>1338</v>
      </c>
      <c r="G178">
        <v>34.92</v>
      </c>
      <c r="H178">
        <v>115.45</v>
      </c>
      <c r="I178">
        <v>25.61</v>
      </c>
      <c r="J178">
        <v>84.68</v>
      </c>
      <c r="K178">
        <v>498</v>
      </c>
      <c r="T178">
        <v>3</v>
      </c>
      <c r="U178">
        <v>2</v>
      </c>
      <c r="V178" t="s">
        <v>153</v>
      </c>
      <c r="W178" t="s">
        <v>71</v>
      </c>
      <c r="X178">
        <v>18</v>
      </c>
      <c r="Y178">
        <v>13</v>
      </c>
      <c r="Z178" t="s">
        <v>469</v>
      </c>
      <c r="AA178" t="s">
        <v>470</v>
      </c>
      <c r="AB178" t="s">
        <v>156</v>
      </c>
      <c r="AC178" t="s">
        <v>157</v>
      </c>
      <c r="AD178" t="s">
        <v>158</v>
      </c>
      <c r="AE178" t="s">
        <v>128</v>
      </c>
      <c r="AG178" t="s">
        <v>471</v>
      </c>
      <c r="AH178">
        <v>0</v>
      </c>
      <c r="AI178">
        <v>194</v>
      </c>
      <c r="AJ178">
        <v>14</v>
      </c>
      <c r="AK178">
        <v>1748</v>
      </c>
      <c r="AL178">
        <v>1.31</v>
      </c>
    </row>
    <row r="179" spans="1:38" x14ac:dyDescent="0.3">
      <c r="A179" t="s">
        <v>432</v>
      </c>
      <c r="B179">
        <v>19052</v>
      </c>
      <c r="C179">
        <v>3</v>
      </c>
      <c r="D179" t="s">
        <v>468</v>
      </c>
      <c r="E179" t="s">
        <v>459</v>
      </c>
      <c r="F179">
        <v>1338</v>
      </c>
      <c r="G179">
        <v>34.97</v>
      </c>
      <c r="H179">
        <v>115.62</v>
      </c>
      <c r="I179">
        <v>25.61</v>
      </c>
      <c r="J179">
        <v>84.68</v>
      </c>
      <c r="K179">
        <v>86</v>
      </c>
      <c r="T179">
        <v>3</v>
      </c>
      <c r="U179">
        <v>2</v>
      </c>
      <c r="V179" t="s">
        <v>153</v>
      </c>
      <c r="W179" t="s">
        <v>119</v>
      </c>
      <c r="X179">
        <v>18</v>
      </c>
      <c r="Y179">
        <v>13</v>
      </c>
      <c r="Z179" t="s">
        <v>469</v>
      </c>
      <c r="AA179" t="s">
        <v>470</v>
      </c>
      <c r="AB179" t="s">
        <v>156</v>
      </c>
      <c r="AC179" t="s">
        <v>157</v>
      </c>
      <c r="AD179" t="s">
        <v>158</v>
      </c>
      <c r="AE179" t="s">
        <v>128</v>
      </c>
      <c r="AG179" t="s">
        <v>471</v>
      </c>
      <c r="AH179">
        <v>0</v>
      </c>
      <c r="AI179">
        <v>194</v>
      </c>
      <c r="AJ179">
        <v>14</v>
      </c>
      <c r="AK179">
        <v>1748</v>
      </c>
      <c r="AL179">
        <v>1.31</v>
      </c>
    </row>
    <row r="180" spans="1:38" x14ac:dyDescent="0.3">
      <c r="A180" t="s">
        <v>432</v>
      </c>
      <c r="B180">
        <v>19052</v>
      </c>
      <c r="C180">
        <v>4</v>
      </c>
      <c r="D180" t="s">
        <v>468</v>
      </c>
      <c r="E180" t="s">
        <v>459</v>
      </c>
      <c r="F180">
        <v>1338</v>
      </c>
      <c r="G180">
        <v>39.49</v>
      </c>
      <c r="H180">
        <v>130.55000000000001</v>
      </c>
      <c r="I180">
        <v>30.92</v>
      </c>
      <c r="J180">
        <v>102.22</v>
      </c>
      <c r="K180">
        <v>142</v>
      </c>
      <c r="T180">
        <v>3</v>
      </c>
      <c r="U180">
        <v>2</v>
      </c>
      <c r="V180" t="s">
        <v>153</v>
      </c>
      <c r="W180">
        <v>130</v>
      </c>
      <c r="X180">
        <v>18</v>
      </c>
      <c r="Y180">
        <v>13</v>
      </c>
      <c r="Z180" t="s">
        <v>469</v>
      </c>
      <c r="AA180" t="s">
        <v>470</v>
      </c>
      <c r="AB180" t="s">
        <v>156</v>
      </c>
      <c r="AC180" t="s">
        <v>157</v>
      </c>
      <c r="AD180" t="s">
        <v>158</v>
      </c>
      <c r="AE180" t="s">
        <v>128</v>
      </c>
      <c r="AG180" t="s">
        <v>471</v>
      </c>
      <c r="AH180">
        <v>0</v>
      </c>
      <c r="AI180">
        <v>194</v>
      </c>
      <c r="AJ180">
        <v>14</v>
      </c>
      <c r="AK180">
        <v>1748</v>
      </c>
      <c r="AL180">
        <v>1.31</v>
      </c>
    </row>
    <row r="181" spans="1:38" x14ac:dyDescent="0.3">
      <c r="A181" t="s">
        <v>432</v>
      </c>
      <c r="B181">
        <v>19052</v>
      </c>
      <c r="C181">
        <v>5</v>
      </c>
      <c r="D181" t="s">
        <v>468</v>
      </c>
      <c r="E181" t="s">
        <v>459</v>
      </c>
      <c r="F181">
        <v>1338</v>
      </c>
      <c r="G181">
        <v>48.56</v>
      </c>
      <c r="H181">
        <v>160.55000000000001</v>
      </c>
      <c r="I181">
        <v>39.08</v>
      </c>
      <c r="J181">
        <v>129.21</v>
      </c>
      <c r="K181">
        <v>144</v>
      </c>
      <c r="T181">
        <v>4</v>
      </c>
      <c r="U181">
        <v>2</v>
      </c>
      <c r="V181" t="s">
        <v>153</v>
      </c>
      <c r="W181">
        <v>160</v>
      </c>
      <c r="X181">
        <v>18</v>
      </c>
      <c r="Y181">
        <v>13</v>
      </c>
      <c r="Z181" t="s">
        <v>469</v>
      </c>
      <c r="AA181" t="s">
        <v>470</v>
      </c>
      <c r="AB181" t="s">
        <v>156</v>
      </c>
      <c r="AC181" t="s">
        <v>157</v>
      </c>
      <c r="AD181" t="s">
        <v>158</v>
      </c>
      <c r="AE181" t="s">
        <v>128</v>
      </c>
      <c r="AG181" t="s">
        <v>471</v>
      </c>
      <c r="AH181">
        <v>0</v>
      </c>
      <c r="AI181">
        <v>194</v>
      </c>
      <c r="AJ181">
        <v>14</v>
      </c>
      <c r="AK181">
        <v>1748</v>
      </c>
      <c r="AL181">
        <v>1.31</v>
      </c>
    </row>
    <row r="182" spans="1:38" x14ac:dyDescent="0.3">
      <c r="A182" t="s">
        <v>432</v>
      </c>
      <c r="B182">
        <v>19052</v>
      </c>
      <c r="C182">
        <v>6</v>
      </c>
      <c r="D182" t="s">
        <v>468</v>
      </c>
      <c r="E182" t="s">
        <v>459</v>
      </c>
      <c r="F182">
        <v>1338</v>
      </c>
      <c r="G182">
        <v>56.28</v>
      </c>
      <c r="H182">
        <v>186.08</v>
      </c>
      <c r="I182">
        <v>44.71</v>
      </c>
      <c r="J182">
        <v>147.82</v>
      </c>
      <c r="K182">
        <v>72</v>
      </c>
      <c r="T182">
        <v>4</v>
      </c>
      <c r="U182">
        <v>2</v>
      </c>
      <c r="V182" t="s">
        <v>153</v>
      </c>
      <c r="W182">
        <v>186</v>
      </c>
      <c r="X182">
        <v>18</v>
      </c>
      <c r="Y182">
        <v>13</v>
      </c>
      <c r="Z182" t="s">
        <v>469</v>
      </c>
      <c r="AA182" t="s">
        <v>470</v>
      </c>
      <c r="AB182" t="s">
        <v>156</v>
      </c>
      <c r="AC182" t="s">
        <v>157</v>
      </c>
      <c r="AD182" t="s">
        <v>158</v>
      </c>
      <c r="AE182" t="s">
        <v>128</v>
      </c>
      <c r="AG182" t="s">
        <v>471</v>
      </c>
      <c r="AH182">
        <v>0</v>
      </c>
      <c r="AI182">
        <v>194</v>
      </c>
      <c r="AJ182">
        <v>14</v>
      </c>
      <c r="AK182">
        <v>1748</v>
      </c>
      <c r="AL182">
        <v>1.31</v>
      </c>
    </row>
    <row r="183" spans="1:38" x14ac:dyDescent="0.3">
      <c r="A183" t="s">
        <v>432</v>
      </c>
      <c r="B183">
        <v>107656</v>
      </c>
      <c r="C183">
        <v>1</v>
      </c>
      <c r="D183" t="s">
        <v>472</v>
      </c>
      <c r="E183" t="s">
        <v>445</v>
      </c>
      <c r="F183">
        <v>630</v>
      </c>
      <c r="G183">
        <v>25.4</v>
      </c>
      <c r="H183">
        <v>83.97</v>
      </c>
      <c r="I183">
        <v>18.14</v>
      </c>
      <c r="J183">
        <v>59.98</v>
      </c>
      <c r="K183">
        <v>506</v>
      </c>
      <c r="T183">
        <v>3</v>
      </c>
      <c r="U183">
        <v>2</v>
      </c>
      <c r="V183" t="s">
        <v>153</v>
      </c>
      <c r="W183" t="s">
        <v>72</v>
      </c>
      <c r="X183">
        <v>25</v>
      </c>
      <c r="Y183">
        <v>13</v>
      </c>
      <c r="Z183" t="s">
        <v>473</v>
      </c>
      <c r="AA183" t="s">
        <v>474</v>
      </c>
      <c r="AB183" t="s">
        <v>156</v>
      </c>
      <c r="AC183" t="s">
        <v>157</v>
      </c>
      <c r="AD183" t="s">
        <v>158</v>
      </c>
      <c r="AE183" t="s">
        <v>128</v>
      </c>
      <c r="AG183" t="s">
        <v>475</v>
      </c>
      <c r="AH183">
        <v>0</v>
      </c>
      <c r="AI183">
        <v>199</v>
      </c>
      <c r="AJ183">
        <v>19</v>
      </c>
      <c r="AK183">
        <v>630</v>
      </c>
      <c r="AL183">
        <v>1</v>
      </c>
    </row>
    <row r="184" spans="1:38" x14ac:dyDescent="0.3">
      <c r="A184" t="s">
        <v>432</v>
      </c>
      <c r="B184">
        <v>107656</v>
      </c>
      <c r="C184">
        <v>2</v>
      </c>
      <c r="D184" t="s">
        <v>472</v>
      </c>
      <c r="E184" t="s">
        <v>445</v>
      </c>
      <c r="F184">
        <v>630</v>
      </c>
      <c r="G184">
        <v>25.67</v>
      </c>
      <c r="H184">
        <v>84.86</v>
      </c>
      <c r="I184">
        <v>18.14</v>
      </c>
      <c r="J184">
        <v>59.98</v>
      </c>
      <c r="K184">
        <v>124</v>
      </c>
      <c r="T184">
        <v>3</v>
      </c>
      <c r="U184">
        <v>2</v>
      </c>
      <c r="V184" t="s">
        <v>153</v>
      </c>
      <c r="W184" t="s">
        <v>334</v>
      </c>
      <c r="X184">
        <v>25</v>
      </c>
      <c r="Y184">
        <v>13</v>
      </c>
      <c r="Z184" t="s">
        <v>473</v>
      </c>
      <c r="AA184" t="s">
        <v>474</v>
      </c>
      <c r="AB184" t="s">
        <v>156</v>
      </c>
      <c r="AC184" t="s">
        <v>157</v>
      </c>
      <c r="AD184" t="s">
        <v>158</v>
      </c>
      <c r="AE184" t="s">
        <v>128</v>
      </c>
      <c r="AG184" t="s">
        <v>475</v>
      </c>
      <c r="AH184">
        <v>0</v>
      </c>
      <c r="AI184">
        <v>199</v>
      </c>
      <c r="AJ184">
        <v>19</v>
      </c>
      <c r="AK184">
        <v>630</v>
      </c>
      <c r="AL184">
        <v>1</v>
      </c>
    </row>
    <row r="185" spans="1:38" x14ac:dyDescent="0.3">
      <c r="A185" t="s">
        <v>432</v>
      </c>
      <c r="B185">
        <v>117409</v>
      </c>
      <c r="C185">
        <v>1</v>
      </c>
      <c r="D185" t="s">
        <v>476</v>
      </c>
      <c r="E185" t="s">
        <v>477</v>
      </c>
      <c r="F185">
        <v>62</v>
      </c>
      <c r="G185">
        <v>22.17</v>
      </c>
      <c r="H185">
        <v>73.3</v>
      </c>
      <c r="I185">
        <v>15.09</v>
      </c>
      <c r="J185">
        <v>49.9</v>
      </c>
      <c r="K185">
        <v>46</v>
      </c>
      <c r="T185">
        <v>3</v>
      </c>
      <c r="U185">
        <v>1</v>
      </c>
      <c r="V185" t="s">
        <v>184</v>
      </c>
      <c r="W185">
        <v>73</v>
      </c>
      <c r="X185">
        <v>8</v>
      </c>
      <c r="Y185">
        <v>7</v>
      </c>
      <c r="Z185" t="s">
        <v>478</v>
      </c>
      <c r="AA185" t="s">
        <v>479</v>
      </c>
      <c r="AB185" t="s">
        <v>156</v>
      </c>
      <c r="AC185" t="s">
        <v>157</v>
      </c>
      <c r="AD185" t="s">
        <v>158</v>
      </c>
      <c r="AE185" t="s">
        <v>128</v>
      </c>
      <c r="AG185" t="s">
        <v>480</v>
      </c>
      <c r="AH185">
        <v>0</v>
      </c>
      <c r="AI185">
        <v>168</v>
      </c>
      <c r="AJ185">
        <v>25</v>
      </c>
      <c r="AK185">
        <v>22</v>
      </c>
      <c r="AL185">
        <v>0.35</v>
      </c>
    </row>
    <row r="186" spans="1:38" x14ac:dyDescent="0.3">
      <c r="A186" t="s">
        <v>432</v>
      </c>
      <c r="B186">
        <v>117409</v>
      </c>
      <c r="C186">
        <v>2</v>
      </c>
      <c r="D186" t="s">
        <v>476</v>
      </c>
      <c r="E186" t="s">
        <v>477</v>
      </c>
      <c r="F186">
        <v>62</v>
      </c>
      <c r="G186">
        <v>26.36</v>
      </c>
      <c r="H186">
        <v>87.16</v>
      </c>
      <c r="I186">
        <v>17.95</v>
      </c>
      <c r="J186">
        <v>59.34</v>
      </c>
      <c r="K186">
        <v>15</v>
      </c>
      <c r="T186">
        <v>3</v>
      </c>
      <c r="U186">
        <v>2</v>
      </c>
      <c r="V186" t="s">
        <v>153</v>
      </c>
      <c r="W186" t="s">
        <v>481</v>
      </c>
      <c r="X186">
        <v>8</v>
      </c>
      <c r="Y186">
        <v>7</v>
      </c>
      <c r="Z186" t="s">
        <v>478</v>
      </c>
      <c r="AA186" t="s">
        <v>479</v>
      </c>
      <c r="AB186" t="s">
        <v>156</v>
      </c>
      <c r="AC186" t="s">
        <v>157</v>
      </c>
      <c r="AD186" t="s">
        <v>158</v>
      </c>
      <c r="AE186" t="s">
        <v>128</v>
      </c>
      <c r="AG186" t="s">
        <v>480</v>
      </c>
      <c r="AH186">
        <v>0</v>
      </c>
      <c r="AI186">
        <v>168</v>
      </c>
      <c r="AJ186">
        <v>25</v>
      </c>
      <c r="AK186">
        <v>22</v>
      </c>
      <c r="AL186">
        <v>0.35</v>
      </c>
    </row>
    <row r="187" spans="1:38" x14ac:dyDescent="0.3">
      <c r="A187" t="s">
        <v>432</v>
      </c>
      <c r="B187">
        <v>117409</v>
      </c>
      <c r="C187">
        <v>3</v>
      </c>
      <c r="D187" t="s">
        <v>476</v>
      </c>
      <c r="E187" t="s">
        <v>477</v>
      </c>
      <c r="F187">
        <v>62</v>
      </c>
      <c r="G187">
        <v>26.35</v>
      </c>
      <c r="H187">
        <v>87.12</v>
      </c>
      <c r="I187">
        <v>17.95</v>
      </c>
      <c r="J187">
        <v>59.34</v>
      </c>
      <c r="K187">
        <v>1</v>
      </c>
      <c r="T187">
        <v>3</v>
      </c>
      <c r="U187">
        <v>2</v>
      </c>
      <c r="V187" t="s">
        <v>153</v>
      </c>
      <c r="W187" t="s">
        <v>406</v>
      </c>
      <c r="X187">
        <v>8</v>
      </c>
      <c r="Y187">
        <v>7</v>
      </c>
      <c r="Z187" t="s">
        <v>478</v>
      </c>
      <c r="AA187" t="s">
        <v>479</v>
      </c>
      <c r="AB187" t="s">
        <v>156</v>
      </c>
      <c r="AC187" t="s">
        <v>157</v>
      </c>
      <c r="AD187" t="s">
        <v>158</v>
      </c>
      <c r="AE187" t="s">
        <v>128</v>
      </c>
      <c r="AG187" t="s">
        <v>480</v>
      </c>
      <c r="AH187">
        <v>0</v>
      </c>
      <c r="AI187">
        <v>168</v>
      </c>
      <c r="AJ187">
        <v>25</v>
      </c>
      <c r="AK187">
        <v>22</v>
      </c>
      <c r="AL187">
        <v>0.35</v>
      </c>
    </row>
    <row r="188" spans="1:38" x14ac:dyDescent="0.3">
      <c r="A188" t="s">
        <v>432</v>
      </c>
      <c r="B188">
        <v>107695</v>
      </c>
      <c r="C188">
        <v>1</v>
      </c>
      <c r="D188" t="s">
        <v>482</v>
      </c>
      <c r="E188" t="s">
        <v>483</v>
      </c>
      <c r="F188">
        <v>587</v>
      </c>
      <c r="G188">
        <v>29.57</v>
      </c>
      <c r="H188">
        <v>97.76</v>
      </c>
      <c r="I188">
        <v>22.04</v>
      </c>
      <c r="J188">
        <v>72.89</v>
      </c>
      <c r="K188">
        <v>132</v>
      </c>
      <c r="T188">
        <v>3</v>
      </c>
      <c r="U188">
        <v>2</v>
      </c>
      <c r="V188" t="s">
        <v>153</v>
      </c>
      <c r="W188">
        <v>97</v>
      </c>
      <c r="X188">
        <v>20</v>
      </c>
      <c r="Y188">
        <v>12</v>
      </c>
      <c r="Z188" t="s">
        <v>484</v>
      </c>
      <c r="AA188" t="s">
        <v>485</v>
      </c>
      <c r="AB188" t="s">
        <v>156</v>
      </c>
      <c r="AC188" t="s">
        <v>157</v>
      </c>
      <c r="AD188" t="s">
        <v>158</v>
      </c>
      <c r="AE188" t="s">
        <v>128</v>
      </c>
      <c r="AG188" t="s">
        <v>486</v>
      </c>
      <c r="AH188">
        <v>0</v>
      </c>
      <c r="AI188">
        <v>179</v>
      </c>
      <c r="AJ188">
        <v>17</v>
      </c>
      <c r="AK188">
        <v>770</v>
      </c>
      <c r="AL188">
        <v>1.31</v>
      </c>
    </row>
    <row r="189" spans="1:38" x14ac:dyDescent="0.3">
      <c r="A189" t="s">
        <v>432</v>
      </c>
      <c r="B189">
        <v>107695</v>
      </c>
      <c r="C189">
        <v>2</v>
      </c>
      <c r="D189" t="s">
        <v>482</v>
      </c>
      <c r="E189" t="s">
        <v>483</v>
      </c>
      <c r="F189">
        <v>587</v>
      </c>
      <c r="G189">
        <v>33.409999999999997</v>
      </c>
      <c r="H189">
        <v>110.47</v>
      </c>
      <c r="I189">
        <v>25.66</v>
      </c>
      <c r="J189">
        <v>84.85</v>
      </c>
      <c r="K189">
        <v>455</v>
      </c>
      <c r="T189">
        <v>4</v>
      </c>
      <c r="U189">
        <v>2</v>
      </c>
      <c r="V189" t="s">
        <v>153</v>
      </c>
      <c r="W189">
        <v>110</v>
      </c>
      <c r="X189">
        <v>20</v>
      </c>
      <c r="Y189">
        <v>12</v>
      </c>
      <c r="Z189" t="s">
        <v>484</v>
      </c>
      <c r="AA189" t="s">
        <v>485</v>
      </c>
      <c r="AB189" t="s">
        <v>156</v>
      </c>
      <c r="AC189" t="s">
        <v>157</v>
      </c>
      <c r="AD189" t="s">
        <v>158</v>
      </c>
      <c r="AE189" t="s">
        <v>128</v>
      </c>
      <c r="AG189" t="s">
        <v>486</v>
      </c>
      <c r="AH189">
        <v>0</v>
      </c>
      <c r="AI189">
        <v>179</v>
      </c>
      <c r="AJ189">
        <v>17</v>
      </c>
      <c r="AK189">
        <v>770</v>
      </c>
      <c r="AL189">
        <v>1.31</v>
      </c>
    </row>
    <row r="190" spans="1:38" x14ac:dyDescent="0.3">
      <c r="A190" t="s">
        <v>432</v>
      </c>
      <c r="B190">
        <v>19396</v>
      </c>
      <c r="C190">
        <v>1</v>
      </c>
      <c r="D190" t="s">
        <v>487</v>
      </c>
      <c r="E190" t="s">
        <v>488</v>
      </c>
      <c r="F190">
        <v>1602</v>
      </c>
      <c r="G190">
        <v>26.19</v>
      </c>
      <c r="H190">
        <v>86.61</v>
      </c>
      <c r="I190">
        <v>18.12</v>
      </c>
      <c r="J190">
        <v>59.91</v>
      </c>
      <c r="K190">
        <v>391</v>
      </c>
      <c r="T190">
        <v>3</v>
      </c>
      <c r="U190">
        <v>2</v>
      </c>
      <c r="V190" t="s">
        <v>153</v>
      </c>
      <c r="W190" t="s">
        <v>74</v>
      </c>
      <c r="X190">
        <v>18</v>
      </c>
      <c r="Y190">
        <v>17</v>
      </c>
      <c r="Z190" t="s">
        <v>489</v>
      </c>
      <c r="AA190" t="s">
        <v>490</v>
      </c>
      <c r="AB190" t="s">
        <v>156</v>
      </c>
      <c r="AC190" t="s">
        <v>157</v>
      </c>
      <c r="AD190" t="s">
        <v>158</v>
      </c>
      <c r="AE190" t="s">
        <v>128</v>
      </c>
      <c r="AG190" t="s">
        <v>491</v>
      </c>
      <c r="AH190">
        <v>0</v>
      </c>
      <c r="AI190">
        <v>195</v>
      </c>
      <c r="AJ190">
        <v>14</v>
      </c>
      <c r="AK190">
        <v>2073</v>
      </c>
      <c r="AL190">
        <v>1.29</v>
      </c>
    </row>
    <row r="191" spans="1:38" x14ac:dyDescent="0.3">
      <c r="A191" t="s">
        <v>432</v>
      </c>
      <c r="B191">
        <v>19396</v>
      </c>
      <c r="C191">
        <v>2</v>
      </c>
      <c r="D191" t="s">
        <v>487</v>
      </c>
      <c r="E191" t="s">
        <v>488</v>
      </c>
      <c r="F191">
        <v>1602</v>
      </c>
      <c r="G191">
        <v>26.19</v>
      </c>
      <c r="H191">
        <v>86.61</v>
      </c>
      <c r="I191">
        <v>18.12</v>
      </c>
      <c r="J191">
        <v>59.91</v>
      </c>
      <c r="K191">
        <v>53</v>
      </c>
      <c r="T191">
        <v>3</v>
      </c>
      <c r="U191">
        <v>2</v>
      </c>
      <c r="V191" t="s">
        <v>153</v>
      </c>
      <c r="W191" t="s">
        <v>75</v>
      </c>
      <c r="X191">
        <v>18</v>
      </c>
      <c r="Y191">
        <v>17</v>
      </c>
      <c r="Z191" t="s">
        <v>489</v>
      </c>
      <c r="AA191" t="s">
        <v>490</v>
      </c>
      <c r="AB191" t="s">
        <v>156</v>
      </c>
      <c r="AC191" t="s">
        <v>157</v>
      </c>
      <c r="AD191" t="s">
        <v>158</v>
      </c>
      <c r="AE191" t="s">
        <v>128</v>
      </c>
      <c r="AG191" t="s">
        <v>491</v>
      </c>
      <c r="AH191">
        <v>0</v>
      </c>
      <c r="AI191">
        <v>195</v>
      </c>
      <c r="AJ191">
        <v>14</v>
      </c>
      <c r="AK191">
        <v>2073</v>
      </c>
      <c r="AL191">
        <v>1.29</v>
      </c>
    </row>
    <row r="192" spans="1:38" x14ac:dyDescent="0.3">
      <c r="A192" t="s">
        <v>432</v>
      </c>
      <c r="B192">
        <v>19396</v>
      </c>
      <c r="C192">
        <v>3</v>
      </c>
      <c r="D192" t="s">
        <v>487</v>
      </c>
      <c r="E192" t="s">
        <v>488</v>
      </c>
      <c r="F192">
        <v>1602</v>
      </c>
      <c r="G192">
        <v>34.200000000000003</v>
      </c>
      <c r="H192">
        <v>113.07</v>
      </c>
      <c r="I192">
        <v>25.7</v>
      </c>
      <c r="J192">
        <v>84.96</v>
      </c>
      <c r="K192">
        <v>685</v>
      </c>
      <c r="T192">
        <v>3</v>
      </c>
      <c r="U192">
        <v>2</v>
      </c>
      <c r="V192" t="s">
        <v>153</v>
      </c>
      <c r="W192" t="s">
        <v>76</v>
      </c>
      <c r="X192">
        <v>18</v>
      </c>
      <c r="Y192">
        <v>17</v>
      </c>
      <c r="Z192" t="s">
        <v>489</v>
      </c>
      <c r="AA192" t="s">
        <v>490</v>
      </c>
      <c r="AB192" t="s">
        <v>156</v>
      </c>
      <c r="AC192" t="s">
        <v>157</v>
      </c>
      <c r="AD192" t="s">
        <v>158</v>
      </c>
      <c r="AE192" t="s">
        <v>128</v>
      </c>
      <c r="AG192" t="s">
        <v>491</v>
      </c>
      <c r="AH192">
        <v>0</v>
      </c>
      <c r="AI192">
        <v>195</v>
      </c>
      <c r="AJ192">
        <v>14</v>
      </c>
      <c r="AK192">
        <v>2073</v>
      </c>
      <c r="AL192">
        <v>1.29</v>
      </c>
    </row>
    <row r="193" spans="1:38" x14ac:dyDescent="0.3">
      <c r="A193" t="s">
        <v>432</v>
      </c>
      <c r="B193">
        <v>19396</v>
      </c>
      <c r="C193">
        <v>4</v>
      </c>
      <c r="D193" t="s">
        <v>487</v>
      </c>
      <c r="E193" t="s">
        <v>488</v>
      </c>
      <c r="F193">
        <v>1602</v>
      </c>
      <c r="G193">
        <v>34.69</v>
      </c>
      <c r="H193">
        <v>114.7</v>
      </c>
      <c r="I193">
        <v>25.7</v>
      </c>
      <c r="J193">
        <v>84.98</v>
      </c>
      <c r="K193">
        <v>121</v>
      </c>
      <c r="T193">
        <v>3</v>
      </c>
      <c r="U193">
        <v>2</v>
      </c>
      <c r="V193" t="s">
        <v>153</v>
      </c>
      <c r="W193" t="s">
        <v>78</v>
      </c>
      <c r="X193">
        <v>18</v>
      </c>
      <c r="Y193">
        <v>17</v>
      </c>
      <c r="Z193" t="s">
        <v>489</v>
      </c>
      <c r="AA193" t="s">
        <v>490</v>
      </c>
      <c r="AB193" t="s">
        <v>156</v>
      </c>
      <c r="AC193" t="s">
        <v>157</v>
      </c>
      <c r="AD193" t="s">
        <v>158</v>
      </c>
      <c r="AE193" t="s">
        <v>128</v>
      </c>
      <c r="AG193" t="s">
        <v>491</v>
      </c>
      <c r="AH193">
        <v>0</v>
      </c>
      <c r="AI193">
        <v>195</v>
      </c>
      <c r="AJ193">
        <v>14</v>
      </c>
      <c r="AK193">
        <v>2073</v>
      </c>
      <c r="AL193">
        <v>1.29</v>
      </c>
    </row>
    <row r="194" spans="1:38" x14ac:dyDescent="0.3">
      <c r="A194" t="s">
        <v>432</v>
      </c>
      <c r="B194">
        <v>19396</v>
      </c>
      <c r="C194">
        <v>5</v>
      </c>
      <c r="D194" t="s">
        <v>487</v>
      </c>
      <c r="E194" t="s">
        <v>488</v>
      </c>
      <c r="F194">
        <v>1602</v>
      </c>
      <c r="G194">
        <v>47.22</v>
      </c>
      <c r="H194">
        <v>156.11000000000001</v>
      </c>
      <c r="I194">
        <v>37.090000000000003</v>
      </c>
      <c r="J194">
        <v>122.63</v>
      </c>
      <c r="K194">
        <v>280</v>
      </c>
      <c r="T194">
        <v>4</v>
      </c>
      <c r="U194">
        <v>2</v>
      </c>
      <c r="V194" t="s">
        <v>153</v>
      </c>
      <c r="W194">
        <v>156</v>
      </c>
      <c r="X194">
        <v>18</v>
      </c>
      <c r="Y194">
        <v>17</v>
      </c>
      <c r="Z194" t="s">
        <v>489</v>
      </c>
      <c r="AA194" t="s">
        <v>490</v>
      </c>
      <c r="AB194" t="s">
        <v>156</v>
      </c>
      <c r="AC194" t="s">
        <v>157</v>
      </c>
      <c r="AD194" t="s">
        <v>158</v>
      </c>
      <c r="AE194" t="s">
        <v>128</v>
      </c>
      <c r="AG194" t="s">
        <v>491</v>
      </c>
      <c r="AH194">
        <v>0</v>
      </c>
      <c r="AI194">
        <v>195</v>
      </c>
      <c r="AJ194">
        <v>14</v>
      </c>
      <c r="AK194">
        <v>2073</v>
      </c>
      <c r="AL194">
        <v>1.29</v>
      </c>
    </row>
    <row r="195" spans="1:38" x14ac:dyDescent="0.3">
      <c r="A195" t="s">
        <v>432</v>
      </c>
      <c r="B195">
        <v>19396</v>
      </c>
      <c r="C195">
        <v>6</v>
      </c>
      <c r="D195" t="s">
        <v>487</v>
      </c>
      <c r="E195" t="s">
        <v>488</v>
      </c>
      <c r="F195">
        <v>1602</v>
      </c>
      <c r="G195">
        <v>61.12</v>
      </c>
      <c r="H195">
        <v>202.06</v>
      </c>
      <c r="I195">
        <v>50.44</v>
      </c>
      <c r="J195">
        <v>166.77</v>
      </c>
      <c r="K195">
        <v>72</v>
      </c>
      <c r="T195">
        <v>4</v>
      </c>
      <c r="U195">
        <v>2</v>
      </c>
      <c r="V195" t="s">
        <v>153</v>
      </c>
      <c r="W195">
        <v>202</v>
      </c>
      <c r="X195">
        <v>18</v>
      </c>
      <c r="Y195">
        <v>17</v>
      </c>
      <c r="Z195" t="s">
        <v>489</v>
      </c>
      <c r="AA195" t="s">
        <v>490</v>
      </c>
      <c r="AB195" t="s">
        <v>156</v>
      </c>
      <c r="AC195" t="s">
        <v>157</v>
      </c>
      <c r="AD195" t="s">
        <v>158</v>
      </c>
      <c r="AE195" t="s">
        <v>128</v>
      </c>
      <c r="AG195" t="s">
        <v>491</v>
      </c>
      <c r="AH195">
        <v>0</v>
      </c>
      <c r="AI195">
        <v>195</v>
      </c>
      <c r="AJ195">
        <v>14</v>
      </c>
      <c r="AK195">
        <v>2073</v>
      </c>
      <c r="AL195">
        <v>1.29</v>
      </c>
    </row>
    <row r="196" spans="1:38" x14ac:dyDescent="0.3">
      <c r="A196" t="s">
        <v>432</v>
      </c>
      <c r="B196">
        <v>23633</v>
      </c>
      <c r="C196">
        <v>1</v>
      </c>
      <c r="D196" t="s">
        <v>492</v>
      </c>
      <c r="E196" t="s">
        <v>459</v>
      </c>
      <c r="F196">
        <v>1529</v>
      </c>
      <c r="G196">
        <v>25.75</v>
      </c>
      <c r="H196">
        <v>85.13</v>
      </c>
      <c r="I196">
        <v>18.13</v>
      </c>
      <c r="J196">
        <v>59.95</v>
      </c>
      <c r="K196">
        <v>406</v>
      </c>
      <c r="T196">
        <v>3</v>
      </c>
      <c r="U196">
        <v>2</v>
      </c>
      <c r="V196" t="s">
        <v>153</v>
      </c>
      <c r="W196">
        <v>85</v>
      </c>
      <c r="X196">
        <v>18</v>
      </c>
      <c r="Y196">
        <v>16</v>
      </c>
      <c r="Z196" t="s">
        <v>493</v>
      </c>
      <c r="AA196" t="s">
        <v>494</v>
      </c>
      <c r="AB196" t="s">
        <v>156</v>
      </c>
      <c r="AC196" t="s">
        <v>157</v>
      </c>
      <c r="AD196" t="s">
        <v>158</v>
      </c>
      <c r="AE196" t="s">
        <v>128</v>
      </c>
      <c r="AG196" t="s">
        <v>495</v>
      </c>
      <c r="AH196">
        <v>0</v>
      </c>
      <c r="AI196">
        <v>192</v>
      </c>
      <c r="AJ196">
        <v>13</v>
      </c>
      <c r="AK196">
        <v>1995</v>
      </c>
      <c r="AL196">
        <v>1.3</v>
      </c>
    </row>
    <row r="197" spans="1:38" x14ac:dyDescent="0.3">
      <c r="A197" t="s">
        <v>432</v>
      </c>
      <c r="B197">
        <v>23633</v>
      </c>
      <c r="C197">
        <v>2</v>
      </c>
      <c r="D197" t="s">
        <v>492</v>
      </c>
      <c r="E197" t="s">
        <v>459</v>
      </c>
      <c r="F197">
        <v>1529</v>
      </c>
      <c r="G197">
        <v>33.58</v>
      </c>
      <c r="H197">
        <v>111.04</v>
      </c>
      <c r="I197">
        <v>25.58</v>
      </c>
      <c r="J197">
        <v>84.57</v>
      </c>
      <c r="K197">
        <v>776</v>
      </c>
      <c r="T197">
        <v>3</v>
      </c>
      <c r="U197">
        <v>2</v>
      </c>
      <c r="V197" t="s">
        <v>153</v>
      </c>
      <c r="W197">
        <v>111</v>
      </c>
      <c r="X197">
        <v>18</v>
      </c>
      <c r="Y197">
        <v>16</v>
      </c>
      <c r="Z197" t="s">
        <v>493</v>
      </c>
      <c r="AA197" t="s">
        <v>494</v>
      </c>
      <c r="AB197" t="s">
        <v>156</v>
      </c>
      <c r="AC197" t="s">
        <v>157</v>
      </c>
      <c r="AD197" t="s">
        <v>158</v>
      </c>
      <c r="AE197" t="s">
        <v>128</v>
      </c>
      <c r="AG197" t="s">
        <v>495</v>
      </c>
      <c r="AH197">
        <v>0</v>
      </c>
      <c r="AI197">
        <v>192</v>
      </c>
      <c r="AJ197">
        <v>13</v>
      </c>
      <c r="AK197">
        <v>1995</v>
      </c>
      <c r="AL197">
        <v>1.3</v>
      </c>
    </row>
    <row r="198" spans="1:38" x14ac:dyDescent="0.3">
      <c r="A198" t="s">
        <v>432</v>
      </c>
      <c r="B198">
        <v>23633</v>
      </c>
      <c r="C198">
        <v>3</v>
      </c>
      <c r="D198" t="s">
        <v>492</v>
      </c>
      <c r="E198" t="s">
        <v>459</v>
      </c>
      <c r="F198">
        <v>1529</v>
      </c>
      <c r="G198">
        <v>40.22</v>
      </c>
      <c r="H198">
        <v>132.97</v>
      </c>
      <c r="I198">
        <v>32.799999999999997</v>
      </c>
      <c r="J198">
        <v>108.45</v>
      </c>
      <c r="K198">
        <v>142</v>
      </c>
      <c r="T198">
        <v>3</v>
      </c>
      <c r="U198">
        <v>2</v>
      </c>
      <c r="V198" t="s">
        <v>153</v>
      </c>
      <c r="W198">
        <v>132</v>
      </c>
      <c r="X198">
        <v>18</v>
      </c>
      <c r="Y198">
        <v>16</v>
      </c>
      <c r="Z198" t="s">
        <v>493</v>
      </c>
      <c r="AA198" t="s">
        <v>494</v>
      </c>
      <c r="AB198" t="s">
        <v>156</v>
      </c>
      <c r="AC198" t="s">
        <v>157</v>
      </c>
      <c r="AD198" t="s">
        <v>158</v>
      </c>
      <c r="AE198" t="s">
        <v>128</v>
      </c>
      <c r="AG198" t="s">
        <v>495</v>
      </c>
      <c r="AH198">
        <v>0</v>
      </c>
      <c r="AI198">
        <v>192</v>
      </c>
      <c r="AJ198">
        <v>13</v>
      </c>
      <c r="AK198">
        <v>1995</v>
      </c>
      <c r="AL198">
        <v>1.3</v>
      </c>
    </row>
    <row r="199" spans="1:38" x14ac:dyDescent="0.3">
      <c r="A199" t="s">
        <v>432</v>
      </c>
      <c r="B199">
        <v>23633</v>
      </c>
      <c r="C199">
        <v>4</v>
      </c>
      <c r="D199" t="s">
        <v>492</v>
      </c>
      <c r="E199" t="s">
        <v>459</v>
      </c>
      <c r="F199">
        <v>1529</v>
      </c>
      <c r="G199">
        <v>46.37</v>
      </c>
      <c r="H199">
        <v>153.29</v>
      </c>
      <c r="I199">
        <v>39.270000000000003</v>
      </c>
      <c r="J199">
        <v>129.85</v>
      </c>
      <c r="K199">
        <v>167</v>
      </c>
      <c r="T199">
        <v>4</v>
      </c>
      <c r="U199">
        <v>2</v>
      </c>
      <c r="V199" t="s">
        <v>153</v>
      </c>
      <c r="W199">
        <v>153</v>
      </c>
      <c r="X199">
        <v>18</v>
      </c>
      <c r="Y199">
        <v>16</v>
      </c>
      <c r="Z199" t="s">
        <v>493</v>
      </c>
      <c r="AA199" t="s">
        <v>494</v>
      </c>
      <c r="AB199" t="s">
        <v>156</v>
      </c>
      <c r="AC199" t="s">
        <v>157</v>
      </c>
      <c r="AD199" t="s">
        <v>158</v>
      </c>
      <c r="AE199" t="s">
        <v>128</v>
      </c>
      <c r="AG199" t="s">
        <v>495</v>
      </c>
      <c r="AH199">
        <v>0</v>
      </c>
      <c r="AI199">
        <v>192</v>
      </c>
      <c r="AJ199">
        <v>13</v>
      </c>
      <c r="AK199">
        <v>1995</v>
      </c>
      <c r="AL199">
        <v>1.3</v>
      </c>
    </row>
    <row r="200" spans="1:38" x14ac:dyDescent="0.3">
      <c r="A200" t="s">
        <v>432</v>
      </c>
      <c r="B200">
        <v>23633</v>
      </c>
      <c r="C200">
        <v>5</v>
      </c>
      <c r="D200" t="s">
        <v>492</v>
      </c>
      <c r="E200" t="s">
        <v>459</v>
      </c>
      <c r="F200">
        <v>1529</v>
      </c>
      <c r="G200">
        <v>57.26</v>
      </c>
      <c r="H200">
        <v>189.32</v>
      </c>
      <c r="I200">
        <v>48.96</v>
      </c>
      <c r="J200">
        <v>161.86000000000001</v>
      </c>
      <c r="K200">
        <v>34</v>
      </c>
      <c r="T200">
        <v>4</v>
      </c>
      <c r="U200">
        <v>2</v>
      </c>
      <c r="V200" t="s">
        <v>153</v>
      </c>
      <c r="W200">
        <v>189</v>
      </c>
      <c r="X200">
        <v>18</v>
      </c>
      <c r="Y200">
        <v>16</v>
      </c>
      <c r="Z200" t="s">
        <v>493</v>
      </c>
      <c r="AA200" t="s">
        <v>494</v>
      </c>
      <c r="AB200" t="s">
        <v>156</v>
      </c>
      <c r="AC200" t="s">
        <v>157</v>
      </c>
      <c r="AD200" t="s">
        <v>158</v>
      </c>
      <c r="AE200" t="s">
        <v>128</v>
      </c>
      <c r="AG200" t="s">
        <v>495</v>
      </c>
      <c r="AH200">
        <v>0</v>
      </c>
      <c r="AI200">
        <v>192</v>
      </c>
      <c r="AJ200">
        <v>13</v>
      </c>
      <c r="AK200">
        <v>1995</v>
      </c>
      <c r="AL200">
        <v>1.3</v>
      </c>
    </row>
    <row r="201" spans="1:38" x14ac:dyDescent="0.3">
      <c r="A201" t="s">
        <v>432</v>
      </c>
      <c r="B201">
        <v>23633</v>
      </c>
      <c r="C201">
        <v>6</v>
      </c>
      <c r="D201" t="s">
        <v>492</v>
      </c>
      <c r="E201" t="s">
        <v>459</v>
      </c>
      <c r="F201">
        <v>1529</v>
      </c>
      <c r="G201">
        <v>77.41</v>
      </c>
      <c r="H201">
        <v>255.92</v>
      </c>
      <c r="I201">
        <v>64.709999999999994</v>
      </c>
      <c r="J201">
        <v>213.92</v>
      </c>
      <c r="K201">
        <v>4</v>
      </c>
      <c r="T201">
        <v>4</v>
      </c>
      <c r="U201">
        <v>2</v>
      </c>
      <c r="V201" t="s">
        <v>153</v>
      </c>
      <c r="W201">
        <v>255</v>
      </c>
      <c r="X201">
        <v>18</v>
      </c>
      <c r="Y201">
        <v>16</v>
      </c>
      <c r="Z201" t="s">
        <v>493</v>
      </c>
      <c r="AA201" t="s">
        <v>494</v>
      </c>
      <c r="AB201" t="s">
        <v>156</v>
      </c>
      <c r="AC201" t="s">
        <v>157</v>
      </c>
      <c r="AD201" t="s">
        <v>158</v>
      </c>
      <c r="AE201" t="s">
        <v>128</v>
      </c>
      <c r="AG201" t="s">
        <v>495</v>
      </c>
      <c r="AH201">
        <v>0</v>
      </c>
      <c r="AI201">
        <v>192</v>
      </c>
      <c r="AJ201">
        <v>13</v>
      </c>
      <c r="AK201">
        <v>1995</v>
      </c>
      <c r="AL201">
        <v>1.3</v>
      </c>
    </row>
    <row r="202" spans="1:38" x14ac:dyDescent="0.3">
      <c r="A202" t="s">
        <v>432</v>
      </c>
      <c r="B202">
        <v>109511</v>
      </c>
      <c r="C202">
        <v>1</v>
      </c>
      <c r="D202" t="s">
        <v>496</v>
      </c>
      <c r="E202" t="s">
        <v>497</v>
      </c>
      <c r="F202">
        <v>1210</v>
      </c>
      <c r="G202">
        <v>34.71</v>
      </c>
      <c r="H202">
        <v>114.76</v>
      </c>
      <c r="I202">
        <v>25.7</v>
      </c>
      <c r="J202">
        <v>84.98</v>
      </c>
      <c r="K202">
        <v>301</v>
      </c>
      <c r="T202">
        <v>3</v>
      </c>
      <c r="U202">
        <v>2</v>
      </c>
      <c r="V202" t="s">
        <v>153</v>
      </c>
      <c r="W202" t="s">
        <v>498</v>
      </c>
      <c r="X202">
        <v>49</v>
      </c>
      <c r="Y202">
        <v>49</v>
      </c>
      <c r="Z202" t="s">
        <v>499</v>
      </c>
      <c r="AA202" t="s">
        <v>500</v>
      </c>
      <c r="AB202" t="s">
        <v>156</v>
      </c>
      <c r="AC202" t="s">
        <v>157</v>
      </c>
      <c r="AD202" t="s">
        <v>158</v>
      </c>
      <c r="AE202" t="s">
        <v>128</v>
      </c>
      <c r="AG202" t="s">
        <v>501</v>
      </c>
      <c r="AH202">
        <v>0</v>
      </c>
      <c r="AI202">
        <v>669</v>
      </c>
      <c r="AJ202">
        <v>29</v>
      </c>
      <c r="AK202">
        <v>1910</v>
      </c>
      <c r="AL202">
        <v>1.58</v>
      </c>
    </row>
    <row r="203" spans="1:38" x14ac:dyDescent="0.3">
      <c r="A203" t="s">
        <v>432</v>
      </c>
      <c r="B203">
        <v>109511</v>
      </c>
      <c r="C203">
        <v>2</v>
      </c>
      <c r="D203" t="s">
        <v>496</v>
      </c>
      <c r="E203" t="s">
        <v>497</v>
      </c>
      <c r="F203">
        <v>1210</v>
      </c>
      <c r="G203">
        <v>34.909999999999997</v>
      </c>
      <c r="H203">
        <v>115.41</v>
      </c>
      <c r="I203">
        <v>25.7</v>
      </c>
      <c r="J203">
        <v>84.98</v>
      </c>
      <c r="K203">
        <v>307</v>
      </c>
      <c r="T203">
        <v>3</v>
      </c>
      <c r="U203">
        <v>2</v>
      </c>
      <c r="V203" t="s">
        <v>153</v>
      </c>
      <c r="W203" t="s">
        <v>119</v>
      </c>
      <c r="X203">
        <v>49</v>
      </c>
      <c r="Y203">
        <v>49</v>
      </c>
      <c r="Z203" t="s">
        <v>499</v>
      </c>
      <c r="AA203" t="s">
        <v>500</v>
      </c>
      <c r="AB203" t="s">
        <v>156</v>
      </c>
      <c r="AC203" t="s">
        <v>157</v>
      </c>
      <c r="AD203" t="s">
        <v>158</v>
      </c>
      <c r="AE203" t="s">
        <v>128</v>
      </c>
      <c r="AG203" t="s">
        <v>501</v>
      </c>
      <c r="AH203">
        <v>0</v>
      </c>
      <c r="AI203">
        <v>669</v>
      </c>
      <c r="AJ203">
        <v>29</v>
      </c>
      <c r="AK203">
        <v>1910</v>
      </c>
      <c r="AL203">
        <v>1.58</v>
      </c>
    </row>
    <row r="204" spans="1:38" x14ac:dyDescent="0.3">
      <c r="A204" t="s">
        <v>432</v>
      </c>
      <c r="B204">
        <v>109511</v>
      </c>
      <c r="C204">
        <v>3</v>
      </c>
      <c r="D204" t="s">
        <v>496</v>
      </c>
      <c r="E204" t="s">
        <v>497</v>
      </c>
      <c r="F204">
        <v>1210</v>
      </c>
      <c r="G204">
        <v>34.81</v>
      </c>
      <c r="H204">
        <v>115.1</v>
      </c>
      <c r="I204">
        <v>25.7</v>
      </c>
      <c r="J204">
        <v>84.99</v>
      </c>
      <c r="K204">
        <v>280</v>
      </c>
      <c r="T204">
        <v>3</v>
      </c>
      <c r="U204">
        <v>2</v>
      </c>
      <c r="V204" t="s">
        <v>153</v>
      </c>
      <c r="W204" t="s">
        <v>502</v>
      </c>
      <c r="X204">
        <v>49</v>
      </c>
      <c r="Y204">
        <v>49</v>
      </c>
      <c r="Z204" t="s">
        <v>499</v>
      </c>
      <c r="AA204" t="s">
        <v>500</v>
      </c>
      <c r="AB204" t="s">
        <v>156</v>
      </c>
      <c r="AC204" t="s">
        <v>157</v>
      </c>
      <c r="AD204" t="s">
        <v>158</v>
      </c>
      <c r="AE204" t="s">
        <v>128</v>
      </c>
      <c r="AG204" t="s">
        <v>501</v>
      </c>
      <c r="AH204">
        <v>0</v>
      </c>
      <c r="AI204">
        <v>669</v>
      </c>
      <c r="AJ204">
        <v>29</v>
      </c>
      <c r="AK204">
        <v>1910</v>
      </c>
      <c r="AL204">
        <v>1.58</v>
      </c>
    </row>
    <row r="205" spans="1:38" x14ac:dyDescent="0.3">
      <c r="A205" t="s">
        <v>432</v>
      </c>
      <c r="B205">
        <v>109511</v>
      </c>
      <c r="C205">
        <v>4</v>
      </c>
      <c r="D205" t="s">
        <v>496</v>
      </c>
      <c r="E205" t="s">
        <v>497</v>
      </c>
      <c r="F205">
        <v>1210</v>
      </c>
      <c r="G205">
        <v>34.799999999999997</v>
      </c>
      <c r="H205">
        <v>115.06</v>
      </c>
      <c r="I205">
        <v>25.7</v>
      </c>
      <c r="J205">
        <v>84.98</v>
      </c>
      <c r="K205">
        <v>280</v>
      </c>
      <c r="T205">
        <v>3</v>
      </c>
      <c r="U205">
        <v>2</v>
      </c>
      <c r="V205" t="s">
        <v>153</v>
      </c>
      <c r="W205" t="s">
        <v>503</v>
      </c>
      <c r="X205">
        <v>49</v>
      </c>
      <c r="Y205">
        <v>49</v>
      </c>
      <c r="Z205" t="s">
        <v>499</v>
      </c>
      <c r="AA205" t="s">
        <v>500</v>
      </c>
      <c r="AB205" t="s">
        <v>156</v>
      </c>
      <c r="AC205" t="s">
        <v>157</v>
      </c>
      <c r="AD205" t="s">
        <v>158</v>
      </c>
      <c r="AE205" t="s">
        <v>128</v>
      </c>
      <c r="AG205" t="s">
        <v>501</v>
      </c>
      <c r="AH205">
        <v>0</v>
      </c>
      <c r="AI205">
        <v>669</v>
      </c>
      <c r="AJ205">
        <v>29</v>
      </c>
      <c r="AK205">
        <v>1910</v>
      </c>
      <c r="AL205">
        <v>1.58</v>
      </c>
    </row>
    <row r="206" spans="1:38" x14ac:dyDescent="0.3">
      <c r="A206" t="s">
        <v>432</v>
      </c>
      <c r="B206">
        <v>109511</v>
      </c>
      <c r="C206">
        <v>5</v>
      </c>
      <c r="D206" t="s">
        <v>496</v>
      </c>
      <c r="E206" t="s">
        <v>497</v>
      </c>
      <c r="F206">
        <v>1210</v>
      </c>
      <c r="G206">
        <v>52.65</v>
      </c>
      <c r="H206">
        <v>174.07</v>
      </c>
      <c r="I206">
        <v>39.03</v>
      </c>
      <c r="J206">
        <v>129.04</v>
      </c>
      <c r="K206">
        <v>28</v>
      </c>
      <c r="T206">
        <v>3</v>
      </c>
      <c r="U206">
        <v>2</v>
      </c>
      <c r="V206" t="s">
        <v>153</v>
      </c>
      <c r="W206">
        <v>174</v>
      </c>
      <c r="X206">
        <v>49</v>
      </c>
      <c r="Y206">
        <v>49</v>
      </c>
      <c r="Z206" t="s">
        <v>499</v>
      </c>
      <c r="AA206" t="s">
        <v>500</v>
      </c>
      <c r="AB206" t="s">
        <v>156</v>
      </c>
      <c r="AC206" t="s">
        <v>157</v>
      </c>
      <c r="AD206" t="s">
        <v>158</v>
      </c>
      <c r="AE206" t="s">
        <v>128</v>
      </c>
      <c r="AG206" t="s">
        <v>501</v>
      </c>
      <c r="AH206">
        <v>0</v>
      </c>
      <c r="AI206">
        <v>669</v>
      </c>
      <c r="AJ206">
        <v>29</v>
      </c>
      <c r="AK206">
        <v>1910</v>
      </c>
      <c r="AL206">
        <v>1.58</v>
      </c>
    </row>
    <row r="207" spans="1:38" x14ac:dyDescent="0.3">
      <c r="A207" t="s">
        <v>432</v>
      </c>
      <c r="B207">
        <v>109511</v>
      </c>
      <c r="C207">
        <v>6</v>
      </c>
      <c r="D207" t="s">
        <v>496</v>
      </c>
      <c r="E207" t="s">
        <v>497</v>
      </c>
      <c r="F207">
        <v>1210</v>
      </c>
      <c r="G207">
        <v>56.35</v>
      </c>
      <c r="H207">
        <v>186.29</v>
      </c>
      <c r="I207">
        <v>41.91</v>
      </c>
      <c r="J207">
        <v>138.55000000000001</v>
      </c>
      <c r="K207">
        <v>7</v>
      </c>
      <c r="T207">
        <v>3</v>
      </c>
      <c r="U207">
        <v>2</v>
      </c>
      <c r="V207" t="s">
        <v>153</v>
      </c>
      <c r="W207">
        <v>186</v>
      </c>
      <c r="X207">
        <v>49</v>
      </c>
      <c r="Y207">
        <v>49</v>
      </c>
      <c r="Z207" t="s">
        <v>499</v>
      </c>
      <c r="AA207" t="s">
        <v>500</v>
      </c>
      <c r="AB207" t="s">
        <v>156</v>
      </c>
      <c r="AC207" t="s">
        <v>157</v>
      </c>
      <c r="AD207" t="s">
        <v>158</v>
      </c>
      <c r="AE207" t="s">
        <v>128</v>
      </c>
      <c r="AG207" t="s">
        <v>501</v>
      </c>
      <c r="AH207">
        <v>0</v>
      </c>
      <c r="AI207">
        <v>669</v>
      </c>
      <c r="AJ207">
        <v>29</v>
      </c>
      <c r="AK207">
        <v>1910</v>
      </c>
      <c r="AL207">
        <v>1.58</v>
      </c>
    </row>
    <row r="208" spans="1:38" x14ac:dyDescent="0.3">
      <c r="A208" t="s">
        <v>432</v>
      </c>
      <c r="B208">
        <v>109511</v>
      </c>
      <c r="C208">
        <v>7</v>
      </c>
      <c r="D208" t="s">
        <v>496</v>
      </c>
      <c r="E208" t="s">
        <v>497</v>
      </c>
      <c r="F208">
        <v>1210</v>
      </c>
      <c r="G208">
        <v>62.04</v>
      </c>
      <c r="H208">
        <v>205.11</v>
      </c>
      <c r="I208">
        <v>45.26</v>
      </c>
      <c r="J208">
        <v>149.63</v>
      </c>
      <c r="K208">
        <v>7</v>
      </c>
      <c r="T208">
        <v>3</v>
      </c>
      <c r="U208">
        <v>3</v>
      </c>
      <c r="V208" t="s">
        <v>153</v>
      </c>
      <c r="W208">
        <v>205</v>
      </c>
      <c r="X208">
        <v>49</v>
      </c>
      <c r="Y208">
        <v>49</v>
      </c>
      <c r="Z208" t="s">
        <v>499</v>
      </c>
      <c r="AA208" t="s">
        <v>500</v>
      </c>
      <c r="AB208" t="s">
        <v>156</v>
      </c>
      <c r="AC208" t="s">
        <v>157</v>
      </c>
      <c r="AD208" t="s">
        <v>158</v>
      </c>
      <c r="AE208" t="s">
        <v>128</v>
      </c>
      <c r="AG208" t="s">
        <v>501</v>
      </c>
      <c r="AH208">
        <v>0</v>
      </c>
      <c r="AI208">
        <v>669</v>
      </c>
      <c r="AJ208">
        <v>29</v>
      </c>
      <c r="AK208">
        <v>1910</v>
      </c>
      <c r="AL208">
        <v>1.58</v>
      </c>
    </row>
    <row r="209" spans="1:38" x14ac:dyDescent="0.3">
      <c r="A209" t="s">
        <v>432</v>
      </c>
      <c r="B209">
        <v>108592</v>
      </c>
      <c r="C209">
        <v>1</v>
      </c>
      <c r="D209" t="s">
        <v>504</v>
      </c>
      <c r="E209" t="s">
        <v>395</v>
      </c>
      <c r="F209">
        <v>2500</v>
      </c>
      <c r="G209">
        <v>25.89</v>
      </c>
      <c r="H209">
        <v>85.6</v>
      </c>
      <c r="I209">
        <v>18.13</v>
      </c>
      <c r="J209">
        <v>59.95</v>
      </c>
      <c r="K209">
        <v>483</v>
      </c>
      <c r="T209">
        <v>3</v>
      </c>
      <c r="U209">
        <v>2</v>
      </c>
      <c r="V209" t="s">
        <v>153</v>
      </c>
      <c r="W209" t="s">
        <v>110</v>
      </c>
      <c r="X209">
        <v>39</v>
      </c>
      <c r="Y209">
        <v>35</v>
      </c>
      <c r="Z209" t="s">
        <v>505</v>
      </c>
      <c r="AA209" t="s">
        <v>506</v>
      </c>
      <c r="AB209" t="s">
        <v>156</v>
      </c>
      <c r="AC209" t="s">
        <v>157</v>
      </c>
      <c r="AD209" t="s">
        <v>158</v>
      </c>
      <c r="AE209" t="s">
        <v>128</v>
      </c>
      <c r="AG209" t="s">
        <v>507</v>
      </c>
      <c r="AH209">
        <v>0</v>
      </c>
      <c r="AI209">
        <v>369</v>
      </c>
      <c r="AJ209">
        <v>65</v>
      </c>
      <c r="AK209">
        <v>3403</v>
      </c>
      <c r="AL209">
        <v>1.36</v>
      </c>
    </row>
    <row r="210" spans="1:38" x14ac:dyDescent="0.3">
      <c r="A210" t="s">
        <v>432</v>
      </c>
      <c r="B210">
        <v>108592</v>
      </c>
      <c r="C210">
        <v>2</v>
      </c>
      <c r="D210" t="s">
        <v>504</v>
      </c>
      <c r="E210" t="s">
        <v>395</v>
      </c>
      <c r="F210">
        <v>2500</v>
      </c>
      <c r="G210">
        <v>25.87</v>
      </c>
      <c r="H210">
        <v>85.53</v>
      </c>
      <c r="I210">
        <v>18.12</v>
      </c>
      <c r="J210">
        <v>59.93</v>
      </c>
      <c r="K210">
        <v>150</v>
      </c>
      <c r="T210">
        <v>3</v>
      </c>
      <c r="U210">
        <v>2</v>
      </c>
      <c r="V210" t="s">
        <v>153</v>
      </c>
      <c r="W210" t="s">
        <v>508</v>
      </c>
      <c r="X210">
        <v>39</v>
      </c>
      <c r="Y210">
        <v>35</v>
      </c>
      <c r="Z210" t="s">
        <v>505</v>
      </c>
      <c r="AA210" t="s">
        <v>506</v>
      </c>
      <c r="AB210" t="s">
        <v>156</v>
      </c>
      <c r="AC210" t="s">
        <v>157</v>
      </c>
      <c r="AD210" t="s">
        <v>158</v>
      </c>
      <c r="AE210" t="s">
        <v>128</v>
      </c>
      <c r="AG210" t="s">
        <v>507</v>
      </c>
      <c r="AH210">
        <v>0</v>
      </c>
      <c r="AI210">
        <v>369</v>
      </c>
      <c r="AJ210">
        <v>65</v>
      </c>
      <c r="AK210">
        <v>3403</v>
      </c>
      <c r="AL210">
        <v>1.36</v>
      </c>
    </row>
    <row r="211" spans="1:38" x14ac:dyDescent="0.3">
      <c r="A211" t="s">
        <v>432</v>
      </c>
      <c r="B211">
        <v>108592</v>
      </c>
      <c r="C211">
        <v>3</v>
      </c>
      <c r="D211" t="s">
        <v>504</v>
      </c>
      <c r="E211" t="s">
        <v>395</v>
      </c>
      <c r="F211">
        <v>2500</v>
      </c>
      <c r="G211">
        <v>30.45</v>
      </c>
      <c r="H211">
        <v>100.67</v>
      </c>
      <c r="I211">
        <v>21.46</v>
      </c>
      <c r="J211">
        <v>70.97</v>
      </c>
      <c r="K211">
        <v>226</v>
      </c>
      <c r="T211">
        <v>3</v>
      </c>
      <c r="U211">
        <v>2</v>
      </c>
      <c r="V211" t="s">
        <v>153</v>
      </c>
      <c r="W211" t="s">
        <v>108</v>
      </c>
      <c r="X211">
        <v>39</v>
      </c>
      <c r="Y211">
        <v>35</v>
      </c>
      <c r="Z211" t="s">
        <v>505</v>
      </c>
      <c r="AA211" t="s">
        <v>506</v>
      </c>
      <c r="AB211" t="s">
        <v>156</v>
      </c>
      <c r="AC211" t="s">
        <v>157</v>
      </c>
      <c r="AD211" t="s">
        <v>158</v>
      </c>
      <c r="AE211" t="s">
        <v>128</v>
      </c>
      <c r="AG211" t="s">
        <v>507</v>
      </c>
      <c r="AH211">
        <v>0</v>
      </c>
      <c r="AI211">
        <v>369</v>
      </c>
      <c r="AJ211">
        <v>65</v>
      </c>
      <c r="AK211">
        <v>3403</v>
      </c>
      <c r="AL211">
        <v>1.36</v>
      </c>
    </row>
    <row r="212" spans="1:38" x14ac:dyDescent="0.3">
      <c r="A212" t="s">
        <v>432</v>
      </c>
      <c r="B212">
        <v>108592</v>
      </c>
      <c r="C212">
        <v>4</v>
      </c>
      <c r="D212" t="s">
        <v>504</v>
      </c>
      <c r="E212" t="s">
        <v>395</v>
      </c>
      <c r="F212">
        <v>2500</v>
      </c>
      <c r="G212">
        <v>30.77</v>
      </c>
      <c r="H212">
        <v>101.72</v>
      </c>
      <c r="I212">
        <v>21.46</v>
      </c>
      <c r="J212">
        <v>70.95</v>
      </c>
      <c r="K212">
        <v>221</v>
      </c>
      <c r="T212">
        <v>3</v>
      </c>
      <c r="U212">
        <v>2</v>
      </c>
      <c r="V212" t="s">
        <v>153</v>
      </c>
      <c r="W212" t="s">
        <v>509</v>
      </c>
      <c r="X212">
        <v>39</v>
      </c>
      <c r="Y212">
        <v>35</v>
      </c>
      <c r="Z212" t="s">
        <v>505</v>
      </c>
      <c r="AA212" t="s">
        <v>506</v>
      </c>
      <c r="AB212" t="s">
        <v>156</v>
      </c>
      <c r="AC212" t="s">
        <v>157</v>
      </c>
      <c r="AD212" t="s">
        <v>158</v>
      </c>
      <c r="AE212" t="s">
        <v>128</v>
      </c>
      <c r="AG212" t="s">
        <v>507</v>
      </c>
      <c r="AH212">
        <v>0</v>
      </c>
      <c r="AI212">
        <v>369</v>
      </c>
      <c r="AJ212">
        <v>65</v>
      </c>
      <c r="AK212">
        <v>3403</v>
      </c>
      <c r="AL212">
        <v>1.36</v>
      </c>
    </row>
    <row r="213" spans="1:38" x14ac:dyDescent="0.3">
      <c r="A213" t="s">
        <v>432</v>
      </c>
      <c r="B213">
        <v>108592</v>
      </c>
      <c r="C213">
        <v>5</v>
      </c>
      <c r="D213" t="s">
        <v>504</v>
      </c>
      <c r="E213" t="s">
        <v>395</v>
      </c>
      <c r="F213">
        <v>2500</v>
      </c>
      <c r="G213">
        <v>36.25</v>
      </c>
      <c r="H213">
        <v>119.85</v>
      </c>
      <c r="I213">
        <v>25.69</v>
      </c>
      <c r="J213">
        <v>84.95</v>
      </c>
      <c r="K213">
        <v>75</v>
      </c>
      <c r="T213">
        <v>3</v>
      </c>
      <c r="U213">
        <v>2</v>
      </c>
      <c r="V213" t="s">
        <v>153</v>
      </c>
      <c r="W213" t="s">
        <v>510</v>
      </c>
      <c r="X213">
        <v>39</v>
      </c>
      <c r="Y213">
        <v>35</v>
      </c>
      <c r="Z213" t="s">
        <v>505</v>
      </c>
      <c r="AA213" t="s">
        <v>506</v>
      </c>
      <c r="AB213" t="s">
        <v>156</v>
      </c>
      <c r="AC213" t="s">
        <v>157</v>
      </c>
      <c r="AD213" t="s">
        <v>158</v>
      </c>
      <c r="AE213" t="s">
        <v>128</v>
      </c>
      <c r="AG213" t="s">
        <v>507</v>
      </c>
      <c r="AH213">
        <v>0</v>
      </c>
      <c r="AI213">
        <v>369</v>
      </c>
      <c r="AJ213">
        <v>65</v>
      </c>
      <c r="AK213">
        <v>3403</v>
      </c>
      <c r="AL213">
        <v>1.36</v>
      </c>
    </row>
    <row r="214" spans="1:38" x14ac:dyDescent="0.3">
      <c r="A214" t="s">
        <v>432</v>
      </c>
      <c r="B214">
        <v>108592</v>
      </c>
      <c r="C214">
        <v>6</v>
      </c>
      <c r="D214" t="s">
        <v>504</v>
      </c>
      <c r="E214" t="s">
        <v>395</v>
      </c>
      <c r="F214">
        <v>2500</v>
      </c>
      <c r="G214">
        <v>36.299999999999997</v>
      </c>
      <c r="H214">
        <v>120.03</v>
      </c>
      <c r="I214">
        <v>25.7</v>
      </c>
      <c r="J214">
        <v>84.96</v>
      </c>
      <c r="K214">
        <v>438</v>
      </c>
      <c r="T214">
        <v>3</v>
      </c>
      <c r="U214">
        <v>2</v>
      </c>
      <c r="V214" t="s">
        <v>153</v>
      </c>
      <c r="W214" t="s">
        <v>103</v>
      </c>
      <c r="X214">
        <v>39</v>
      </c>
      <c r="Y214">
        <v>35</v>
      </c>
      <c r="Z214" t="s">
        <v>505</v>
      </c>
      <c r="AA214" t="s">
        <v>506</v>
      </c>
      <c r="AB214" t="s">
        <v>156</v>
      </c>
      <c r="AC214" t="s">
        <v>157</v>
      </c>
      <c r="AD214" t="s">
        <v>158</v>
      </c>
      <c r="AE214" t="s">
        <v>128</v>
      </c>
      <c r="AG214" t="s">
        <v>507</v>
      </c>
      <c r="AH214">
        <v>0</v>
      </c>
      <c r="AI214">
        <v>369</v>
      </c>
      <c r="AJ214">
        <v>65</v>
      </c>
      <c r="AK214">
        <v>3403</v>
      </c>
      <c r="AL214">
        <v>1.36</v>
      </c>
    </row>
    <row r="215" spans="1:38" x14ac:dyDescent="0.3">
      <c r="A215" t="s">
        <v>432</v>
      </c>
      <c r="B215">
        <v>108592</v>
      </c>
      <c r="C215">
        <v>7</v>
      </c>
      <c r="D215" t="s">
        <v>504</v>
      </c>
      <c r="E215" t="s">
        <v>395</v>
      </c>
      <c r="F215">
        <v>2500</v>
      </c>
      <c r="G215">
        <v>36.590000000000003</v>
      </c>
      <c r="H215">
        <v>120.97</v>
      </c>
      <c r="I215">
        <v>25.7</v>
      </c>
      <c r="J215">
        <v>84.97</v>
      </c>
      <c r="K215">
        <v>379</v>
      </c>
      <c r="T215">
        <v>3</v>
      </c>
      <c r="U215">
        <v>2</v>
      </c>
      <c r="V215" t="s">
        <v>153</v>
      </c>
      <c r="W215" t="s">
        <v>511</v>
      </c>
      <c r="X215">
        <v>39</v>
      </c>
      <c r="Y215">
        <v>35</v>
      </c>
      <c r="Z215" t="s">
        <v>505</v>
      </c>
      <c r="AA215" t="s">
        <v>506</v>
      </c>
      <c r="AB215" t="s">
        <v>156</v>
      </c>
      <c r="AC215" t="s">
        <v>157</v>
      </c>
      <c r="AD215" t="s">
        <v>158</v>
      </c>
      <c r="AE215" t="s">
        <v>128</v>
      </c>
      <c r="AG215" t="s">
        <v>507</v>
      </c>
      <c r="AH215">
        <v>0</v>
      </c>
      <c r="AI215">
        <v>369</v>
      </c>
      <c r="AJ215">
        <v>65</v>
      </c>
      <c r="AK215">
        <v>3403</v>
      </c>
      <c r="AL215">
        <v>1.36</v>
      </c>
    </row>
    <row r="216" spans="1:38" x14ac:dyDescent="0.3">
      <c r="A216" t="s">
        <v>432</v>
      </c>
      <c r="B216">
        <v>108592</v>
      </c>
      <c r="C216">
        <v>8</v>
      </c>
      <c r="D216" t="s">
        <v>504</v>
      </c>
      <c r="E216" t="s">
        <v>395</v>
      </c>
      <c r="F216">
        <v>2500</v>
      </c>
      <c r="G216">
        <v>36.31</v>
      </c>
      <c r="H216">
        <v>120.05</v>
      </c>
      <c r="I216">
        <v>25.68</v>
      </c>
      <c r="J216">
        <v>84.92</v>
      </c>
      <c r="K216">
        <v>301</v>
      </c>
      <c r="T216">
        <v>3</v>
      </c>
      <c r="U216">
        <v>2</v>
      </c>
      <c r="V216" t="s">
        <v>153</v>
      </c>
      <c r="W216" t="s">
        <v>512</v>
      </c>
      <c r="X216">
        <v>39</v>
      </c>
      <c r="Y216">
        <v>35</v>
      </c>
      <c r="Z216" t="s">
        <v>505</v>
      </c>
      <c r="AA216" t="s">
        <v>506</v>
      </c>
      <c r="AB216" t="s">
        <v>156</v>
      </c>
      <c r="AC216" t="s">
        <v>157</v>
      </c>
      <c r="AD216" t="s">
        <v>158</v>
      </c>
      <c r="AE216" t="s">
        <v>128</v>
      </c>
      <c r="AG216" t="s">
        <v>507</v>
      </c>
      <c r="AH216">
        <v>0</v>
      </c>
      <c r="AI216">
        <v>369</v>
      </c>
      <c r="AJ216">
        <v>65</v>
      </c>
      <c r="AK216">
        <v>3403</v>
      </c>
      <c r="AL216">
        <v>1.36</v>
      </c>
    </row>
    <row r="217" spans="1:38" x14ac:dyDescent="0.3">
      <c r="A217" t="s">
        <v>432</v>
      </c>
      <c r="B217">
        <v>108592</v>
      </c>
      <c r="C217">
        <v>9</v>
      </c>
      <c r="D217" t="s">
        <v>504</v>
      </c>
      <c r="E217" t="s">
        <v>395</v>
      </c>
      <c r="F217">
        <v>2500</v>
      </c>
      <c r="G217">
        <v>36.43</v>
      </c>
      <c r="H217">
        <v>120.44</v>
      </c>
      <c r="I217">
        <v>25.69</v>
      </c>
      <c r="J217">
        <v>84.93</v>
      </c>
      <c r="K217">
        <v>77</v>
      </c>
      <c r="T217">
        <v>3</v>
      </c>
      <c r="U217">
        <v>2</v>
      </c>
      <c r="V217" t="s">
        <v>153</v>
      </c>
      <c r="W217" t="s">
        <v>513</v>
      </c>
      <c r="X217">
        <v>39</v>
      </c>
      <c r="Y217">
        <v>35</v>
      </c>
      <c r="Z217" t="s">
        <v>505</v>
      </c>
      <c r="AA217" t="s">
        <v>506</v>
      </c>
      <c r="AB217" t="s">
        <v>156</v>
      </c>
      <c r="AC217" t="s">
        <v>157</v>
      </c>
      <c r="AD217" t="s">
        <v>158</v>
      </c>
      <c r="AE217" t="s">
        <v>128</v>
      </c>
      <c r="AG217" t="s">
        <v>507</v>
      </c>
      <c r="AH217">
        <v>0</v>
      </c>
      <c r="AI217">
        <v>369</v>
      </c>
      <c r="AJ217">
        <v>65</v>
      </c>
      <c r="AK217">
        <v>3403</v>
      </c>
      <c r="AL217">
        <v>1.36</v>
      </c>
    </row>
    <row r="218" spans="1:38" x14ac:dyDescent="0.3">
      <c r="A218" t="s">
        <v>432</v>
      </c>
      <c r="B218">
        <v>108592</v>
      </c>
      <c r="C218">
        <v>10</v>
      </c>
      <c r="D218" t="s">
        <v>504</v>
      </c>
      <c r="E218" t="s">
        <v>395</v>
      </c>
      <c r="F218">
        <v>2500</v>
      </c>
      <c r="G218">
        <v>36.47</v>
      </c>
      <c r="H218">
        <v>120.59</v>
      </c>
      <c r="I218">
        <v>25.7</v>
      </c>
      <c r="J218">
        <v>84.97</v>
      </c>
      <c r="K218">
        <v>75</v>
      </c>
      <c r="T218">
        <v>3</v>
      </c>
      <c r="U218">
        <v>2</v>
      </c>
      <c r="V218" t="s">
        <v>153</v>
      </c>
      <c r="W218" t="s">
        <v>514</v>
      </c>
      <c r="X218">
        <v>39</v>
      </c>
      <c r="Y218">
        <v>35</v>
      </c>
      <c r="Z218" t="s">
        <v>505</v>
      </c>
      <c r="AA218" t="s">
        <v>506</v>
      </c>
      <c r="AB218" t="s">
        <v>156</v>
      </c>
      <c r="AC218" t="s">
        <v>157</v>
      </c>
      <c r="AD218" t="s">
        <v>158</v>
      </c>
      <c r="AE218" t="s">
        <v>128</v>
      </c>
      <c r="AG218" t="s">
        <v>507</v>
      </c>
      <c r="AH218">
        <v>0</v>
      </c>
      <c r="AI218">
        <v>369</v>
      </c>
      <c r="AJ218">
        <v>65</v>
      </c>
      <c r="AK218">
        <v>3403</v>
      </c>
      <c r="AL218">
        <v>1.36</v>
      </c>
    </row>
    <row r="219" spans="1:38" x14ac:dyDescent="0.3">
      <c r="A219" t="s">
        <v>432</v>
      </c>
      <c r="B219">
        <v>108592</v>
      </c>
      <c r="C219">
        <v>11</v>
      </c>
      <c r="D219" t="s">
        <v>504</v>
      </c>
      <c r="E219" t="s">
        <v>395</v>
      </c>
      <c r="F219">
        <v>2500</v>
      </c>
      <c r="G219">
        <v>46.17</v>
      </c>
      <c r="H219">
        <v>152.63</v>
      </c>
      <c r="I219">
        <v>33.07</v>
      </c>
      <c r="J219">
        <v>109.35</v>
      </c>
      <c r="K219">
        <v>75</v>
      </c>
      <c r="T219">
        <v>4</v>
      </c>
      <c r="U219">
        <v>2</v>
      </c>
      <c r="V219" t="s">
        <v>153</v>
      </c>
      <c r="W219" t="s">
        <v>120</v>
      </c>
      <c r="X219">
        <v>39</v>
      </c>
      <c r="Y219">
        <v>35</v>
      </c>
      <c r="Z219" t="s">
        <v>505</v>
      </c>
      <c r="AA219" t="s">
        <v>506</v>
      </c>
      <c r="AB219" t="s">
        <v>156</v>
      </c>
      <c r="AC219" t="s">
        <v>157</v>
      </c>
      <c r="AD219" t="s">
        <v>158</v>
      </c>
      <c r="AE219" t="s">
        <v>128</v>
      </c>
      <c r="AG219" t="s">
        <v>507</v>
      </c>
      <c r="AH219">
        <v>0</v>
      </c>
      <c r="AI219">
        <v>369</v>
      </c>
      <c r="AJ219">
        <v>65</v>
      </c>
      <c r="AK219">
        <v>3403</v>
      </c>
      <c r="AL219">
        <v>1.36</v>
      </c>
    </row>
    <row r="220" spans="1:38" x14ac:dyDescent="0.3">
      <c r="A220" t="s">
        <v>432</v>
      </c>
      <c r="B220">
        <v>17765</v>
      </c>
      <c r="C220">
        <v>1</v>
      </c>
      <c r="D220" t="s">
        <v>515</v>
      </c>
      <c r="E220" t="s">
        <v>516</v>
      </c>
      <c r="F220">
        <v>818</v>
      </c>
      <c r="G220">
        <v>23.47</v>
      </c>
      <c r="H220">
        <v>77.59</v>
      </c>
      <c r="I220">
        <v>17.98</v>
      </c>
      <c r="J220">
        <v>59.44</v>
      </c>
      <c r="K220">
        <v>227</v>
      </c>
      <c r="T220">
        <v>3</v>
      </c>
      <c r="U220">
        <v>2</v>
      </c>
      <c r="V220" t="s">
        <v>153</v>
      </c>
      <c r="W220">
        <v>77</v>
      </c>
      <c r="X220">
        <v>15</v>
      </c>
      <c r="Y220">
        <v>14</v>
      </c>
      <c r="Z220" t="s">
        <v>517</v>
      </c>
      <c r="AA220" t="s">
        <v>518</v>
      </c>
      <c r="AB220" t="s">
        <v>156</v>
      </c>
      <c r="AC220" t="s">
        <v>157</v>
      </c>
      <c r="AD220" t="s">
        <v>158</v>
      </c>
      <c r="AE220" t="s">
        <v>128</v>
      </c>
      <c r="AG220" t="s">
        <v>519</v>
      </c>
      <c r="AH220">
        <v>0</v>
      </c>
      <c r="AI220">
        <v>179</v>
      </c>
      <c r="AJ220">
        <v>14</v>
      </c>
      <c r="AK220">
        <v>1054</v>
      </c>
      <c r="AL220">
        <v>1.29</v>
      </c>
    </row>
    <row r="221" spans="1:38" x14ac:dyDescent="0.3">
      <c r="A221" t="s">
        <v>432</v>
      </c>
      <c r="B221">
        <v>17765</v>
      </c>
      <c r="C221">
        <v>2</v>
      </c>
      <c r="D221" t="s">
        <v>515</v>
      </c>
      <c r="E221" t="s">
        <v>516</v>
      </c>
      <c r="F221">
        <v>818</v>
      </c>
      <c r="G221">
        <v>32.119999999999997</v>
      </c>
      <c r="H221">
        <v>106.2</v>
      </c>
      <c r="I221">
        <v>25.66</v>
      </c>
      <c r="J221">
        <v>84.83</v>
      </c>
      <c r="K221">
        <v>351</v>
      </c>
      <c r="T221">
        <v>3</v>
      </c>
      <c r="U221">
        <v>2</v>
      </c>
      <c r="V221" t="s">
        <v>153</v>
      </c>
      <c r="W221" t="s">
        <v>81</v>
      </c>
      <c r="X221">
        <v>15</v>
      </c>
      <c r="Y221">
        <v>14</v>
      </c>
      <c r="Z221" t="s">
        <v>517</v>
      </c>
      <c r="AA221" t="s">
        <v>518</v>
      </c>
      <c r="AB221" t="s">
        <v>156</v>
      </c>
      <c r="AC221" t="s">
        <v>157</v>
      </c>
      <c r="AD221" t="s">
        <v>158</v>
      </c>
      <c r="AE221" t="s">
        <v>128</v>
      </c>
      <c r="AG221" t="s">
        <v>519</v>
      </c>
      <c r="AH221">
        <v>0</v>
      </c>
      <c r="AI221">
        <v>179</v>
      </c>
      <c r="AJ221">
        <v>14</v>
      </c>
      <c r="AK221">
        <v>1054</v>
      </c>
      <c r="AL221">
        <v>1.29</v>
      </c>
    </row>
    <row r="222" spans="1:38" x14ac:dyDescent="0.3">
      <c r="A222" t="s">
        <v>432</v>
      </c>
      <c r="B222">
        <v>17765</v>
      </c>
      <c r="C222">
        <v>3</v>
      </c>
      <c r="D222" t="s">
        <v>515</v>
      </c>
      <c r="E222" t="s">
        <v>516</v>
      </c>
      <c r="F222">
        <v>818</v>
      </c>
      <c r="G222">
        <v>32.520000000000003</v>
      </c>
      <c r="H222">
        <v>107.51</v>
      </c>
      <c r="I222">
        <v>25.66</v>
      </c>
      <c r="J222">
        <v>84.83</v>
      </c>
      <c r="K222">
        <v>60</v>
      </c>
      <c r="T222">
        <v>3</v>
      </c>
      <c r="U222">
        <v>2</v>
      </c>
      <c r="V222" t="s">
        <v>153</v>
      </c>
      <c r="W222" t="s">
        <v>520</v>
      </c>
      <c r="X222">
        <v>15</v>
      </c>
      <c r="Y222">
        <v>14</v>
      </c>
      <c r="Z222" t="s">
        <v>517</v>
      </c>
      <c r="AA222" t="s">
        <v>518</v>
      </c>
      <c r="AB222" t="s">
        <v>156</v>
      </c>
      <c r="AC222" t="s">
        <v>157</v>
      </c>
      <c r="AD222" t="s">
        <v>158</v>
      </c>
      <c r="AE222" t="s">
        <v>128</v>
      </c>
      <c r="AG222" t="s">
        <v>519</v>
      </c>
      <c r="AH222">
        <v>0</v>
      </c>
      <c r="AI222">
        <v>179</v>
      </c>
      <c r="AJ222">
        <v>14</v>
      </c>
      <c r="AK222">
        <v>1054</v>
      </c>
      <c r="AL222">
        <v>1.29</v>
      </c>
    </row>
    <row r="223" spans="1:38" x14ac:dyDescent="0.3">
      <c r="A223" t="s">
        <v>432</v>
      </c>
      <c r="B223">
        <v>17765</v>
      </c>
      <c r="C223">
        <v>4</v>
      </c>
      <c r="D223" t="s">
        <v>515</v>
      </c>
      <c r="E223" t="s">
        <v>516</v>
      </c>
      <c r="F223">
        <v>818</v>
      </c>
      <c r="G223">
        <v>44.18</v>
      </c>
      <c r="H223">
        <v>146.07</v>
      </c>
      <c r="I223">
        <v>36.08</v>
      </c>
      <c r="J223">
        <v>119.3</v>
      </c>
      <c r="K223">
        <v>180</v>
      </c>
      <c r="T223">
        <v>4</v>
      </c>
      <c r="U223">
        <v>2</v>
      </c>
      <c r="V223" t="s">
        <v>153</v>
      </c>
      <c r="W223">
        <v>146</v>
      </c>
      <c r="X223">
        <v>15</v>
      </c>
      <c r="Y223">
        <v>14</v>
      </c>
      <c r="Z223" t="s">
        <v>517</v>
      </c>
      <c r="AA223" t="s">
        <v>518</v>
      </c>
      <c r="AB223" t="s">
        <v>156</v>
      </c>
      <c r="AC223" t="s">
        <v>157</v>
      </c>
      <c r="AD223" t="s">
        <v>158</v>
      </c>
      <c r="AE223" t="s">
        <v>128</v>
      </c>
      <c r="AG223" t="s">
        <v>519</v>
      </c>
      <c r="AH223">
        <v>0</v>
      </c>
      <c r="AI223">
        <v>179</v>
      </c>
      <c r="AJ223">
        <v>14</v>
      </c>
      <c r="AK223">
        <v>1054</v>
      </c>
      <c r="AL223">
        <v>1.29</v>
      </c>
    </row>
    <row r="224" spans="1:38" x14ac:dyDescent="0.3">
      <c r="A224" t="s">
        <v>432</v>
      </c>
      <c r="B224">
        <v>100219</v>
      </c>
      <c r="C224">
        <v>1</v>
      </c>
      <c r="D224" t="s">
        <v>521</v>
      </c>
      <c r="E224" t="s">
        <v>522</v>
      </c>
      <c r="F224">
        <v>86</v>
      </c>
      <c r="G224">
        <v>21.45</v>
      </c>
      <c r="H224">
        <v>70.94</v>
      </c>
      <c r="I224">
        <v>16.68</v>
      </c>
      <c r="J224">
        <v>55.17</v>
      </c>
      <c r="K224">
        <v>5</v>
      </c>
      <c r="T224">
        <v>2</v>
      </c>
      <c r="U224">
        <v>1</v>
      </c>
      <c r="V224" t="s">
        <v>153</v>
      </c>
      <c r="W224">
        <v>70</v>
      </c>
      <c r="X224">
        <v>6</v>
      </c>
      <c r="Y224">
        <v>3</v>
      </c>
      <c r="Z224" t="s">
        <v>523</v>
      </c>
      <c r="AA224" t="s">
        <v>524</v>
      </c>
      <c r="AB224" t="s">
        <v>156</v>
      </c>
      <c r="AC224" t="s">
        <v>157</v>
      </c>
      <c r="AD224" t="s">
        <v>158</v>
      </c>
      <c r="AE224" t="s">
        <v>128</v>
      </c>
      <c r="AG224" t="s">
        <v>525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38" x14ac:dyDescent="0.3">
      <c r="A225" t="s">
        <v>432</v>
      </c>
      <c r="B225">
        <v>100219</v>
      </c>
      <c r="C225">
        <v>2</v>
      </c>
      <c r="D225" t="s">
        <v>521</v>
      </c>
      <c r="E225" t="s">
        <v>522</v>
      </c>
      <c r="F225">
        <v>86</v>
      </c>
      <c r="G225">
        <v>23.11</v>
      </c>
      <c r="H225">
        <v>76.42</v>
      </c>
      <c r="I225">
        <v>17.97</v>
      </c>
      <c r="J225">
        <v>59.43</v>
      </c>
      <c r="K225">
        <v>60</v>
      </c>
      <c r="T225">
        <v>2</v>
      </c>
      <c r="U225">
        <v>1</v>
      </c>
      <c r="V225" t="s">
        <v>153</v>
      </c>
      <c r="W225">
        <v>76</v>
      </c>
      <c r="X225">
        <v>6</v>
      </c>
      <c r="Y225">
        <v>3</v>
      </c>
      <c r="Z225" t="s">
        <v>523</v>
      </c>
      <c r="AA225" t="s">
        <v>524</v>
      </c>
      <c r="AB225" t="s">
        <v>156</v>
      </c>
      <c r="AC225" t="s">
        <v>157</v>
      </c>
      <c r="AD225" t="s">
        <v>158</v>
      </c>
      <c r="AE225" t="s">
        <v>128</v>
      </c>
      <c r="AG225" t="s">
        <v>525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">
      <c r="A226" t="s">
        <v>432</v>
      </c>
      <c r="B226">
        <v>100219</v>
      </c>
      <c r="C226">
        <v>3</v>
      </c>
      <c r="D226" t="s">
        <v>521</v>
      </c>
      <c r="E226" t="s">
        <v>522</v>
      </c>
      <c r="F226">
        <v>86</v>
      </c>
      <c r="G226">
        <v>27.36</v>
      </c>
      <c r="H226">
        <v>90.47</v>
      </c>
      <c r="I226">
        <v>21.65</v>
      </c>
      <c r="J226">
        <v>71.59</v>
      </c>
      <c r="K226">
        <v>3</v>
      </c>
      <c r="T226">
        <v>3</v>
      </c>
      <c r="U226">
        <v>1</v>
      </c>
      <c r="V226" t="s">
        <v>153</v>
      </c>
      <c r="W226">
        <v>90</v>
      </c>
      <c r="X226">
        <v>6</v>
      </c>
      <c r="Y226">
        <v>3</v>
      </c>
      <c r="Z226" t="s">
        <v>523</v>
      </c>
      <c r="AA226" t="s">
        <v>524</v>
      </c>
      <c r="AB226" t="s">
        <v>156</v>
      </c>
      <c r="AC226" t="s">
        <v>157</v>
      </c>
      <c r="AD226" t="s">
        <v>158</v>
      </c>
      <c r="AE226" t="s">
        <v>128</v>
      </c>
      <c r="AG226" t="s">
        <v>525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 x14ac:dyDescent="0.3">
      <c r="A227" t="s">
        <v>432</v>
      </c>
      <c r="B227">
        <v>100219</v>
      </c>
      <c r="C227">
        <v>4</v>
      </c>
      <c r="D227" t="s">
        <v>521</v>
      </c>
      <c r="E227" t="s">
        <v>522</v>
      </c>
      <c r="F227">
        <v>86</v>
      </c>
      <c r="G227">
        <v>30.87</v>
      </c>
      <c r="H227">
        <v>102.07</v>
      </c>
      <c r="I227">
        <v>24.43</v>
      </c>
      <c r="J227">
        <v>80.77</v>
      </c>
      <c r="K227">
        <v>18</v>
      </c>
      <c r="T227">
        <v>3</v>
      </c>
      <c r="U227">
        <v>2</v>
      </c>
      <c r="V227" t="s">
        <v>153</v>
      </c>
      <c r="W227">
        <v>102</v>
      </c>
      <c r="X227">
        <v>6</v>
      </c>
      <c r="Y227">
        <v>3</v>
      </c>
      <c r="Z227" t="s">
        <v>523</v>
      </c>
      <c r="AA227" t="s">
        <v>524</v>
      </c>
      <c r="AB227" t="s">
        <v>156</v>
      </c>
      <c r="AC227" t="s">
        <v>157</v>
      </c>
      <c r="AD227" t="s">
        <v>158</v>
      </c>
      <c r="AE227" t="s">
        <v>128</v>
      </c>
      <c r="AG227" t="s">
        <v>525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">
      <c r="A228" t="s">
        <v>432</v>
      </c>
      <c r="B228">
        <v>15382</v>
      </c>
      <c r="C228">
        <v>1</v>
      </c>
      <c r="D228" t="s">
        <v>526</v>
      </c>
      <c r="E228" t="s">
        <v>336</v>
      </c>
      <c r="F228">
        <v>118</v>
      </c>
      <c r="G228">
        <v>23.66</v>
      </c>
      <c r="H228">
        <v>78.239999999999995</v>
      </c>
      <c r="I228">
        <v>18.14</v>
      </c>
      <c r="J228">
        <v>59.97</v>
      </c>
      <c r="K228">
        <v>32</v>
      </c>
      <c r="T228">
        <v>3</v>
      </c>
      <c r="U228">
        <v>1</v>
      </c>
      <c r="V228" t="s">
        <v>153</v>
      </c>
      <c r="W228">
        <v>78</v>
      </c>
      <c r="X228">
        <v>9</v>
      </c>
      <c r="Y228">
        <v>5</v>
      </c>
      <c r="Z228" t="s">
        <v>527</v>
      </c>
      <c r="AA228" t="s">
        <v>528</v>
      </c>
      <c r="AB228" t="s">
        <v>156</v>
      </c>
      <c r="AC228" t="s">
        <v>157</v>
      </c>
      <c r="AD228" t="s">
        <v>158</v>
      </c>
      <c r="AE228" t="s">
        <v>128</v>
      </c>
      <c r="AG228" t="s">
        <v>529</v>
      </c>
      <c r="AH228">
        <v>0</v>
      </c>
      <c r="AI228">
        <v>178</v>
      </c>
      <c r="AJ228">
        <v>31</v>
      </c>
      <c r="AK228">
        <v>41</v>
      </c>
      <c r="AL228">
        <v>0.35</v>
      </c>
    </row>
    <row r="229" spans="1:38" x14ac:dyDescent="0.3">
      <c r="A229" t="s">
        <v>432</v>
      </c>
      <c r="B229">
        <v>15382</v>
      </c>
      <c r="C229">
        <v>2</v>
      </c>
      <c r="D229" t="s">
        <v>526</v>
      </c>
      <c r="E229" t="s">
        <v>336</v>
      </c>
      <c r="F229">
        <v>118</v>
      </c>
      <c r="G229">
        <v>25.84</v>
      </c>
      <c r="H229">
        <v>85.43</v>
      </c>
      <c r="I229">
        <v>18.11</v>
      </c>
      <c r="J229">
        <v>59.9</v>
      </c>
      <c r="K229">
        <v>86</v>
      </c>
      <c r="T229">
        <v>3</v>
      </c>
      <c r="U229">
        <v>1</v>
      </c>
      <c r="V229" t="s">
        <v>153</v>
      </c>
      <c r="W229">
        <v>85</v>
      </c>
      <c r="X229">
        <v>9</v>
      </c>
      <c r="Y229">
        <v>5</v>
      </c>
      <c r="Z229" t="s">
        <v>527</v>
      </c>
      <c r="AA229" t="s">
        <v>528</v>
      </c>
      <c r="AB229" t="s">
        <v>156</v>
      </c>
      <c r="AC229" t="s">
        <v>157</v>
      </c>
      <c r="AD229" t="s">
        <v>158</v>
      </c>
      <c r="AE229" t="s">
        <v>128</v>
      </c>
      <c r="AG229" t="s">
        <v>529</v>
      </c>
      <c r="AH229">
        <v>0</v>
      </c>
      <c r="AI229">
        <v>178</v>
      </c>
      <c r="AJ229">
        <v>31</v>
      </c>
      <c r="AK229">
        <v>41</v>
      </c>
      <c r="AL229">
        <v>0.35</v>
      </c>
    </row>
    <row r="230" spans="1:38" x14ac:dyDescent="0.3">
      <c r="A230" t="s">
        <v>432</v>
      </c>
      <c r="B230">
        <v>19045</v>
      </c>
      <c r="C230">
        <v>1</v>
      </c>
      <c r="D230" t="s">
        <v>530</v>
      </c>
      <c r="E230" t="s">
        <v>531</v>
      </c>
      <c r="F230">
        <v>464</v>
      </c>
      <c r="G230">
        <v>24.55</v>
      </c>
      <c r="H230">
        <v>81.180000000000007</v>
      </c>
      <c r="I230">
        <v>18.14</v>
      </c>
      <c r="J230">
        <v>59.98</v>
      </c>
      <c r="K230">
        <v>170</v>
      </c>
      <c r="T230">
        <v>3</v>
      </c>
      <c r="U230">
        <v>2</v>
      </c>
      <c r="V230" t="s">
        <v>153</v>
      </c>
      <c r="W230">
        <v>81</v>
      </c>
      <c r="X230">
        <v>18</v>
      </c>
      <c r="Y230">
        <v>13</v>
      </c>
      <c r="Z230" t="s">
        <v>532</v>
      </c>
      <c r="AA230" t="s">
        <v>533</v>
      </c>
      <c r="AB230" t="s">
        <v>156</v>
      </c>
      <c r="AC230" t="s">
        <v>157</v>
      </c>
      <c r="AD230" t="s">
        <v>158</v>
      </c>
      <c r="AE230" t="s">
        <v>128</v>
      </c>
      <c r="AG230" t="s">
        <v>534</v>
      </c>
      <c r="AH230">
        <v>0</v>
      </c>
      <c r="AI230">
        <v>190</v>
      </c>
      <c r="AJ230">
        <v>17</v>
      </c>
      <c r="AK230">
        <v>620</v>
      </c>
      <c r="AL230">
        <v>1.34</v>
      </c>
    </row>
    <row r="231" spans="1:38" x14ac:dyDescent="0.3">
      <c r="A231" t="s">
        <v>432</v>
      </c>
      <c r="B231">
        <v>19045</v>
      </c>
      <c r="C231">
        <v>2</v>
      </c>
      <c r="D231" t="s">
        <v>530</v>
      </c>
      <c r="E231" t="s">
        <v>531</v>
      </c>
      <c r="F231">
        <v>464</v>
      </c>
      <c r="G231">
        <v>35.74</v>
      </c>
      <c r="H231">
        <v>118.16</v>
      </c>
      <c r="I231">
        <v>25.7</v>
      </c>
      <c r="J231">
        <v>84.98</v>
      </c>
      <c r="K231">
        <v>294</v>
      </c>
      <c r="T231">
        <v>3</v>
      </c>
      <c r="U231">
        <v>2</v>
      </c>
      <c r="V231" t="s">
        <v>153</v>
      </c>
      <c r="W231">
        <v>118</v>
      </c>
      <c r="X231">
        <v>18</v>
      </c>
      <c r="Y231">
        <v>13</v>
      </c>
      <c r="Z231" t="s">
        <v>532</v>
      </c>
      <c r="AA231" t="s">
        <v>533</v>
      </c>
      <c r="AB231" t="s">
        <v>156</v>
      </c>
      <c r="AC231" t="s">
        <v>157</v>
      </c>
      <c r="AD231" t="s">
        <v>158</v>
      </c>
      <c r="AE231" t="s">
        <v>128</v>
      </c>
      <c r="AG231" t="s">
        <v>534</v>
      </c>
      <c r="AH231">
        <v>0</v>
      </c>
      <c r="AI231">
        <v>190</v>
      </c>
      <c r="AJ231">
        <v>17</v>
      </c>
      <c r="AK231">
        <v>620</v>
      </c>
      <c r="AL231">
        <v>1.34</v>
      </c>
    </row>
    <row r="232" spans="1:38" x14ac:dyDescent="0.3">
      <c r="A232" t="s">
        <v>432</v>
      </c>
      <c r="B232">
        <v>142816</v>
      </c>
      <c r="C232">
        <v>1</v>
      </c>
      <c r="D232" t="s">
        <v>535</v>
      </c>
      <c r="E232" t="s">
        <v>536</v>
      </c>
      <c r="F232">
        <v>572</v>
      </c>
      <c r="G232">
        <v>24.2</v>
      </c>
      <c r="H232">
        <v>80.02</v>
      </c>
      <c r="I232">
        <v>18.14</v>
      </c>
      <c r="J232">
        <v>59.97</v>
      </c>
      <c r="K232">
        <v>250</v>
      </c>
      <c r="T232">
        <v>3</v>
      </c>
      <c r="U232">
        <v>2</v>
      </c>
      <c r="V232" t="s">
        <v>153</v>
      </c>
      <c r="W232">
        <v>80</v>
      </c>
      <c r="X232">
        <v>25</v>
      </c>
      <c r="Y232">
        <v>24</v>
      </c>
      <c r="Z232" t="s">
        <v>537</v>
      </c>
      <c r="AA232" t="s">
        <v>538</v>
      </c>
      <c r="AB232" t="s">
        <v>156</v>
      </c>
      <c r="AC232" t="s">
        <v>157</v>
      </c>
      <c r="AD232" t="s">
        <v>158</v>
      </c>
      <c r="AE232" t="s">
        <v>128</v>
      </c>
      <c r="AG232" t="s">
        <v>539</v>
      </c>
      <c r="AH232">
        <v>0</v>
      </c>
      <c r="AI232">
        <v>363</v>
      </c>
      <c r="AJ232">
        <v>0</v>
      </c>
      <c r="AK232">
        <v>797</v>
      </c>
      <c r="AL232">
        <v>1.39</v>
      </c>
    </row>
    <row r="233" spans="1:38" x14ac:dyDescent="0.3">
      <c r="A233" t="s">
        <v>432</v>
      </c>
      <c r="B233">
        <v>142816</v>
      </c>
      <c r="C233">
        <v>2</v>
      </c>
      <c r="D233" t="s">
        <v>535</v>
      </c>
      <c r="E233" t="s">
        <v>536</v>
      </c>
      <c r="F233">
        <v>572</v>
      </c>
      <c r="G233">
        <v>30.34</v>
      </c>
      <c r="H233">
        <v>100.3</v>
      </c>
      <c r="I233">
        <v>22.54</v>
      </c>
      <c r="J233">
        <v>74.540000000000006</v>
      </c>
      <c r="K233">
        <v>74</v>
      </c>
      <c r="T233">
        <v>3</v>
      </c>
      <c r="U233">
        <v>2</v>
      </c>
      <c r="V233" t="s">
        <v>153</v>
      </c>
      <c r="W233">
        <v>100</v>
      </c>
      <c r="X233">
        <v>25</v>
      </c>
      <c r="Y233">
        <v>24</v>
      </c>
      <c r="Z233" t="s">
        <v>537</v>
      </c>
      <c r="AA233" t="s">
        <v>538</v>
      </c>
      <c r="AB233" t="s">
        <v>156</v>
      </c>
      <c r="AC233" t="s">
        <v>157</v>
      </c>
      <c r="AD233" t="s">
        <v>158</v>
      </c>
      <c r="AE233" t="s">
        <v>128</v>
      </c>
      <c r="AG233" t="s">
        <v>539</v>
      </c>
      <c r="AH233">
        <v>0</v>
      </c>
      <c r="AI233">
        <v>363</v>
      </c>
      <c r="AJ233">
        <v>0</v>
      </c>
      <c r="AK233">
        <v>797</v>
      </c>
      <c r="AL233">
        <v>1.39</v>
      </c>
    </row>
    <row r="234" spans="1:38" x14ac:dyDescent="0.3">
      <c r="A234" t="s">
        <v>432</v>
      </c>
      <c r="B234">
        <v>142816</v>
      </c>
      <c r="C234">
        <v>3</v>
      </c>
      <c r="D234" t="s">
        <v>535</v>
      </c>
      <c r="E234" t="s">
        <v>536</v>
      </c>
      <c r="F234">
        <v>572</v>
      </c>
      <c r="G234">
        <v>33.94</v>
      </c>
      <c r="H234">
        <v>112.2</v>
      </c>
      <c r="I234">
        <v>25.68</v>
      </c>
      <c r="J234">
        <v>84.91</v>
      </c>
      <c r="K234">
        <v>100</v>
      </c>
      <c r="T234">
        <v>3</v>
      </c>
      <c r="U234">
        <v>2</v>
      </c>
      <c r="V234" t="s">
        <v>153</v>
      </c>
      <c r="W234" t="s">
        <v>88</v>
      </c>
      <c r="X234">
        <v>25</v>
      </c>
      <c r="Y234">
        <v>24</v>
      </c>
      <c r="Z234" t="s">
        <v>537</v>
      </c>
      <c r="AA234" t="s">
        <v>538</v>
      </c>
      <c r="AB234" t="s">
        <v>156</v>
      </c>
      <c r="AC234" t="s">
        <v>157</v>
      </c>
      <c r="AD234" t="s">
        <v>158</v>
      </c>
      <c r="AE234" t="s">
        <v>128</v>
      </c>
      <c r="AG234" t="s">
        <v>539</v>
      </c>
      <c r="AH234">
        <v>0</v>
      </c>
      <c r="AI234">
        <v>363</v>
      </c>
      <c r="AJ234">
        <v>0</v>
      </c>
      <c r="AK234">
        <v>797</v>
      </c>
      <c r="AL234">
        <v>1.39</v>
      </c>
    </row>
    <row r="235" spans="1:38" x14ac:dyDescent="0.3">
      <c r="A235" t="s">
        <v>432</v>
      </c>
      <c r="B235">
        <v>142816</v>
      </c>
      <c r="C235">
        <v>4</v>
      </c>
      <c r="D235" t="s">
        <v>535</v>
      </c>
      <c r="E235" t="s">
        <v>536</v>
      </c>
      <c r="F235">
        <v>572</v>
      </c>
      <c r="G235">
        <v>34.47</v>
      </c>
      <c r="H235">
        <v>113.97</v>
      </c>
      <c r="I235">
        <v>25.7</v>
      </c>
      <c r="J235">
        <v>84.96</v>
      </c>
      <c r="K235">
        <v>74</v>
      </c>
      <c r="T235">
        <v>3</v>
      </c>
      <c r="U235">
        <v>2</v>
      </c>
      <c r="V235" t="s">
        <v>153</v>
      </c>
      <c r="W235" t="s">
        <v>76</v>
      </c>
      <c r="X235">
        <v>25</v>
      </c>
      <c r="Y235">
        <v>24</v>
      </c>
      <c r="Z235" t="s">
        <v>537</v>
      </c>
      <c r="AA235" t="s">
        <v>538</v>
      </c>
      <c r="AB235" t="s">
        <v>156</v>
      </c>
      <c r="AC235" t="s">
        <v>157</v>
      </c>
      <c r="AD235" t="s">
        <v>158</v>
      </c>
      <c r="AE235" t="s">
        <v>128</v>
      </c>
      <c r="AG235" t="s">
        <v>539</v>
      </c>
      <c r="AH235">
        <v>0</v>
      </c>
      <c r="AI235">
        <v>363</v>
      </c>
      <c r="AJ235">
        <v>0</v>
      </c>
      <c r="AK235">
        <v>797</v>
      </c>
      <c r="AL235">
        <v>1.39</v>
      </c>
    </row>
    <row r="236" spans="1:38" x14ac:dyDescent="0.3">
      <c r="A236" t="s">
        <v>432</v>
      </c>
      <c r="B236">
        <v>142816</v>
      </c>
      <c r="C236">
        <v>5</v>
      </c>
      <c r="D236" t="s">
        <v>535</v>
      </c>
      <c r="E236" t="s">
        <v>536</v>
      </c>
      <c r="F236">
        <v>572</v>
      </c>
      <c r="G236">
        <v>34.18</v>
      </c>
      <c r="H236">
        <v>113.01</v>
      </c>
      <c r="I236">
        <v>25.66</v>
      </c>
      <c r="J236">
        <v>84.84</v>
      </c>
      <c r="K236">
        <v>74</v>
      </c>
      <c r="T236">
        <v>3</v>
      </c>
      <c r="U236">
        <v>2</v>
      </c>
      <c r="V236" t="s">
        <v>153</v>
      </c>
      <c r="W236" t="s">
        <v>443</v>
      </c>
      <c r="X236">
        <v>25</v>
      </c>
      <c r="Y236">
        <v>24</v>
      </c>
      <c r="Z236" t="s">
        <v>537</v>
      </c>
      <c r="AA236" t="s">
        <v>538</v>
      </c>
      <c r="AB236" t="s">
        <v>156</v>
      </c>
      <c r="AC236" t="s">
        <v>157</v>
      </c>
      <c r="AD236" t="s">
        <v>158</v>
      </c>
      <c r="AE236" t="s">
        <v>128</v>
      </c>
      <c r="AG236" t="s">
        <v>539</v>
      </c>
      <c r="AH236">
        <v>0</v>
      </c>
      <c r="AI236">
        <v>363</v>
      </c>
      <c r="AJ236">
        <v>0</v>
      </c>
      <c r="AK236">
        <v>797</v>
      </c>
      <c r="AL236">
        <v>1.39</v>
      </c>
    </row>
    <row r="237" spans="1:38" x14ac:dyDescent="0.3">
      <c r="A237" t="s">
        <v>432</v>
      </c>
      <c r="B237">
        <v>19050</v>
      </c>
      <c r="C237">
        <v>1</v>
      </c>
      <c r="D237" t="s">
        <v>540</v>
      </c>
      <c r="E237" t="s">
        <v>541</v>
      </c>
      <c r="F237">
        <v>948</v>
      </c>
      <c r="G237">
        <v>26.13</v>
      </c>
      <c r="H237">
        <v>86.4</v>
      </c>
      <c r="I237">
        <v>18.14</v>
      </c>
      <c r="J237">
        <v>59.98</v>
      </c>
      <c r="K237">
        <v>315</v>
      </c>
      <c r="T237">
        <v>3</v>
      </c>
      <c r="U237">
        <v>2</v>
      </c>
      <c r="V237" t="s">
        <v>153</v>
      </c>
      <c r="W237">
        <v>86</v>
      </c>
      <c r="X237">
        <v>18</v>
      </c>
      <c r="Y237">
        <v>17</v>
      </c>
      <c r="Z237" t="s">
        <v>542</v>
      </c>
      <c r="AA237" t="s">
        <v>543</v>
      </c>
      <c r="AB237" t="s">
        <v>156</v>
      </c>
      <c r="AC237" t="s">
        <v>157</v>
      </c>
      <c r="AD237" t="s">
        <v>158</v>
      </c>
      <c r="AE237" t="s">
        <v>128</v>
      </c>
      <c r="AG237" t="s">
        <v>544</v>
      </c>
      <c r="AH237">
        <v>0</v>
      </c>
      <c r="AI237">
        <v>194</v>
      </c>
      <c r="AJ237">
        <v>14</v>
      </c>
      <c r="AK237">
        <v>1204</v>
      </c>
      <c r="AL237">
        <v>1.27</v>
      </c>
    </row>
    <row r="238" spans="1:38" x14ac:dyDescent="0.3">
      <c r="A238" t="s">
        <v>432</v>
      </c>
      <c r="B238">
        <v>19050</v>
      </c>
      <c r="C238">
        <v>2</v>
      </c>
      <c r="D238" t="s">
        <v>540</v>
      </c>
      <c r="E238" t="s">
        <v>541</v>
      </c>
      <c r="F238">
        <v>948</v>
      </c>
      <c r="G238">
        <v>35.22</v>
      </c>
      <c r="H238">
        <v>116.44</v>
      </c>
      <c r="I238">
        <v>25.7</v>
      </c>
      <c r="J238">
        <v>84.96</v>
      </c>
      <c r="K238">
        <v>314</v>
      </c>
      <c r="T238">
        <v>3</v>
      </c>
      <c r="U238">
        <v>2</v>
      </c>
      <c r="V238" t="s">
        <v>153</v>
      </c>
      <c r="W238" t="s">
        <v>82</v>
      </c>
      <c r="X238">
        <v>18</v>
      </c>
      <c r="Y238">
        <v>17</v>
      </c>
      <c r="Z238" t="s">
        <v>542</v>
      </c>
      <c r="AA238" t="s">
        <v>543</v>
      </c>
      <c r="AB238" t="s">
        <v>156</v>
      </c>
      <c r="AC238" t="s">
        <v>157</v>
      </c>
      <c r="AD238" t="s">
        <v>158</v>
      </c>
      <c r="AE238" t="s">
        <v>128</v>
      </c>
      <c r="AG238" t="s">
        <v>544</v>
      </c>
      <c r="AH238">
        <v>0</v>
      </c>
      <c r="AI238">
        <v>194</v>
      </c>
      <c r="AJ238">
        <v>14</v>
      </c>
      <c r="AK238">
        <v>1204</v>
      </c>
      <c r="AL238">
        <v>1.27</v>
      </c>
    </row>
    <row r="239" spans="1:38" x14ac:dyDescent="0.3">
      <c r="A239" t="s">
        <v>432</v>
      </c>
      <c r="B239">
        <v>19050</v>
      </c>
      <c r="C239">
        <v>3</v>
      </c>
      <c r="D239" t="s">
        <v>540</v>
      </c>
      <c r="E239" t="s">
        <v>541</v>
      </c>
      <c r="F239">
        <v>948</v>
      </c>
      <c r="G239">
        <v>35.31</v>
      </c>
      <c r="H239">
        <v>116.75</v>
      </c>
      <c r="I239">
        <v>25.7</v>
      </c>
      <c r="J239">
        <v>84.97</v>
      </c>
      <c r="K239">
        <v>177</v>
      </c>
      <c r="T239">
        <v>3</v>
      </c>
      <c r="U239">
        <v>2</v>
      </c>
      <c r="V239" t="s">
        <v>153</v>
      </c>
      <c r="W239" t="s">
        <v>545</v>
      </c>
      <c r="X239">
        <v>18</v>
      </c>
      <c r="Y239">
        <v>17</v>
      </c>
      <c r="Z239" t="s">
        <v>542</v>
      </c>
      <c r="AA239" t="s">
        <v>543</v>
      </c>
      <c r="AB239" t="s">
        <v>156</v>
      </c>
      <c r="AC239" t="s">
        <v>157</v>
      </c>
      <c r="AD239" t="s">
        <v>158</v>
      </c>
      <c r="AE239" t="s">
        <v>128</v>
      </c>
      <c r="AG239" t="s">
        <v>544</v>
      </c>
      <c r="AH239">
        <v>0</v>
      </c>
      <c r="AI239">
        <v>194</v>
      </c>
      <c r="AJ239">
        <v>14</v>
      </c>
      <c r="AK239">
        <v>1204</v>
      </c>
      <c r="AL239">
        <v>1.27</v>
      </c>
    </row>
    <row r="240" spans="1:38" x14ac:dyDescent="0.3">
      <c r="A240" t="s">
        <v>432</v>
      </c>
      <c r="B240">
        <v>19050</v>
      </c>
      <c r="C240">
        <v>4</v>
      </c>
      <c r="D240" t="s">
        <v>540</v>
      </c>
      <c r="E240" t="s">
        <v>541</v>
      </c>
      <c r="F240">
        <v>948</v>
      </c>
      <c r="G240">
        <v>47.39</v>
      </c>
      <c r="H240">
        <v>156.69</v>
      </c>
      <c r="I240">
        <v>38.69</v>
      </c>
      <c r="J240">
        <v>127.92</v>
      </c>
      <c r="K240">
        <v>142</v>
      </c>
      <c r="T240">
        <v>4</v>
      </c>
      <c r="U240">
        <v>2</v>
      </c>
      <c r="V240" t="s">
        <v>153</v>
      </c>
      <c r="W240">
        <v>156</v>
      </c>
      <c r="X240">
        <v>18</v>
      </c>
      <c r="Y240">
        <v>17</v>
      </c>
      <c r="Z240" t="s">
        <v>542</v>
      </c>
      <c r="AA240" t="s">
        <v>543</v>
      </c>
      <c r="AB240" t="s">
        <v>156</v>
      </c>
      <c r="AC240" t="s">
        <v>157</v>
      </c>
      <c r="AD240" t="s">
        <v>158</v>
      </c>
      <c r="AE240" t="s">
        <v>128</v>
      </c>
      <c r="AG240" t="s">
        <v>544</v>
      </c>
      <c r="AH240">
        <v>0</v>
      </c>
      <c r="AI240">
        <v>194</v>
      </c>
      <c r="AJ240">
        <v>14</v>
      </c>
      <c r="AK240">
        <v>1204</v>
      </c>
      <c r="AL240">
        <v>1.27</v>
      </c>
    </row>
    <row r="241" spans="1:38" x14ac:dyDescent="0.3">
      <c r="A241" t="s">
        <v>432</v>
      </c>
      <c r="B241">
        <v>108607</v>
      </c>
      <c r="C241">
        <v>1</v>
      </c>
      <c r="D241" t="s">
        <v>546</v>
      </c>
      <c r="E241" t="s">
        <v>547</v>
      </c>
      <c r="F241">
        <v>95</v>
      </c>
      <c r="G241">
        <v>21.45</v>
      </c>
      <c r="H241">
        <v>70.91</v>
      </c>
      <c r="I241">
        <v>18.13</v>
      </c>
      <c r="J241">
        <v>59.94</v>
      </c>
      <c r="K241">
        <v>84</v>
      </c>
      <c r="T241">
        <v>3</v>
      </c>
      <c r="U241">
        <v>1</v>
      </c>
      <c r="V241" t="s">
        <v>153</v>
      </c>
      <c r="W241" t="s">
        <v>548</v>
      </c>
      <c r="X241">
        <v>12</v>
      </c>
      <c r="Y241">
        <v>6</v>
      </c>
      <c r="Z241" t="s">
        <v>549</v>
      </c>
      <c r="AA241" t="s">
        <v>550</v>
      </c>
      <c r="AB241" t="s">
        <v>156</v>
      </c>
      <c r="AC241" t="s">
        <v>157</v>
      </c>
      <c r="AD241" t="s">
        <v>158</v>
      </c>
      <c r="AE241" t="s">
        <v>128</v>
      </c>
      <c r="AG241" t="s">
        <v>551</v>
      </c>
      <c r="AH241">
        <v>0</v>
      </c>
      <c r="AI241">
        <v>206</v>
      </c>
      <c r="AJ241">
        <v>29</v>
      </c>
      <c r="AK241">
        <v>45</v>
      </c>
      <c r="AL241">
        <v>0.47</v>
      </c>
    </row>
    <row r="242" spans="1:38" x14ac:dyDescent="0.3">
      <c r="A242" t="s">
        <v>432</v>
      </c>
      <c r="B242">
        <v>108607</v>
      </c>
      <c r="C242">
        <v>2</v>
      </c>
      <c r="D242" t="s">
        <v>546</v>
      </c>
      <c r="E242" t="s">
        <v>547</v>
      </c>
      <c r="F242">
        <v>95</v>
      </c>
      <c r="G242">
        <v>21.38</v>
      </c>
      <c r="H242">
        <v>70.7</v>
      </c>
      <c r="I242">
        <v>18.07</v>
      </c>
      <c r="J242">
        <v>59.76</v>
      </c>
      <c r="K242">
        <v>11</v>
      </c>
      <c r="T242">
        <v>2</v>
      </c>
      <c r="U242">
        <v>1</v>
      </c>
      <c r="V242" t="s">
        <v>153</v>
      </c>
      <c r="W242" t="s">
        <v>552</v>
      </c>
      <c r="X242">
        <v>12</v>
      </c>
      <c r="Y242">
        <v>6</v>
      </c>
      <c r="Z242" t="s">
        <v>549</v>
      </c>
      <c r="AA242" t="s">
        <v>550</v>
      </c>
      <c r="AB242" t="s">
        <v>156</v>
      </c>
      <c r="AC242" t="s">
        <v>157</v>
      </c>
      <c r="AD242" t="s">
        <v>158</v>
      </c>
      <c r="AE242" t="s">
        <v>128</v>
      </c>
      <c r="AG242" t="s">
        <v>551</v>
      </c>
      <c r="AH242">
        <v>0</v>
      </c>
      <c r="AI242">
        <v>206</v>
      </c>
      <c r="AJ242">
        <v>29</v>
      </c>
      <c r="AK242">
        <v>45</v>
      </c>
      <c r="AL242">
        <v>0.47</v>
      </c>
    </row>
    <row r="243" spans="1:38" x14ac:dyDescent="0.3">
      <c r="A243" t="s">
        <v>432</v>
      </c>
      <c r="B243">
        <v>102273</v>
      </c>
      <c r="C243">
        <v>1</v>
      </c>
      <c r="D243" t="s">
        <v>553</v>
      </c>
      <c r="E243" t="s">
        <v>554</v>
      </c>
      <c r="F243">
        <v>105</v>
      </c>
      <c r="G243">
        <v>18.670000000000002</v>
      </c>
      <c r="H243">
        <v>61.72</v>
      </c>
      <c r="I243">
        <v>16.71</v>
      </c>
      <c r="J243">
        <v>55.26</v>
      </c>
      <c r="K243">
        <v>30</v>
      </c>
      <c r="T243">
        <v>2</v>
      </c>
      <c r="U243">
        <v>1</v>
      </c>
      <c r="V243" t="s">
        <v>184</v>
      </c>
      <c r="W243" t="s">
        <v>555</v>
      </c>
      <c r="X243">
        <v>5</v>
      </c>
      <c r="Y243">
        <v>5</v>
      </c>
      <c r="Z243" t="s">
        <v>556</v>
      </c>
      <c r="AA243" t="s">
        <v>557</v>
      </c>
      <c r="AB243" t="s">
        <v>156</v>
      </c>
      <c r="AC243" t="s">
        <v>157</v>
      </c>
      <c r="AD243" t="s">
        <v>158</v>
      </c>
      <c r="AE243" t="s">
        <v>128</v>
      </c>
      <c r="AG243" t="s">
        <v>558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432</v>
      </c>
      <c r="B244">
        <v>102273</v>
      </c>
      <c r="C244">
        <v>2</v>
      </c>
      <c r="D244" t="s">
        <v>553</v>
      </c>
      <c r="E244" t="s">
        <v>554</v>
      </c>
      <c r="F244">
        <v>105</v>
      </c>
      <c r="G244">
        <v>18.86</v>
      </c>
      <c r="H244">
        <v>62.35</v>
      </c>
      <c r="I244">
        <v>17.010000000000002</v>
      </c>
      <c r="J244">
        <v>56.25</v>
      </c>
      <c r="K244">
        <v>35</v>
      </c>
      <c r="T244">
        <v>2</v>
      </c>
      <c r="U244">
        <v>1</v>
      </c>
      <c r="V244" t="s">
        <v>184</v>
      </c>
      <c r="W244" t="s">
        <v>559</v>
      </c>
      <c r="X244">
        <v>5</v>
      </c>
      <c r="Y244">
        <v>5</v>
      </c>
      <c r="Z244" t="s">
        <v>556</v>
      </c>
      <c r="AA244" t="s">
        <v>557</v>
      </c>
      <c r="AB244" t="s">
        <v>156</v>
      </c>
      <c r="AC244" t="s">
        <v>157</v>
      </c>
      <c r="AD244" t="s">
        <v>158</v>
      </c>
      <c r="AE244" t="s">
        <v>128</v>
      </c>
      <c r="AG244" t="s">
        <v>558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432</v>
      </c>
      <c r="B245">
        <v>102273</v>
      </c>
      <c r="C245">
        <v>3</v>
      </c>
      <c r="D245" t="s">
        <v>553</v>
      </c>
      <c r="E245" t="s">
        <v>554</v>
      </c>
      <c r="F245">
        <v>105</v>
      </c>
      <c r="G245">
        <v>19.260000000000002</v>
      </c>
      <c r="H245">
        <v>63.7</v>
      </c>
      <c r="I245">
        <v>17.420000000000002</v>
      </c>
      <c r="J245">
        <v>57.6</v>
      </c>
      <c r="K245">
        <v>40</v>
      </c>
      <c r="T245">
        <v>3</v>
      </c>
      <c r="U245">
        <v>1</v>
      </c>
      <c r="V245" t="s">
        <v>184</v>
      </c>
      <c r="W245" t="s">
        <v>560</v>
      </c>
      <c r="X245">
        <v>5</v>
      </c>
      <c r="Y245">
        <v>5</v>
      </c>
      <c r="Z245" t="s">
        <v>556</v>
      </c>
      <c r="AA245" t="s">
        <v>557</v>
      </c>
      <c r="AB245" t="s">
        <v>156</v>
      </c>
      <c r="AC245" t="s">
        <v>157</v>
      </c>
      <c r="AD245" t="s">
        <v>158</v>
      </c>
      <c r="AE245" t="s">
        <v>128</v>
      </c>
      <c r="AG245" t="s">
        <v>558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432</v>
      </c>
      <c r="B246">
        <v>19053</v>
      </c>
      <c r="C246">
        <v>1</v>
      </c>
      <c r="D246" t="s">
        <v>561</v>
      </c>
      <c r="E246" t="s">
        <v>459</v>
      </c>
      <c r="F246">
        <v>1120</v>
      </c>
      <c r="G246">
        <v>25.61</v>
      </c>
      <c r="H246">
        <v>84.69</v>
      </c>
      <c r="I246">
        <v>18.100000000000001</v>
      </c>
      <c r="J246">
        <v>59.86</v>
      </c>
      <c r="K246">
        <v>284</v>
      </c>
      <c r="T246">
        <v>3</v>
      </c>
      <c r="U246">
        <v>2</v>
      </c>
      <c r="V246" t="s">
        <v>153</v>
      </c>
      <c r="W246" t="s">
        <v>83</v>
      </c>
      <c r="X246">
        <v>18</v>
      </c>
      <c r="Y246">
        <v>17</v>
      </c>
      <c r="Z246" t="s">
        <v>562</v>
      </c>
      <c r="AA246" t="s">
        <v>563</v>
      </c>
      <c r="AB246" t="s">
        <v>156</v>
      </c>
      <c r="AC246" t="s">
        <v>157</v>
      </c>
      <c r="AD246" t="s">
        <v>158</v>
      </c>
      <c r="AE246" t="s">
        <v>128</v>
      </c>
      <c r="AG246" t="s">
        <v>564</v>
      </c>
      <c r="AH246">
        <v>0</v>
      </c>
      <c r="AI246">
        <v>195</v>
      </c>
      <c r="AJ246">
        <v>14</v>
      </c>
      <c r="AK246">
        <v>1438</v>
      </c>
      <c r="AL246">
        <v>1.28</v>
      </c>
    </row>
    <row r="247" spans="1:38" x14ac:dyDescent="0.3">
      <c r="A247" t="s">
        <v>432</v>
      </c>
      <c r="B247">
        <v>19053</v>
      </c>
      <c r="C247">
        <v>2</v>
      </c>
      <c r="D247" t="s">
        <v>561</v>
      </c>
      <c r="E247" t="s">
        <v>459</v>
      </c>
      <c r="F247">
        <v>1120</v>
      </c>
      <c r="G247">
        <v>25.73</v>
      </c>
      <c r="H247">
        <v>85.07</v>
      </c>
      <c r="I247">
        <v>18.12</v>
      </c>
      <c r="J247">
        <v>59.93</v>
      </c>
      <c r="K247">
        <v>36</v>
      </c>
      <c r="T247">
        <v>3</v>
      </c>
      <c r="U247">
        <v>2</v>
      </c>
      <c r="V247" t="s">
        <v>153</v>
      </c>
      <c r="W247" t="s">
        <v>508</v>
      </c>
      <c r="X247">
        <v>18</v>
      </c>
      <c r="Y247">
        <v>17</v>
      </c>
      <c r="Z247" t="s">
        <v>562</v>
      </c>
      <c r="AA247" t="s">
        <v>563</v>
      </c>
      <c r="AB247" t="s">
        <v>156</v>
      </c>
      <c r="AC247" t="s">
        <v>157</v>
      </c>
      <c r="AD247" t="s">
        <v>158</v>
      </c>
      <c r="AE247" t="s">
        <v>128</v>
      </c>
      <c r="AG247" t="s">
        <v>564</v>
      </c>
      <c r="AH247">
        <v>0</v>
      </c>
      <c r="AI247">
        <v>195</v>
      </c>
      <c r="AJ247">
        <v>14</v>
      </c>
      <c r="AK247">
        <v>1438</v>
      </c>
      <c r="AL247">
        <v>1.28</v>
      </c>
    </row>
    <row r="248" spans="1:38" x14ac:dyDescent="0.3">
      <c r="A248" t="s">
        <v>432</v>
      </c>
      <c r="B248">
        <v>19053</v>
      </c>
      <c r="C248">
        <v>3</v>
      </c>
      <c r="D248" t="s">
        <v>561</v>
      </c>
      <c r="E248" t="s">
        <v>459</v>
      </c>
      <c r="F248">
        <v>1120</v>
      </c>
      <c r="G248">
        <v>34.229999999999997</v>
      </c>
      <c r="H248">
        <v>113.16</v>
      </c>
      <c r="I248">
        <v>25.69</v>
      </c>
      <c r="J248">
        <v>84.94</v>
      </c>
      <c r="K248">
        <v>552</v>
      </c>
      <c r="T248">
        <v>3</v>
      </c>
      <c r="U248">
        <v>2</v>
      </c>
      <c r="V248" t="s">
        <v>153</v>
      </c>
      <c r="W248">
        <v>113</v>
      </c>
      <c r="X248">
        <v>18</v>
      </c>
      <c r="Y248">
        <v>17</v>
      </c>
      <c r="Z248" t="s">
        <v>562</v>
      </c>
      <c r="AA248" t="s">
        <v>563</v>
      </c>
      <c r="AB248" t="s">
        <v>156</v>
      </c>
      <c r="AC248" t="s">
        <v>157</v>
      </c>
      <c r="AD248" t="s">
        <v>158</v>
      </c>
      <c r="AE248" t="s">
        <v>128</v>
      </c>
      <c r="AG248" t="s">
        <v>564</v>
      </c>
      <c r="AH248">
        <v>0</v>
      </c>
      <c r="AI248">
        <v>195</v>
      </c>
      <c r="AJ248">
        <v>14</v>
      </c>
      <c r="AK248">
        <v>1438</v>
      </c>
      <c r="AL248">
        <v>1.28</v>
      </c>
    </row>
    <row r="249" spans="1:38" x14ac:dyDescent="0.3">
      <c r="A249" t="s">
        <v>432</v>
      </c>
      <c r="B249">
        <v>19053</v>
      </c>
      <c r="C249">
        <v>4</v>
      </c>
      <c r="D249" t="s">
        <v>561</v>
      </c>
      <c r="E249" t="s">
        <v>459</v>
      </c>
      <c r="F249">
        <v>1120</v>
      </c>
      <c r="G249">
        <v>45.66</v>
      </c>
      <c r="H249">
        <v>150.97</v>
      </c>
      <c r="I249">
        <v>36.32</v>
      </c>
      <c r="J249">
        <v>120.07</v>
      </c>
      <c r="K249">
        <v>248</v>
      </c>
      <c r="T249">
        <v>4</v>
      </c>
      <c r="U249">
        <v>2</v>
      </c>
      <c r="V249" t="s">
        <v>153</v>
      </c>
      <c r="W249">
        <v>150</v>
      </c>
      <c r="X249">
        <v>18</v>
      </c>
      <c r="Y249">
        <v>17</v>
      </c>
      <c r="Z249" t="s">
        <v>562</v>
      </c>
      <c r="AA249" t="s">
        <v>563</v>
      </c>
      <c r="AB249" t="s">
        <v>156</v>
      </c>
      <c r="AC249" t="s">
        <v>157</v>
      </c>
      <c r="AD249" t="s">
        <v>158</v>
      </c>
      <c r="AE249" t="s">
        <v>128</v>
      </c>
      <c r="AG249" t="s">
        <v>564</v>
      </c>
      <c r="AH249">
        <v>0</v>
      </c>
      <c r="AI249">
        <v>195</v>
      </c>
      <c r="AJ249">
        <v>14</v>
      </c>
      <c r="AK249">
        <v>1438</v>
      </c>
      <c r="AL249">
        <v>1.28</v>
      </c>
    </row>
    <row r="250" spans="1:38" x14ac:dyDescent="0.3">
      <c r="A250" t="s">
        <v>432</v>
      </c>
      <c r="B250">
        <v>24271</v>
      </c>
      <c r="C250">
        <v>1</v>
      </c>
      <c r="D250" t="s">
        <v>384</v>
      </c>
      <c r="E250" t="s">
        <v>565</v>
      </c>
      <c r="F250">
        <v>210</v>
      </c>
      <c r="G250">
        <v>22.56</v>
      </c>
      <c r="H250">
        <v>74.59</v>
      </c>
      <c r="I250">
        <v>18.14</v>
      </c>
      <c r="J250">
        <v>59.99</v>
      </c>
      <c r="K250">
        <v>210</v>
      </c>
      <c r="T250">
        <v>3</v>
      </c>
      <c r="U250">
        <v>1</v>
      </c>
      <c r="V250" t="s">
        <v>153</v>
      </c>
      <c r="W250">
        <v>74</v>
      </c>
      <c r="X250">
        <v>15</v>
      </c>
      <c r="Y250">
        <v>15</v>
      </c>
      <c r="Z250" t="s">
        <v>566</v>
      </c>
      <c r="AA250" t="s">
        <v>567</v>
      </c>
      <c r="AB250" t="s">
        <v>156</v>
      </c>
      <c r="AC250" t="s">
        <v>157</v>
      </c>
      <c r="AD250" t="s">
        <v>158</v>
      </c>
      <c r="AE250" t="s">
        <v>128</v>
      </c>
      <c r="AG250" t="s">
        <v>568</v>
      </c>
      <c r="AH250">
        <v>0</v>
      </c>
      <c r="AI250">
        <v>146</v>
      </c>
      <c r="AJ250">
        <v>13</v>
      </c>
      <c r="AK250">
        <v>176</v>
      </c>
      <c r="AL250">
        <v>0.84</v>
      </c>
    </row>
    <row r="251" spans="1:38" x14ac:dyDescent="0.3">
      <c r="A251" t="s">
        <v>569</v>
      </c>
      <c r="B251">
        <v>111020</v>
      </c>
      <c r="C251">
        <v>1</v>
      </c>
      <c r="D251" t="s">
        <v>570</v>
      </c>
      <c r="E251" t="s">
        <v>571</v>
      </c>
      <c r="F251">
        <v>181</v>
      </c>
      <c r="G251">
        <v>25.72</v>
      </c>
      <c r="H251">
        <v>85.04</v>
      </c>
      <c r="I251">
        <v>18.14</v>
      </c>
      <c r="J251">
        <v>59.97</v>
      </c>
      <c r="K251">
        <v>133</v>
      </c>
      <c r="T251">
        <v>3</v>
      </c>
      <c r="U251">
        <v>2</v>
      </c>
      <c r="V251" t="s">
        <v>153</v>
      </c>
      <c r="W251">
        <v>85</v>
      </c>
      <c r="X251">
        <v>25</v>
      </c>
      <c r="Y251">
        <v>14</v>
      </c>
      <c r="Z251" t="s">
        <v>572</v>
      </c>
      <c r="AA251" t="s">
        <v>573</v>
      </c>
      <c r="AB251" t="s">
        <v>156</v>
      </c>
      <c r="AC251" t="s">
        <v>157</v>
      </c>
      <c r="AD251" t="s">
        <v>158</v>
      </c>
      <c r="AE251" t="s">
        <v>574</v>
      </c>
      <c r="AG251" t="s">
        <v>575</v>
      </c>
      <c r="AH251">
        <v>0</v>
      </c>
      <c r="AI251">
        <v>229</v>
      </c>
      <c r="AJ251">
        <v>18</v>
      </c>
      <c r="AK251">
        <v>240</v>
      </c>
      <c r="AL251">
        <v>1.33</v>
      </c>
    </row>
    <row r="252" spans="1:38" x14ac:dyDescent="0.3">
      <c r="A252" t="s">
        <v>569</v>
      </c>
      <c r="B252">
        <v>111020</v>
      </c>
      <c r="C252">
        <v>2</v>
      </c>
      <c r="D252" t="s">
        <v>570</v>
      </c>
      <c r="E252" t="s">
        <v>571</v>
      </c>
      <c r="F252">
        <v>181</v>
      </c>
      <c r="G252">
        <v>31</v>
      </c>
      <c r="H252">
        <v>102.51</v>
      </c>
      <c r="I252">
        <v>23.01</v>
      </c>
      <c r="J252">
        <v>76.08</v>
      </c>
      <c r="K252">
        <v>48</v>
      </c>
      <c r="T252">
        <v>3</v>
      </c>
      <c r="U252">
        <v>2</v>
      </c>
      <c r="V252" t="s">
        <v>153</v>
      </c>
      <c r="W252">
        <v>102</v>
      </c>
      <c r="X252">
        <v>25</v>
      </c>
      <c r="Y252">
        <v>14</v>
      </c>
      <c r="Z252" t="s">
        <v>572</v>
      </c>
      <c r="AA252" t="s">
        <v>573</v>
      </c>
      <c r="AB252" t="s">
        <v>156</v>
      </c>
      <c r="AC252" t="s">
        <v>157</v>
      </c>
      <c r="AD252" t="s">
        <v>158</v>
      </c>
      <c r="AE252" t="s">
        <v>574</v>
      </c>
      <c r="AG252" t="s">
        <v>575</v>
      </c>
      <c r="AH252">
        <v>0</v>
      </c>
      <c r="AI252">
        <v>229</v>
      </c>
      <c r="AJ252">
        <v>18</v>
      </c>
      <c r="AK252">
        <v>240</v>
      </c>
      <c r="AL252">
        <v>1.33</v>
      </c>
    </row>
    <row r="253" spans="1:38" x14ac:dyDescent="0.3">
      <c r="A253" t="s">
        <v>569</v>
      </c>
      <c r="B253">
        <v>118122</v>
      </c>
      <c r="C253">
        <v>1</v>
      </c>
      <c r="D253" t="s">
        <v>576</v>
      </c>
      <c r="E253" t="s">
        <v>577</v>
      </c>
      <c r="F253">
        <v>284</v>
      </c>
      <c r="G253">
        <v>20.05</v>
      </c>
      <c r="H253">
        <v>66.3</v>
      </c>
      <c r="I253">
        <v>14.46</v>
      </c>
      <c r="J253">
        <v>47.82</v>
      </c>
      <c r="K253">
        <v>36</v>
      </c>
      <c r="T253">
        <v>2</v>
      </c>
      <c r="U253">
        <v>1</v>
      </c>
      <c r="V253" t="s">
        <v>153</v>
      </c>
      <c r="W253" t="s">
        <v>578</v>
      </c>
      <c r="X253">
        <v>21</v>
      </c>
      <c r="Y253">
        <v>16</v>
      </c>
      <c r="Z253" t="s">
        <v>579</v>
      </c>
      <c r="AA253" t="s">
        <v>580</v>
      </c>
      <c r="AB253" t="s">
        <v>156</v>
      </c>
      <c r="AC253" t="s">
        <v>157</v>
      </c>
      <c r="AD253" t="s">
        <v>158</v>
      </c>
      <c r="AE253" t="s">
        <v>574</v>
      </c>
      <c r="AG253" t="s">
        <v>581</v>
      </c>
      <c r="AH253">
        <v>0</v>
      </c>
      <c r="AI253">
        <v>982</v>
      </c>
      <c r="AJ253">
        <v>70</v>
      </c>
      <c r="AK253">
        <v>202</v>
      </c>
      <c r="AL253">
        <v>0.71</v>
      </c>
    </row>
    <row r="254" spans="1:38" x14ac:dyDescent="0.3">
      <c r="A254" t="s">
        <v>569</v>
      </c>
      <c r="B254">
        <v>118122</v>
      </c>
      <c r="C254">
        <v>2</v>
      </c>
      <c r="D254" t="s">
        <v>576</v>
      </c>
      <c r="E254" t="s">
        <v>577</v>
      </c>
      <c r="F254">
        <v>284</v>
      </c>
      <c r="G254">
        <v>20.18</v>
      </c>
      <c r="H254">
        <v>66.73</v>
      </c>
      <c r="I254">
        <v>14.55</v>
      </c>
      <c r="J254">
        <v>48.13</v>
      </c>
      <c r="K254">
        <v>18</v>
      </c>
      <c r="T254">
        <v>1</v>
      </c>
      <c r="U254">
        <v>1</v>
      </c>
      <c r="V254" t="s">
        <v>153</v>
      </c>
      <c r="W254" t="s">
        <v>353</v>
      </c>
      <c r="X254">
        <v>21</v>
      </c>
      <c r="Y254">
        <v>16</v>
      </c>
      <c r="Z254" t="s">
        <v>579</v>
      </c>
      <c r="AA254" t="s">
        <v>580</v>
      </c>
      <c r="AB254" t="s">
        <v>156</v>
      </c>
      <c r="AC254" t="s">
        <v>157</v>
      </c>
      <c r="AD254" t="s">
        <v>158</v>
      </c>
      <c r="AE254" t="s">
        <v>574</v>
      </c>
      <c r="AG254" t="s">
        <v>581</v>
      </c>
      <c r="AH254">
        <v>0</v>
      </c>
      <c r="AI254">
        <v>982</v>
      </c>
      <c r="AJ254">
        <v>70</v>
      </c>
      <c r="AK254">
        <v>202</v>
      </c>
      <c r="AL254">
        <v>0.71</v>
      </c>
    </row>
    <row r="255" spans="1:38" x14ac:dyDescent="0.3">
      <c r="A255" t="s">
        <v>569</v>
      </c>
      <c r="B255">
        <v>118122</v>
      </c>
      <c r="C255">
        <v>3</v>
      </c>
      <c r="D255" t="s">
        <v>576</v>
      </c>
      <c r="E255" t="s">
        <v>577</v>
      </c>
      <c r="F255">
        <v>284</v>
      </c>
      <c r="G255">
        <v>20.3</v>
      </c>
      <c r="H255">
        <v>67.14</v>
      </c>
      <c r="I255">
        <v>14.64</v>
      </c>
      <c r="J255">
        <v>48.42</v>
      </c>
      <c r="K255">
        <v>186</v>
      </c>
      <c r="T255">
        <v>2</v>
      </c>
      <c r="U255">
        <v>1</v>
      </c>
      <c r="V255" t="s">
        <v>153</v>
      </c>
      <c r="W255" t="s">
        <v>113</v>
      </c>
      <c r="X255">
        <v>21</v>
      </c>
      <c r="Y255">
        <v>16</v>
      </c>
      <c r="Z255" t="s">
        <v>579</v>
      </c>
      <c r="AA255" t="s">
        <v>580</v>
      </c>
      <c r="AB255" t="s">
        <v>156</v>
      </c>
      <c r="AC255" t="s">
        <v>157</v>
      </c>
      <c r="AD255" t="s">
        <v>158</v>
      </c>
      <c r="AE255" t="s">
        <v>574</v>
      </c>
      <c r="AG255" t="s">
        <v>581</v>
      </c>
      <c r="AH255">
        <v>0</v>
      </c>
      <c r="AI255">
        <v>982</v>
      </c>
      <c r="AJ255">
        <v>70</v>
      </c>
      <c r="AK255">
        <v>202</v>
      </c>
      <c r="AL255">
        <v>0.71</v>
      </c>
    </row>
    <row r="256" spans="1:38" x14ac:dyDescent="0.3">
      <c r="A256" t="s">
        <v>569</v>
      </c>
      <c r="B256">
        <v>118122</v>
      </c>
      <c r="C256">
        <v>4</v>
      </c>
      <c r="D256" t="s">
        <v>576</v>
      </c>
      <c r="E256" t="s">
        <v>577</v>
      </c>
      <c r="F256">
        <v>284</v>
      </c>
      <c r="G256">
        <v>20.420000000000002</v>
      </c>
      <c r="H256">
        <v>67.53</v>
      </c>
      <c r="I256">
        <v>14.73</v>
      </c>
      <c r="J256">
        <v>48.71</v>
      </c>
      <c r="K256">
        <v>44</v>
      </c>
      <c r="T256">
        <v>1</v>
      </c>
      <c r="U256">
        <v>1</v>
      </c>
      <c r="V256" t="s">
        <v>153</v>
      </c>
      <c r="W256" t="s">
        <v>278</v>
      </c>
      <c r="X256">
        <v>21</v>
      </c>
      <c r="Y256">
        <v>16</v>
      </c>
      <c r="Z256" t="s">
        <v>579</v>
      </c>
      <c r="AA256" t="s">
        <v>580</v>
      </c>
      <c r="AB256" t="s">
        <v>156</v>
      </c>
      <c r="AC256" t="s">
        <v>157</v>
      </c>
      <c r="AD256" t="s">
        <v>158</v>
      </c>
      <c r="AE256" t="s">
        <v>574</v>
      </c>
      <c r="AG256" t="s">
        <v>581</v>
      </c>
      <c r="AH256">
        <v>0</v>
      </c>
      <c r="AI256">
        <v>982</v>
      </c>
      <c r="AJ256">
        <v>70</v>
      </c>
      <c r="AK256">
        <v>202</v>
      </c>
      <c r="AL256">
        <v>0.71</v>
      </c>
    </row>
    <row r="257" spans="1:38" x14ac:dyDescent="0.3">
      <c r="A257" t="s">
        <v>569</v>
      </c>
      <c r="B257">
        <v>126838</v>
      </c>
      <c r="C257">
        <v>1</v>
      </c>
      <c r="D257" t="s">
        <v>582</v>
      </c>
      <c r="E257" t="s">
        <v>583</v>
      </c>
      <c r="F257">
        <v>60</v>
      </c>
      <c r="G257">
        <v>20.059999999999999</v>
      </c>
      <c r="H257">
        <v>66.34</v>
      </c>
      <c r="I257">
        <v>17.59</v>
      </c>
      <c r="J257">
        <v>58.16</v>
      </c>
      <c r="K257">
        <v>60</v>
      </c>
      <c r="T257">
        <v>3</v>
      </c>
      <c r="U257">
        <v>1</v>
      </c>
      <c r="V257" t="s">
        <v>153</v>
      </c>
      <c r="W257">
        <v>66</v>
      </c>
      <c r="X257">
        <v>5</v>
      </c>
      <c r="Y257">
        <v>5</v>
      </c>
      <c r="Z257" t="s">
        <v>584</v>
      </c>
      <c r="AA257" t="s">
        <v>585</v>
      </c>
      <c r="AB257" t="s">
        <v>156</v>
      </c>
      <c r="AC257" t="s">
        <v>157</v>
      </c>
      <c r="AD257" t="s">
        <v>158</v>
      </c>
      <c r="AE257" t="s">
        <v>574</v>
      </c>
      <c r="AG257" t="s">
        <v>586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">
      <c r="A258" t="s">
        <v>569</v>
      </c>
      <c r="B258">
        <v>129322</v>
      </c>
      <c r="C258">
        <v>1</v>
      </c>
      <c r="D258" t="s">
        <v>587</v>
      </c>
      <c r="E258" t="s">
        <v>445</v>
      </c>
      <c r="F258">
        <v>18</v>
      </c>
      <c r="G258">
        <v>32.29</v>
      </c>
      <c r="H258">
        <v>106.76</v>
      </c>
      <c r="I258">
        <v>26.58</v>
      </c>
      <c r="J258">
        <v>87.88</v>
      </c>
      <c r="K258">
        <v>18</v>
      </c>
      <c r="T258">
        <v>4</v>
      </c>
      <c r="U258">
        <v>2</v>
      </c>
      <c r="V258" t="s">
        <v>153</v>
      </c>
      <c r="W258">
        <v>106</v>
      </c>
      <c r="X258">
        <v>10</v>
      </c>
      <c r="Y258">
        <v>10</v>
      </c>
      <c r="Z258" t="s">
        <v>588</v>
      </c>
      <c r="AA258" t="s">
        <v>589</v>
      </c>
      <c r="AB258" t="s">
        <v>156</v>
      </c>
      <c r="AC258" t="s">
        <v>157</v>
      </c>
      <c r="AD258" t="s">
        <v>158</v>
      </c>
      <c r="AE258" t="s">
        <v>574</v>
      </c>
      <c r="AG258" t="s">
        <v>590</v>
      </c>
      <c r="AH258">
        <v>0</v>
      </c>
      <c r="AI258">
        <v>270</v>
      </c>
      <c r="AJ258">
        <v>50</v>
      </c>
      <c r="AK258">
        <v>29</v>
      </c>
      <c r="AL258">
        <v>1.61</v>
      </c>
    </row>
    <row r="259" spans="1:38" x14ac:dyDescent="0.3">
      <c r="A259" t="s">
        <v>569</v>
      </c>
      <c r="B259">
        <v>17233</v>
      </c>
      <c r="C259">
        <v>1</v>
      </c>
      <c r="D259" t="s">
        <v>591</v>
      </c>
      <c r="E259" t="s">
        <v>592</v>
      </c>
      <c r="F259">
        <v>78</v>
      </c>
      <c r="G259">
        <v>21.74</v>
      </c>
      <c r="H259">
        <v>71.88</v>
      </c>
      <c r="I259">
        <v>15.43</v>
      </c>
      <c r="J259">
        <v>51.04</v>
      </c>
      <c r="K259">
        <v>48</v>
      </c>
      <c r="T259">
        <v>2</v>
      </c>
      <c r="U259">
        <v>1</v>
      </c>
      <c r="V259" t="s">
        <v>153</v>
      </c>
      <c r="W259">
        <v>71</v>
      </c>
      <c r="X259">
        <v>8</v>
      </c>
      <c r="Y259">
        <v>8</v>
      </c>
      <c r="Z259" t="s">
        <v>593</v>
      </c>
      <c r="AA259" t="s">
        <v>594</v>
      </c>
      <c r="AB259" t="s">
        <v>156</v>
      </c>
      <c r="AC259" t="s">
        <v>157</v>
      </c>
      <c r="AD259" t="s">
        <v>158</v>
      </c>
      <c r="AE259" t="s">
        <v>574</v>
      </c>
      <c r="AG259" t="s">
        <v>595</v>
      </c>
      <c r="AH259">
        <v>0</v>
      </c>
      <c r="AI259">
        <v>259</v>
      </c>
      <c r="AJ259">
        <v>59</v>
      </c>
      <c r="AK259">
        <v>78</v>
      </c>
      <c r="AL259">
        <v>1</v>
      </c>
    </row>
    <row r="260" spans="1:38" x14ac:dyDescent="0.3">
      <c r="A260" t="s">
        <v>569</v>
      </c>
      <c r="B260">
        <v>17233</v>
      </c>
      <c r="C260">
        <v>2</v>
      </c>
      <c r="D260" t="s">
        <v>591</v>
      </c>
      <c r="E260" t="s">
        <v>592</v>
      </c>
      <c r="F260">
        <v>78</v>
      </c>
      <c r="G260">
        <v>25.99</v>
      </c>
      <c r="H260">
        <v>85.95</v>
      </c>
      <c r="I260">
        <v>18.46</v>
      </c>
      <c r="J260">
        <v>61.03</v>
      </c>
      <c r="K260">
        <v>18</v>
      </c>
      <c r="T260">
        <v>3</v>
      </c>
      <c r="U260">
        <v>1</v>
      </c>
      <c r="V260" t="s">
        <v>153</v>
      </c>
      <c r="W260">
        <v>85</v>
      </c>
      <c r="X260">
        <v>8</v>
      </c>
      <c r="Y260">
        <v>8</v>
      </c>
      <c r="Z260" t="s">
        <v>593</v>
      </c>
      <c r="AA260" t="s">
        <v>594</v>
      </c>
      <c r="AB260" t="s">
        <v>156</v>
      </c>
      <c r="AC260" t="s">
        <v>157</v>
      </c>
      <c r="AD260" t="s">
        <v>158</v>
      </c>
      <c r="AE260" t="s">
        <v>574</v>
      </c>
      <c r="AG260" t="s">
        <v>595</v>
      </c>
      <c r="AH260">
        <v>0</v>
      </c>
      <c r="AI260">
        <v>259</v>
      </c>
      <c r="AJ260">
        <v>59</v>
      </c>
      <c r="AK260">
        <v>78</v>
      </c>
      <c r="AL260">
        <v>1</v>
      </c>
    </row>
    <row r="261" spans="1:38" x14ac:dyDescent="0.3">
      <c r="A261" t="s">
        <v>569</v>
      </c>
      <c r="B261">
        <v>17233</v>
      </c>
      <c r="C261">
        <v>3</v>
      </c>
      <c r="D261" t="s">
        <v>591</v>
      </c>
      <c r="E261" t="s">
        <v>592</v>
      </c>
      <c r="F261">
        <v>78</v>
      </c>
      <c r="G261">
        <v>28.5</v>
      </c>
      <c r="H261">
        <v>94.23</v>
      </c>
      <c r="I261">
        <v>20.239999999999998</v>
      </c>
      <c r="J261">
        <v>66.92</v>
      </c>
      <c r="K261">
        <v>12</v>
      </c>
      <c r="T261">
        <v>3</v>
      </c>
      <c r="U261">
        <v>1</v>
      </c>
      <c r="V261" t="s">
        <v>153</v>
      </c>
      <c r="W261">
        <v>94</v>
      </c>
      <c r="X261">
        <v>8</v>
      </c>
      <c r="Y261">
        <v>8</v>
      </c>
      <c r="Z261" t="s">
        <v>593</v>
      </c>
      <c r="AA261" t="s">
        <v>594</v>
      </c>
      <c r="AB261" t="s">
        <v>156</v>
      </c>
      <c r="AC261" t="s">
        <v>157</v>
      </c>
      <c r="AD261" t="s">
        <v>158</v>
      </c>
      <c r="AE261" t="s">
        <v>574</v>
      </c>
      <c r="AG261" t="s">
        <v>595</v>
      </c>
      <c r="AH261">
        <v>0</v>
      </c>
      <c r="AI261">
        <v>259</v>
      </c>
      <c r="AJ261">
        <v>59</v>
      </c>
      <c r="AK261">
        <v>78</v>
      </c>
      <c r="AL261">
        <v>1</v>
      </c>
    </row>
    <row r="262" spans="1:38" x14ac:dyDescent="0.3">
      <c r="A262" t="s">
        <v>569</v>
      </c>
      <c r="B262">
        <v>15405</v>
      </c>
      <c r="C262">
        <v>1</v>
      </c>
      <c r="D262" t="s">
        <v>596</v>
      </c>
      <c r="E262" t="s">
        <v>207</v>
      </c>
      <c r="F262">
        <v>110</v>
      </c>
      <c r="G262">
        <v>33.450000000000003</v>
      </c>
      <c r="H262">
        <v>110.59</v>
      </c>
      <c r="I262">
        <v>25.59</v>
      </c>
      <c r="J262">
        <v>84.6</v>
      </c>
      <c r="K262">
        <v>110</v>
      </c>
      <c r="T262">
        <v>3</v>
      </c>
      <c r="U262">
        <v>1</v>
      </c>
      <c r="V262" t="s">
        <v>153</v>
      </c>
      <c r="W262">
        <v>110</v>
      </c>
      <c r="X262">
        <v>5</v>
      </c>
      <c r="Y262">
        <v>5</v>
      </c>
      <c r="Z262" t="s">
        <v>597</v>
      </c>
      <c r="AA262" t="s">
        <v>598</v>
      </c>
      <c r="AB262" t="s">
        <v>156</v>
      </c>
      <c r="AC262" t="s">
        <v>157</v>
      </c>
      <c r="AD262" t="s">
        <v>158</v>
      </c>
      <c r="AE262" t="s">
        <v>574</v>
      </c>
      <c r="AG262" t="s">
        <v>599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569</v>
      </c>
      <c r="B263">
        <v>7166</v>
      </c>
      <c r="C263">
        <v>1</v>
      </c>
      <c r="D263" t="s">
        <v>191</v>
      </c>
      <c r="E263" t="s">
        <v>600</v>
      </c>
      <c r="F263">
        <v>77</v>
      </c>
      <c r="G263">
        <v>16.91</v>
      </c>
      <c r="H263">
        <v>55.92</v>
      </c>
      <c r="I263">
        <v>14.96</v>
      </c>
      <c r="J263">
        <v>49.48</v>
      </c>
      <c r="K263">
        <v>58</v>
      </c>
      <c r="T263">
        <v>2</v>
      </c>
      <c r="U263">
        <v>1</v>
      </c>
      <c r="V263" t="s">
        <v>153</v>
      </c>
      <c r="W263">
        <v>55</v>
      </c>
      <c r="X263">
        <v>5</v>
      </c>
      <c r="Y263">
        <v>3</v>
      </c>
      <c r="Z263" t="s">
        <v>601</v>
      </c>
      <c r="AA263" t="s">
        <v>602</v>
      </c>
      <c r="AB263" t="s">
        <v>156</v>
      </c>
      <c r="AC263" t="s">
        <v>157</v>
      </c>
      <c r="AD263" t="s">
        <v>158</v>
      </c>
      <c r="AE263" t="s">
        <v>574</v>
      </c>
      <c r="AG263" t="s">
        <v>603</v>
      </c>
      <c r="AH263">
        <v>0</v>
      </c>
      <c r="AI263">
        <v>0</v>
      </c>
      <c r="AJ263">
        <v>0</v>
      </c>
      <c r="AK263">
        <v>88</v>
      </c>
      <c r="AL263">
        <v>1.1399999999999999</v>
      </c>
    </row>
    <row r="264" spans="1:38" x14ac:dyDescent="0.3">
      <c r="A264" t="s">
        <v>569</v>
      </c>
      <c r="B264">
        <v>7166</v>
      </c>
      <c r="C264">
        <v>2</v>
      </c>
      <c r="D264" t="s">
        <v>191</v>
      </c>
      <c r="E264" t="s">
        <v>600</v>
      </c>
      <c r="F264">
        <v>77</v>
      </c>
      <c r="G264">
        <v>19.12</v>
      </c>
      <c r="H264">
        <v>63.22</v>
      </c>
      <c r="I264">
        <v>17.09</v>
      </c>
      <c r="J264">
        <v>56.5</v>
      </c>
      <c r="K264">
        <v>6</v>
      </c>
      <c r="T264">
        <v>2</v>
      </c>
      <c r="U264">
        <v>1</v>
      </c>
      <c r="V264" t="s">
        <v>153</v>
      </c>
      <c r="W264">
        <v>63</v>
      </c>
      <c r="X264">
        <v>5</v>
      </c>
      <c r="Y264">
        <v>3</v>
      </c>
      <c r="Z264" t="s">
        <v>601</v>
      </c>
      <c r="AA264" t="s">
        <v>602</v>
      </c>
      <c r="AB264" t="s">
        <v>156</v>
      </c>
      <c r="AC264" t="s">
        <v>157</v>
      </c>
      <c r="AD264" t="s">
        <v>158</v>
      </c>
      <c r="AE264" t="s">
        <v>574</v>
      </c>
      <c r="AG264" t="s">
        <v>603</v>
      </c>
      <c r="AH264">
        <v>0</v>
      </c>
      <c r="AI264">
        <v>0</v>
      </c>
      <c r="AJ264">
        <v>0</v>
      </c>
      <c r="AK264">
        <v>88</v>
      </c>
      <c r="AL264">
        <v>1.1399999999999999</v>
      </c>
    </row>
    <row r="265" spans="1:38" x14ac:dyDescent="0.3">
      <c r="A265" t="s">
        <v>569</v>
      </c>
      <c r="B265">
        <v>7166</v>
      </c>
      <c r="C265">
        <v>3</v>
      </c>
      <c r="D265" t="s">
        <v>191</v>
      </c>
      <c r="E265" t="s">
        <v>600</v>
      </c>
      <c r="F265">
        <v>77</v>
      </c>
      <c r="G265">
        <v>19.89</v>
      </c>
      <c r="H265">
        <v>65.78</v>
      </c>
      <c r="I265">
        <v>15.83</v>
      </c>
      <c r="J265">
        <v>52.34</v>
      </c>
      <c r="K265">
        <v>3</v>
      </c>
      <c r="T265">
        <v>2</v>
      </c>
      <c r="U265">
        <v>1</v>
      </c>
      <c r="V265" t="s">
        <v>153</v>
      </c>
      <c r="W265">
        <v>65</v>
      </c>
      <c r="X265">
        <v>5</v>
      </c>
      <c r="Y265">
        <v>3</v>
      </c>
      <c r="Z265" t="s">
        <v>601</v>
      </c>
      <c r="AA265" t="s">
        <v>602</v>
      </c>
      <c r="AB265" t="s">
        <v>156</v>
      </c>
      <c r="AC265" t="s">
        <v>157</v>
      </c>
      <c r="AD265" t="s">
        <v>158</v>
      </c>
      <c r="AE265" t="s">
        <v>574</v>
      </c>
      <c r="AG265" t="s">
        <v>603</v>
      </c>
      <c r="AH265">
        <v>0</v>
      </c>
      <c r="AI265">
        <v>0</v>
      </c>
      <c r="AJ265">
        <v>0</v>
      </c>
      <c r="AK265">
        <v>88</v>
      </c>
      <c r="AL265">
        <v>1.1399999999999999</v>
      </c>
    </row>
    <row r="266" spans="1:38" x14ac:dyDescent="0.3">
      <c r="A266" t="s">
        <v>569</v>
      </c>
      <c r="B266">
        <v>7166</v>
      </c>
      <c r="C266">
        <v>4</v>
      </c>
      <c r="D266" t="s">
        <v>191</v>
      </c>
      <c r="E266" t="s">
        <v>600</v>
      </c>
      <c r="F266">
        <v>77</v>
      </c>
      <c r="G266">
        <v>22.22</v>
      </c>
      <c r="H266">
        <v>73.47</v>
      </c>
      <c r="I266">
        <v>16.77</v>
      </c>
      <c r="J266">
        <v>55.44</v>
      </c>
      <c r="K266">
        <v>4</v>
      </c>
      <c r="T266">
        <v>3</v>
      </c>
      <c r="U266">
        <v>1</v>
      </c>
      <c r="V266" t="s">
        <v>153</v>
      </c>
      <c r="W266">
        <v>73</v>
      </c>
      <c r="X266">
        <v>5</v>
      </c>
      <c r="Y266">
        <v>3</v>
      </c>
      <c r="Z266" t="s">
        <v>601</v>
      </c>
      <c r="AA266" t="s">
        <v>602</v>
      </c>
      <c r="AB266" t="s">
        <v>156</v>
      </c>
      <c r="AC266" t="s">
        <v>157</v>
      </c>
      <c r="AD266" t="s">
        <v>158</v>
      </c>
      <c r="AE266" t="s">
        <v>574</v>
      </c>
      <c r="AG266" t="s">
        <v>603</v>
      </c>
      <c r="AH266">
        <v>0</v>
      </c>
      <c r="AI266">
        <v>0</v>
      </c>
      <c r="AJ266">
        <v>0</v>
      </c>
      <c r="AK266">
        <v>88</v>
      </c>
      <c r="AL266">
        <v>1.1399999999999999</v>
      </c>
    </row>
    <row r="267" spans="1:38" x14ac:dyDescent="0.3">
      <c r="A267" t="s">
        <v>569</v>
      </c>
      <c r="B267">
        <v>7166</v>
      </c>
      <c r="C267">
        <v>5</v>
      </c>
      <c r="D267" t="s">
        <v>191</v>
      </c>
      <c r="E267" t="s">
        <v>600</v>
      </c>
      <c r="F267">
        <v>77</v>
      </c>
      <c r="G267">
        <v>22.72</v>
      </c>
      <c r="H267">
        <v>75.11</v>
      </c>
      <c r="I267">
        <v>17.16</v>
      </c>
      <c r="J267">
        <v>56.76</v>
      </c>
      <c r="K267">
        <v>4</v>
      </c>
      <c r="T267">
        <v>3</v>
      </c>
      <c r="U267">
        <v>1</v>
      </c>
      <c r="V267" t="s">
        <v>153</v>
      </c>
      <c r="W267">
        <v>75</v>
      </c>
      <c r="X267">
        <v>5</v>
      </c>
      <c r="Y267">
        <v>3</v>
      </c>
      <c r="Z267" t="s">
        <v>601</v>
      </c>
      <c r="AA267" t="s">
        <v>602</v>
      </c>
      <c r="AB267" t="s">
        <v>156</v>
      </c>
      <c r="AC267" t="s">
        <v>157</v>
      </c>
      <c r="AD267" t="s">
        <v>158</v>
      </c>
      <c r="AE267" t="s">
        <v>574</v>
      </c>
      <c r="AG267" t="s">
        <v>603</v>
      </c>
      <c r="AH267">
        <v>0</v>
      </c>
      <c r="AI267">
        <v>0</v>
      </c>
      <c r="AJ267">
        <v>0</v>
      </c>
      <c r="AK267">
        <v>88</v>
      </c>
      <c r="AL267">
        <v>1.1399999999999999</v>
      </c>
    </row>
    <row r="268" spans="1:38" x14ac:dyDescent="0.3">
      <c r="A268" t="s">
        <v>569</v>
      </c>
      <c r="B268">
        <v>7166</v>
      </c>
      <c r="C268">
        <v>6</v>
      </c>
      <c r="D268" t="s">
        <v>191</v>
      </c>
      <c r="E268" t="s">
        <v>600</v>
      </c>
      <c r="F268">
        <v>77</v>
      </c>
      <c r="G268">
        <v>26.19</v>
      </c>
      <c r="H268">
        <v>86.59</v>
      </c>
      <c r="I268">
        <v>19.96</v>
      </c>
      <c r="J268">
        <v>66</v>
      </c>
      <c r="K268">
        <v>2</v>
      </c>
      <c r="T268">
        <v>3</v>
      </c>
      <c r="U268">
        <v>1</v>
      </c>
      <c r="V268" t="s">
        <v>153</v>
      </c>
      <c r="W268">
        <v>86</v>
      </c>
      <c r="X268">
        <v>5</v>
      </c>
      <c r="Y268">
        <v>3</v>
      </c>
      <c r="Z268" t="s">
        <v>601</v>
      </c>
      <c r="AA268" t="s">
        <v>602</v>
      </c>
      <c r="AB268" t="s">
        <v>156</v>
      </c>
      <c r="AC268" t="s">
        <v>157</v>
      </c>
      <c r="AD268" t="s">
        <v>158</v>
      </c>
      <c r="AE268" t="s">
        <v>574</v>
      </c>
      <c r="AG268" t="s">
        <v>603</v>
      </c>
      <c r="AH268">
        <v>0</v>
      </c>
      <c r="AI268">
        <v>0</v>
      </c>
      <c r="AJ268">
        <v>0</v>
      </c>
      <c r="AK268">
        <v>88</v>
      </c>
      <c r="AL268">
        <v>1.1399999999999999</v>
      </c>
    </row>
    <row r="269" spans="1:38" x14ac:dyDescent="0.3">
      <c r="A269" t="s">
        <v>569</v>
      </c>
      <c r="B269">
        <v>103997</v>
      </c>
      <c r="C269">
        <v>1</v>
      </c>
      <c r="D269" t="s">
        <v>604</v>
      </c>
      <c r="E269" t="s">
        <v>411</v>
      </c>
      <c r="F269">
        <v>236</v>
      </c>
      <c r="G269">
        <v>12.15</v>
      </c>
      <c r="H269">
        <v>40.17</v>
      </c>
      <c r="I269">
        <v>9.15</v>
      </c>
      <c r="J269">
        <v>30.25</v>
      </c>
      <c r="K269">
        <v>10</v>
      </c>
      <c r="T269">
        <v>2</v>
      </c>
      <c r="U269">
        <v>1</v>
      </c>
      <c r="V269" t="s">
        <v>184</v>
      </c>
      <c r="W269">
        <v>40</v>
      </c>
      <c r="X269">
        <v>13</v>
      </c>
      <c r="Y269">
        <v>13</v>
      </c>
      <c r="Z269" t="s">
        <v>605</v>
      </c>
      <c r="AA269" t="s">
        <v>606</v>
      </c>
      <c r="AB269" t="s">
        <v>156</v>
      </c>
      <c r="AC269" t="s">
        <v>157</v>
      </c>
      <c r="AD269" t="s">
        <v>158</v>
      </c>
      <c r="AE269" t="s">
        <v>574</v>
      </c>
      <c r="AG269" t="s">
        <v>607</v>
      </c>
      <c r="AH269">
        <v>0</v>
      </c>
      <c r="AI269">
        <v>407</v>
      </c>
      <c r="AJ269">
        <v>59</v>
      </c>
      <c r="AK269">
        <v>166</v>
      </c>
      <c r="AL269">
        <v>0.7</v>
      </c>
    </row>
    <row r="270" spans="1:38" x14ac:dyDescent="0.3">
      <c r="A270" t="s">
        <v>569</v>
      </c>
      <c r="B270">
        <v>103997</v>
      </c>
      <c r="C270">
        <v>2</v>
      </c>
      <c r="D270" t="s">
        <v>604</v>
      </c>
      <c r="E270" t="s">
        <v>411</v>
      </c>
      <c r="F270">
        <v>236</v>
      </c>
      <c r="G270">
        <v>13.71</v>
      </c>
      <c r="H270">
        <v>45.34</v>
      </c>
      <c r="I270">
        <v>10.33</v>
      </c>
      <c r="J270">
        <v>34.15</v>
      </c>
      <c r="K270">
        <v>9</v>
      </c>
      <c r="T270">
        <v>2</v>
      </c>
      <c r="U270">
        <v>1</v>
      </c>
      <c r="V270" t="s">
        <v>184</v>
      </c>
      <c r="W270">
        <v>45</v>
      </c>
      <c r="X270">
        <v>13</v>
      </c>
      <c r="Y270">
        <v>13</v>
      </c>
      <c r="Z270" t="s">
        <v>605</v>
      </c>
      <c r="AA270" t="s">
        <v>606</v>
      </c>
      <c r="AB270" t="s">
        <v>156</v>
      </c>
      <c r="AC270" t="s">
        <v>157</v>
      </c>
      <c r="AD270" t="s">
        <v>158</v>
      </c>
      <c r="AE270" t="s">
        <v>574</v>
      </c>
      <c r="AG270" t="s">
        <v>607</v>
      </c>
      <c r="AH270">
        <v>0</v>
      </c>
      <c r="AI270">
        <v>407</v>
      </c>
      <c r="AJ270">
        <v>59</v>
      </c>
      <c r="AK270">
        <v>166</v>
      </c>
      <c r="AL270">
        <v>0.7</v>
      </c>
    </row>
    <row r="271" spans="1:38" x14ac:dyDescent="0.3">
      <c r="A271" t="s">
        <v>569</v>
      </c>
      <c r="B271">
        <v>103997</v>
      </c>
      <c r="C271">
        <v>3</v>
      </c>
      <c r="D271" t="s">
        <v>604</v>
      </c>
      <c r="E271" t="s">
        <v>411</v>
      </c>
      <c r="F271">
        <v>236</v>
      </c>
      <c r="G271">
        <v>16.47</v>
      </c>
      <c r="H271">
        <v>54.45</v>
      </c>
      <c r="I271">
        <v>12.4</v>
      </c>
      <c r="J271">
        <v>41.02</v>
      </c>
      <c r="K271">
        <v>217</v>
      </c>
      <c r="T271">
        <v>2</v>
      </c>
      <c r="U271">
        <v>1</v>
      </c>
      <c r="V271" t="s">
        <v>184</v>
      </c>
      <c r="W271">
        <v>54</v>
      </c>
      <c r="X271">
        <v>13</v>
      </c>
      <c r="Y271">
        <v>13</v>
      </c>
      <c r="Z271" t="s">
        <v>605</v>
      </c>
      <c r="AA271" t="s">
        <v>606</v>
      </c>
      <c r="AB271" t="s">
        <v>156</v>
      </c>
      <c r="AC271" t="s">
        <v>157</v>
      </c>
      <c r="AD271" t="s">
        <v>158</v>
      </c>
      <c r="AE271" t="s">
        <v>574</v>
      </c>
      <c r="AG271" t="s">
        <v>607</v>
      </c>
      <c r="AH271">
        <v>0</v>
      </c>
      <c r="AI271">
        <v>407</v>
      </c>
      <c r="AJ271">
        <v>59</v>
      </c>
      <c r="AK271">
        <v>166</v>
      </c>
      <c r="AL271">
        <v>0.7</v>
      </c>
    </row>
    <row r="272" spans="1:38" x14ac:dyDescent="0.3">
      <c r="A272" t="s">
        <v>569</v>
      </c>
      <c r="B272">
        <v>110176</v>
      </c>
      <c r="C272">
        <v>1</v>
      </c>
      <c r="D272" t="s">
        <v>608</v>
      </c>
      <c r="E272" t="s">
        <v>609</v>
      </c>
      <c r="F272">
        <v>70</v>
      </c>
      <c r="G272">
        <v>20.059999999999999</v>
      </c>
      <c r="H272">
        <v>66.33</v>
      </c>
      <c r="I272">
        <v>18.18</v>
      </c>
      <c r="J272">
        <v>60.12</v>
      </c>
      <c r="K272">
        <v>40</v>
      </c>
      <c r="T272">
        <v>2</v>
      </c>
      <c r="U272">
        <v>1</v>
      </c>
      <c r="V272" t="s">
        <v>153</v>
      </c>
      <c r="W272">
        <v>66</v>
      </c>
      <c r="X272">
        <v>5</v>
      </c>
      <c r="Y272">
        <v>5</v>
      </c>
      <c r="Z272" t="s">
        <v>610</v>
      </c>
      <c r="AA272" t="s">
        <v>611</v>
      </c>
      <c r="AB272" t="s">
        <v>156</v>
      </c>
      <c r="AC272" t="s">
        <v>157</v>
      </c>
      <c r="AD272" t="s">
        <v>158</v>
      </c>
      <c r="AE272" t="s">
        <v>574</v>
      </c>
      <c r="AG272" t="s">
        <v>612</v>
      </c>
      <c r="AH272">
        <v>0</v>
      </c>
      <c r="AI272">
        <v>133</v>
      </c>
      <c r="AJ272">
        <v>27</v>
      </c>
      <c r="AK272">
        <v>0</v>
      </c>
      <c r="AL272">
        <v>0</v>
      </c>
    </row>
    <row r="273" spans="1:38" x14ac:dyDescent="0.3">
      <c r="A273" t="s">
        <v>569</v>
      </c>
      <c r="B273">
        <v>110176</v>
      </c>
      <c r="C273">
        <v>2</v>
      </c>
      <c r="D273" t="s">
        <v>608</v>
      </c>
      <c r="E273" t="s">
        <v>609</v>
      </c>
      <c r="F273">
        <v>70</v>
      </c>
      <c r="G273">
        <v>21.85</v>
      </c>
      <c r="H273">
        <v>72.260000000000005</v>
      </c>
      <c r="I273">
        <v>19.87</v>
      </c>
      <c r="J273">
        <v>65.7</v>
      </c>
      <c r="K273">
        <v>30</v>
      </c>
      <c r="T273">
        <v>3</v>
      </c>
      <c r="U273">
        <v>1</v>
      </c>
      <c r="V273" t="s">
        <v>153</v>
      </c>
      <c r="W273">
        <v>72</v>
      </c>
      <c r="X273">
        <v>5</v>
      </c>
      <c r="Y273">
        <v>5</v>
      </c>
      <c r="Z273" t="s">
        <v>610</v>
      </c>
      <c r="AA273" t="s">
        <v>611</v>
      </c>
      <c r="AB273" t="s">
        <v>156</v>
      </c>
      <c r="AC273" t="s">
        <v>157</v>
      </c>
      <c r="AD273" t="s">
        <v>158</v>
      </c>
      <c r="AE273" t="s">
        <v>574</v>
      </c>
      <c r="AG273" t="s">
        <v>612</v>
      </c>
      <c r="AH273">
        <v>0</v>
      </c>
      <c r="AI273">
        <v>133</v>
      </c>
      <c r="AJ273">
        <v>27</v>
      </c>
      <c r="AK273">
        <v>0</v>
      </c>
      <c r="AL273">
        <v>0</v>
      </c>
    </row>
    <row r="274" spans="1:38" x14ac:dyDescent="0.3">
      <c r="A274" t="s">
        <v>569</v>
      </c>
      <c r="B274">
        <v>107892</v>
      </c>
      <c r="C274">
        <v>1</v>
      </c>
      <c r="D274" t="s">
        <v>613</v>
      </c>
      <c r="E274" t="s">
        <v>614</v>
      </c>
      <c r="F274">
        <v>299</v>
      </c>
      <c r="G274">
        <v>7.97</v>
      </c>
      <c r="H274">
        <v>26.37</v>
      </c>
      <c r="I274">
        <v>4.58</v>
      </c>
      <c r="J274">
        <v>15.16</v>
      </c>
      <c r="K274">
        <v>17</v>
      </c>
      <c r="T274">
        <v>1</v>
      </c>
      <c r="U274">
        <v>1</v>
      </c>
      <c r="V274" t="s">
        <v>184</v>
      </c>
      <c r="W274" t="s">
        <v>615</v>
      </c>
      <c r="X274">
        <v>20</v>
      </c>
      <c r="Y274">
        <v>18</v>
      </c>
      <c r="Z274" t="s">
        <v>616</v>
      </c>
      <c r="AA274" t="s">
        <v>617</v>
      </c>
      <c r="AB274" t="s">
        <v>156</v>
      </c>
      <c r="AC274" t="s">
        <v>157</v>
      </c>
      <c r="AD274" t="s">
        <v>158</v>
      </c>
      <c r="AE274" t="s">
        <v>574</v>
      </c>
      <c r="AG274" t="s">
        <v>618</v>
      </c>
      <c r="AH274">
        <v>0</v>
      </c>
      <c r="AI274">
        <v>869</v>
      </c>
      <c r="AJ274">
        <v>63</v>
      </c>
      <c r="AK274">
        <v>73</v>
      </c>
      <c r="AL274">
        <v>0.24</v>
      </c>
    </row>
    <row r="275" spans="1:38" x14ac:dyDescent="0.3">
      <c r="A275" t="s">
        <v>569</v>
      </c>
      <c r="B275">
        <v>107892</v>
      </c>
      <c r="C275">
        <v>2</v>
      </c>
      <c r="D275" t="s">
        <v>613</v>
      </c>
      <c r="E275" t="s">
        <v>614</v>
      </c>
      <c r="F275">
        <v>299</v>
      </c>
      <c r="G275">
        <v>8.3699999999999992</v>
      </c>
      <c r="H275">
        <v>27.69</v>
      </c>
      <c r="I275">
        <v>4.9000000000000004</v>
      </c>
      <c r="J275">
        <v>16.21</v>
      </c>
      <c r="K275">
        <v>194</v>
      </c>
      <c r="T275">
        <v>1</v>
      </c>
      <c r="U275">
        <v>1</v>
      </c>
      <c r="V275" t="s">
        <v>184</v>
      </c>
      <c r="W275" t="s">
        <v>121</v>
      </c>
      <c r="X275">
        <v>20</v>
      </c>
      <c r="Y275">
        <v>18</v>
      </c>
      <c r="Z275" t="s">
        <v>616</v>
      </c>
      <c r="AA275" t="s">
        <v>617</v>
      </c>
      <c r="AB275" t="s">
        <v>156</v>
      </c>
      <c r="AC275" t="s">
        <v>157</v>
      </c>
      <c r="AD275" t="s">
        <v>158</v>
      </c>
      <c r="AE275" t="s">
        <v>574</v>
      </c>
      <c r="AG275" t="s">
        <v>618</v>
      </c>
      <c r="AH275">
        <v>0</v>
      </c>
      <c r="AI275">
        <v>869</v>
      </c>
      <c r="AJ275">
        <v>63</v>
      </c>
      <c r="AK275">
        <v>73</v>
      </c>
      <c r="AL275">
        <v>0.24</v>
      </c>
    </row>
    <row r="276" spans="1:38" x14ac:dyDescent="0.3">
      <c r="A276" t="s">
        <v>569</v>
      </c>
      <c r="B276">
        <v>107892</v>
      </c>
      <c r="C276">
        <v>3</v>
      </c>
      <c r="D276" t="s">
        <v>613</v>
      </c>
      <c r="E276" t="s">
        <v>614</v>
      </c>
      <c r="F276">
        <v>299</v>
      </c>
      <c r="G276">
        <v>8.99</v>
      </c>
      <c r="H276">
        <v>29.75</v>
      </c>
      <c r="I276">
        <v>5.2</v>
      </c>
      <c r="J276">
        <v>17.22</v>
      </c>
      <c r="K276">
        <v>17</v>
      </c>
      <c r="T276">
        <v>1</v>
      </c>
      <c r="U276">
        <v>1</v>
      </c>
      <c r="V276" t="s">
        <v>184</v>
      </c>
      <c r="W276" t="s">
        <v>619</v>
      </c>
      <c r="X276">
        <v>20</v>
      </c>
      <c r="Y276">
        <v>18</v>
      </c>
      <c r="Z276" t="s">
        <v>616</v>
      </c>
      <c r="AA276" t="s">
        <v>617</v>
      </c>
      <c r="AB276" t="s">
        <v>156</v>
      </c>
      <c r="AC276" t="s">
        <v>157</v>
      </c>
      <c r="AD276" t="s">
        <v>158</v>
      </c>
      <c r="AE276" t="s">
        <v>574</v>
      </c>
      <c r="AG276" t="s">
        <v>618</v>
      </c>
      <c r="AH276">
        <v>0</v>
      </c>
      <c r="AI276">
        <v>869</v>
      </c>
      <c r="AJ276">
        <v>63</v>
      </c>
      <c r="AK276">
        <v>73</v>
      </c>
      <c r="AL276">
        <v>0.24</v>
      </c>
    </row>
    <row r="277" spans="1:38" x14ac:dyDescent="0.3">
      <c r="A277" t="s">
        <v>569</v>
      </c>
      <c r="B277">
        <v>107892</v>
      </c>
      <c r="C277">
        <v>4</v>
      </c>
      <c r="D277" t="s">
        <v>613</v>
      </c>
      <c r="E277" t="s">
        <v>614</v>
      </c>
      <c r="F277">
        <v>299</v>
      </c>
      <c r="G277">
        <v>9.18</v>
      </c>
      <c r="H277">
        <v>30.37</v>
      </c>
      <c r="I277">
        <v>5.3</v>
      </c>
      <c r="J277">
        <v>17.53</v>
      </c>
      <c r="K277">
        <v>17</v>
      </c>
      <c r="T277">
        <v>1</v>
      </c>
      <c r="U277">
        <v>1</v>
      </c>
      <c r="V277" t="s">
        <v>153</v>
      </c>
      <c r="W277" t="s">
        <v>620</v>
      </c>
      <c r="X277">
        <v>20</v>
      </c>
      <c r="Y277">
        <v>18</v>
      </c>
      <c r="Z277" t="s">
        <v>616</v>
      </c>
      <c r="AA277" t="s">
        <v>617</v>
      </c>
      <c r="AB277" t="s">
        <v>156</v>
      </c>
      <c r="AC277" t="s">
        <v>157</v>
      </c>
      <c r="AD277" t="s">
        <v>158</v>
      </c>
      <c r="AE277" t="s">
        <v>574</v>
      </c>
      <c r="AG277" t="s">
        <v>618</v>
      </c>
      <c r="AH277">
        <v>0</v>
      </c>
      <c r="AI277">
        <v>869</v>
      </c>
      <c r="AJ277">
        <v>63</v>
      </c>
      <c r="AK277">
        <v>73</v>
      </c>
      <c r="AL277">
        <v>0.24</v>
      </c>
    </row>
    <row r="278" spans="1:38" x14ac:dyDescent="0.3">
      <c r="A278" t="s">
        <v>569</v>
      </c>
      <c r="B278">
        <v>107892</v>
      </c>
      <c r="C278">
        <v>5</v>
      </c>
      <c r="D278" t="s">
        <v>613</v>
      </c>
      <c r="E278" t="s">
        <v>614</v>
      </c>
      <c r="F278">
        <v>299</v>
      </c>
      <c r="G278">
        <v>10.64</v>
      </c>
      <c r="H278">
        <v>35.19</v>
      </c>
      <c r="I278">
        <v>6.34</v>
      </c>
      <c r="J278">
        <v>20.96</v>
      </c>
      <c r="K278">
        <v>1</v>
      </c>
      <c r="T278">
        <v>1</v>
      </c>
      <c r="U278">
        <v>1</v>
      </c>
      <c r="V278" t="s">
        <v>184</v>
      </c>
      <c r="W278" t="s">
        <v>621</v>
      </c>
      <c r="X278">
        <v>20</v>
      </c>
      <c r="Y278">
        <v>18</v>
      </c>
      <c r="Z278" t="s">
        <v>616</v>
      </c>
      <c r="AA278" t="s">
        <v>617</v>
      </c>
      <c r="AB278" t="s">
        <v>156</v>
      </c>
      <c r="AC278" t="s">
        <v>157</v>
      </c>
      <c r="AD278" t="s">
        <v>158</v>
      </c>
      <c r="AE278" t="s">
        <v>574</v>
      </c>
      <c r="AG278" t="s">
        <v>618</v>
      </c>
      <c r="AH278">
        <v>0</v>
      </c>
      <c r="AI278">
        <v>869</v>
      </c>
      <c r="AJ278">
        <v>63</v>
      </c>
      <c r="AK278">
        <v>73</v>
      </c>
      <c r="AL278">
        <v>0.24</v>
      </c>
    </row>
    <row r="279" spans="1:38" x14ac:dyDescent="0.3">
      <c r="A279" t="s">
        <v>569</v>
      </c>
      <c r="B279">
        <v>107892</v>
      </c>
      <c r="C279">
        <v>6</v>
      </c>
      <c r="D279" t="s">
        <v>613</v>
      </c>
      <c r="E279" t="s">
        <v>614</v>
      </c>
      <c r="F279">
        <v>299</v>
      </c>
      <c r="G279">
        <v>11.06</v>
      </c>
      <c r="H279">
        <v>36.57</v>
      </c>
      <c r="I279">
        <v>6.34</v>
      </c>
      <c r="J279">
        <v>20.99</v>
      </c>
      <c r="K279">
        <v>16</v>
      </c>
      <c r="T279">
        <v>1</v>
      </c>
      <c r="U279">
        <v>1</v>
      </c>
      <c r="V279" t="s">
        <v>184</v>
      </c>
      <c r="W279" t="s">
        <v>622</v>
      </c>
      <c r="X279">
        <v>20</v>
      </c>
      <c r="Y279">
        <v>18</v>
      </c>
      <c r="Z279" t="s">
        <v>616</v>
      </c>
      <c r="AA279" t="s">
        <v>617</v>
      </c>
      <c r="AB279" t="s">
        <v>156</v>
      </c>
      <c r="AC279" t="s">
        <v>157</v>
      </c>
      <c r="AD279" t="s">
        <v>158</v>
      </c>
      <c r="AE279" t="s">
        <v>574</v>
      </c>
      <c r="AG279" t="s">
        <v>618</v>
      </c>
      <c r="AH279">
        <v>0</v>
      </c>
      <c r="AI279">
        <v>869</v>
      </c>
      <c r="AJ279">
        <v>63</v>
      </c>
      <c r="AK279">
        <v>73</v>
      </c>
      <c r="AL279">
        <v>0.24</v>
      </c>
    </row>
    <row r="280" spans="1:38" x14ac:dyDescent="0.3">
      <c r="A280" t="s">
        <v>569</v>
      </c>
      <c r="B280">
        <v>107892</v>
      </c>
      <c r="C280">
        <v>7</v>
      </c>
      <c r="D280" t="s">
        <v>613</v>
      </c>
      <c r="E280" t="s">
        <v>614</v>
      </c>
      <c r="F280">
        <v>299</v>
      </c>
      <c r="G280">
        <v>11.71</v>
      </c>
      <c r="H280">
        <v>38.74</v>
      </c>
      <c r="I280">
        <v>7.01</v>
      </c>
      <c r="J280">
        <v>23.19</v>
      </c>
      <c r="K280">
        <v>16</v>
      </c>
      <c r="T280">
        <v>1</v>
      </c>
      <c r="U280">
        <v>1</v>
      </c>
      <c r="V280" t="s">
        <v>184</v>
      </c>
      <c r="W280" t="s">
        <v>623</v>
      </c>
      <c r="X280">
        <v>20</v>
      </c>
      <c r="Y280">
        <v>18</v>
      </c>
      <c r="Z280" t="s">
        <v>616</v>
      </c>
      <c r="AA280" t="s">
        <v>617</v>
      </c>
      <c r="AB280" t="s">
        <v>156</v>
      </c>
      <c r="AC280" t="s">
        <v>157</v>
      </c>
      <c r="AD280" t="s">
        <v>158</v>
      </c>
      <c r="AE280" t="s">
        <v>574</v>
      </c>
      <c r="AG280" t="s">
        <v>618</v>
      </c>
      <c r="AH280">
        <v>0</v>
      </c>
      <c r="AI280">
        <v>869</v>
      </c>
      <c r="AJ280">
        <v>63</v>
      </c>
      <c r="AK280">
        <v>73</v>
      </c>
      <c r="AL280">
        <v>0.24</v>
      </c>
    </row>
    <row r="281" spans="1:38" x14ac:dyDescent="0.3">
      <c r="A281" t="s">
        <v>569</v>
      </c>
      <c r="B281">
        <v>107892</v>
      </c>
      <c r="C281">
        <v>8</v>
      </c>
      <c r="D281" t="s">
        <v>613</v>
      </c>
      <c r="E281" t="s">
        <v>614</v>
      </c>
      <c r="F281">
        <v>299</v>
      </c>
      <c r="G281">
        <v>12.16</v>
      </c>
      <c r="H281">
        <v>40.229999999999997</v>
      </c>
      <c r="I281">
        <v>7.16</v>
      </c>
      <c r="J281">
        <v>23.68</v>
      </c>
      <c r="K281">
        <v>1</v>
      </c>
      <c r="T281">
        <v>1</v>
      </c>
      <c r="U281">
        <v>1</v>
      </c>
      <c r="V281" t="s">
        <v>184</v>
      </c>
      <c r="W281" t="s">
        <v>624</v>
      </c>
      <c r="X281">
        <v>20</v>
      </c>
      <c r="Y281">
        <v>18</v>
      </c>
      <c r="Z281" t="s">
        <v>616</v>
      </c>
      <c r="AA281" t="s">
        <v>617</v>
      </c>
      <c r="AB281" t="s">
        <v>156</v>
      </c>
      <c r="AC281" t="s">
        <v>157</v>
      </c>
      <c r="AD281" t="s">
        <v>158</v>
      </c>
      <c r="AE281" t="s">
        <v>574</v>
      </c>
      <c r="AG281" t="s">
        <v>618</v>
      </c>
      <c r="AH281">
        <v>0</v>
      </c>
      <c r="AI281">
        <v>869</v>
      </c>
      <c r="AJ281">
        <v>63</v>
      </c>
      <c r="AK281">
        <v>73</v>
      </c>
      <c r="AL281">
        <v>0.24</v>
      </c>
    </row>
    <row r="282" spans="1:38" x14ac:dyDescent="0.3">
      <c r="A282" t="s">
        <v>569</v>
      </c>
      <c r="B282">
        <v>107892</v>
      </c>
      <c r="C282">
        <v>9</v>
      </c>
      <c r="D282" t="s">
        <v>613</v>
      </c>
      <c r="E282" t="s">
        <v>614</v>
      </c>
      <c r="F282">
        <v>299</v>
      </c>
      <c r="G282">
        <v>13.09</v>
      </c>
      <c r="H282">
        <v>43.29</v>
      </c>
      <c r="I282">
        <v>7.74</v>
      </c>
      <c r="J282">
        <v>25.61</v>
      </c>
      <c r="K282">
        <v>18</v>
      </c>
      <c r="T282">
        <v>1</v>
      </c>
      <c r="U282">
        <v>1</v>
      </c>
      <c r="V282" t="s">
        <v>184</v>
      </c>
      <c r="W282" t="s">
        <v>625</v>
      </c>
      <c r="X282">
        <v>20</v>
      </c>
      <c r="Y282">
        <v>18</v>
      </c>
      <c r="Z282" t="s">
        <v>616</v>
      </c>
      <c r="AA282" t="s">
        <v>617</v>
      </c>
      <c r="AB282" t="s">
        <v>156</v>
      </c>
      <c r="AC282" t="s">
        <v>157</v>
      </c>
      <c r="AD282" t="s">
        <v>158</v>
      </c>
      <c r="AE282" t="s">
        <v>574</v>
      </c>
      <c r="AG282" t="s">
        <v>618</v>
      </c>
      <c r="AH282">
        <v>0</v>
      </c>
      <c r="AI282">
        <v>869</v>
      </c>
      <c r="AJ282">
        <v>63</v>
      </c>
      <c r="AK282">
        <v>73</v>
      </c>
      <c r="AL282">
        <v>0.24</v>
      </c>
    </row>
    <row r="283" spans="1:38" x14ac:dyDescent="0.3">
      <c r="A283" t="s">
        <v>569</v>
      </c>
      <c r="B283">
        <v>107892</v>
      </c>
      <c r="C283">
        <v>10</v>
      </c>
      <c r="D283" t="s">
        <v>613</v>
      </c>
      <c r="E283" t="s">
        <v>614</v>
      </c>
      <c r="F283">
        <v>299</v>
      </c>
      <c r="G283">
        <v>13.95</v>
      </c>
      <c r="H283">
        <v>46.13</v>
      </c>
      <c r="I283">
        <v>8.4</v>
      </c>
      <c r="J283">
        <v>27.79</v>
      </c>
      <c r="K283">
        <v>1</v>
      </c>
      <c r="T283">
        <v>1</v>
      </c>
      <c r="U283">
        <v>1</v>
      </c>
      <c r="V283" t="s">
        <v>184</v>
      </c>
      <c r="W283" t="s">
        <v>626</v>
      </c>
      <c r="X283">
        <v>20</v>
      </c>
      <c r="Y283">
        <v>18</v>
      </c>
      <c r="Z283" t="s">
        <v>616</v>
      </c>
      <c r="AA283" t="s">
        <v>617</v>
      </c>
      <c r="AB283" t="s">
        <v>156</v>
      </c>
      <c r="AC283" t="s">
        <v>157</v>
      </c>
      <c r="AD283" t="s">
        <v>158</v>
      </c>
      <c r="AE283" t="s">
        <v>574</v>
      </c>
      <c r="AG283" t="s">
        <v>618</v>
      </c>
      <c r="AH283">
        <v>0</v>
      </c>
      <c r="AI283">
        <v>869</v>
      </c>
      <c r="AJ283">
        <v>63</v>
      </c>
      <c r="AK283">
        <v>73</v>
      </c>
      <c r="AL283">
        <v>0.24</v>
      </c>
    </row>
    <row r="284" spans="1:38" x14ac:dyDescent="0.3">
      <c r="A284" t="s">
        <v>569</v>
      </c>
      <c r="B284">
        <v>107892</v>
      </c>
      <c r="C284">
        <v>11</v>
      </c>
      <c r="D284" t="s">
        <v>613</v>
      </c>
      <c r="E284" t="s">
        <v>614</v>
      </c>
      <c r="F284">
        <v>299</v>
      </c>
      <c r="G284">
        <v>14.69</v>
      </c>
      <c r="H284">
        <v>48.59</v>
      </c>
      <c r="I284">
        <v>8.86</v>
      </c>
      <c r="J284">
        <v>29.32</v>
      </c>
      <c r="K284">
        <v>1</v>
      </c>
      <c r="T284">
        <v>1</v>
      </c>
      <c r="U284">
        <v>1</v>
      </c>
      <c r="V284" t="s">
        <v>184</v>
      </c>
      <c r="W284" t="s">
        <v>627</v>
      </c>
      <c r="X284">
        <v>20</v>
      </c>
      <c r="Y284">
        <v>18</v>
      </c>
      <c r="Z284" t="s">
        <v>616</v>
      </c>
      <c r="AA284" t="s">
        <v>617</v>
      </c>
      <c r="AB284" t="s">
        <v>156</v>
      </c>
      <c r="AC284" t="s">
        <v>157</v>
      </c>
      <c r="AD284" t="s">
        <v>158</v>
      </c>
      <c r="AE284" t="s">
        <v>574</v>
      </c>
      <c r="AG284" t="s">
        <v>618</v>
      </c>
      <c r="AH284">
        <v>0</v>
      </c>
      <c r="AI284">
        <v>869</v>
      </c>
      <c r="AJ284">
        <v>63</v>
      </c>
      <c r="AK284">
        <v>73</v>
      </c>
      <c r="AL284">
        <v>0.24</v>
      </c>
    </row>
    <row r="285" spans="1:38" x14ac:dyDescent="0.3">
      <c r="A285" t="s">
        <v>569</v>
      </c>
      <c r="B285">
        <v>7164</v>
      </c>
      <c r="C285">
        <v>1</v>
      </c>
      <c r="D285" t="s">
        <v>319</v>
      </c>
      <c r="E285" t="s">
        <v>628</v>
      </c>
      <c r="F285">
        <v>345</v>
      </c>
      <c r="G285">
        <v>10.16</v>
      </c>
      <c r="H285">
        <v>33.6</v>
      </c>
      <c r="I285">
        <v>7.9</v>
      </c>
      <c r="J285">
        <v>26.13</v>
      </c>
      <c r="K285">
        <v>179</v>
      </c>
      <c r="T285">
        <v>1</v>
      </c>
      <c r="U285">
        <v>1</v>
      </c>
      <c r="V285" t="s">
        <v>153</v>
      </c>
      <c r="W285">
        <v>33</v>
      </c>
      <c r="X285">
        <v>15</v>
      </c>
      <c r="Y285">
        <v>12</v>
      </c>
      <c r="Z285" t="s">
        <v>629</v>
      </c>
      <c r="AA285" t="s">
        <v>630</v>
      </c>
      <c r="AB285" t="s">
        <v>156</v>
      </c>
      <c r="AC285" t="s">
        <v>157</v>
      </c>
      <c r="AD285" t="s">
        <v>158</v>
      </c>
      <c r="AE285" t="s">
        <v>574</v>
      </c>
      <c r="AG285" t="s">
        <v>631</v>
      </c>
      <c r="AH285">
        <v>0</v>
      </c>
      <c r="AI285">
        <v>255</v>
      </c>
      <c r="AJ285">
        <v>25</v>
      </c>
      <c r="AK285">
        <v>305</v>
      </c>
      <c r="AL285">
        <v>0.88</v>
      </c>
    </row>
    <row r="286" spans="1:38" x14ac:dyDescent="0.3">
      <c r="A286" t="s">
        <v>569</v>
      </c>
      <c r="B286">
        <v>7164</v>
      </c>
      <c r="C286">
        <v>2</v>
      </c>
      <c r="D286" t="s">
        <v>319</v>
      </c>
      <c r="E286" t="s">
        <v>628</v>
      </c>
      <c r="F286">
        <v>345</v>
      </c>
      <c r="G286">
        <v>32.89</v>
      </c>
      <c r="H286">
        <v>108.74</v>
      </c>
      <c r="I286">
        <v>25.64</v>
      </c>
      <c r="J286">
        <v>84.79</v>
      </c>
      <c r="K286">
        <v>163</v>
      </c>
      <c r="T286">
        <v>3</v>
      </c>
      <c r="U286">
        <v>2</v>
      </c>
      <c r="V286" t="s">
        <v>153</v>
      </c>
      <c r="W286">
        <v>108</v>
      </c>
      <c r="X286">
        <v>15</v>
      </c>
      <c r="Y286">
        <v>12</v>
      </c>
      <c r="Z286" t="s">
        <v>629</v>
      </c>
      <c r="AA286" t="s">
        <v>630</v>
      </c>
      <c r="AB286" t="s">
        <v>156</v>
      </c>
      <c r="AC286" t="s">
        <v>157</v>
      </c>
      <c r="AD286" t="s">
        <v>158</v>
      </c>
      <c r="AE286" t="s">
        <v>574</v>
      </c>
      <c r="AG286" t="s">
        <v>631</v>
      </c>
      <c r="AH286">
        <v>0</v>
      </c>
      <c r="AI286">
        <v>255</v>
      </c>
      <c r="AJ286">
        <v>25</v>
      </c>
      <c r="AK286">
        <v>305</v>
      </c>
      <c r="AL286">
        <v>0.88</v>
      </c>
    </row>
    <row r="287" spans="1:38" x14ac:dyDescent="0.3">
      <c r="A287" t="s">
        <v>569</v>
      </c>
      <c r="B287">
        <v>7164</v>
      </c>
      <c r="C287">
        <v>3</v>
      </c>
      <c r="D287" t="s">
        <v>319</v>
      </c>
      <c r="E287" t="s">
        <v>628</v>
      </c>
      <c r="F287">
        <v>345</v>
      </c>
      <c r="G287">
        <v>63.48</v>
      </c>
      <c r="H287">
        <v>209.86</v>
      </c>
      <c r="I287">
        <v>49.5</v>
      </c>
      <c r="J287">
        <v>163.63999999999999</v>
      </c>
      <c r="K287">
        <v>3</v>
      </c>
      <c r="T287">
        <v>5</v>
      </c>
      <c r="U287">
        <v>2</v>
      </c>
      <c r="V287" t="s">
        <v>153</v>
      </c>
      <c r="W287">
        <v>209</v>
      </c>
      <c r="X287">
        <v>15</v>
      </c>
      <c r="Y287">
        <v>12</v>
      </c>
      <c r="Z287" t="s">
        <v>629</v>
      </c>
      <c r="AA287" t="s">
        <v>630</v>
      </c>
      <c r="AB287" t="s">
        <v>156</v>
      </c>
      <c r="AC287" t="s">
        <v>157</v>
      </c>
      <c r="AD287" t="s">
        <v>158</v>
      </c>
      <c r="AE287" t="s">
        <v>574</v>
      </c>
      <c r="AG287" t="s">
        <v>631</v>
      </c>
      <c r="AH287">
        <v>0</v>
      </c>
      <c r="AI287">
        <v>255</v>
      </c>
      <c r="AJ287">
        <v>25</v>
      </c>
      <c r="AK287">
        <v>305</v>
      </c>
      <c r="AL287">
        <v>0.88</v>
      </c>
    </row>
    <row r="288" spans="1:38" x14ac:dyDescent="0.3">
      <c r="A288" t="s">
        <v>569</v>
      </c>
      <c r="B288">
        <v>15404</v>
      </c>
      <c r="C288">
        <v>1</v>
      </c>
      <c r="D288" t="s">
        <v>632</v>
      </c>
      <c r="E288" t="s">
        <v>405</v>
      </c>
      <c r="F288">
        <v>78</v>
      </c>
      <c r="G288">
        <v>23.35</v>
      </c>
      <c r="H288">
        <v>77.22</v>
      </c>
      <c r="I288">
        <v>18</v>
      </c>
      <c r="J288">
        <v>59.53</v>
      </c>
      <c r="K288">
        <v>78</v>
      </c>
      <c r="T288">
        <v>3</v>
      </c>
      <c r="U288">
        <v>1</v>
      </c>
      <c r="V288" t="s">
        <v>184</v>
      </c>
      <c r="W288">
        <v>77</v>
      </c>
      <c r="X288">
        <v>13</v>
      </c>
      <c r="Y288">
        <v>13</v>
      </c>
      <c r="Z288" t="s">
        <v>633</v>
      </c>
      <c r="AA288" t="s">
        <v>634</v>
      </c>
      <c r="AB288" t="s">
        <v>156</v>
      </c>
      <c r="AC288" t="s">
        <v>157</v>
      </c>
      <c r="AD288" t="s">
        <v>158</v>
      </c>
      <c r="AE288" t="s">
        <v>574</v>
      </c>
      <c r="AG288" t="s">
        <v>635</v>
      </c>
      <c r="AH288">
        <v>0</v>
      </c>
      <c r="AI288">
        <v>269</v>
      </c>
      <c r="AJ288">
        <v>21</v>
      </c>
      <c r="AK288">
        <v>57</v>
      </c>
      <c r="AL288">
        <v>0.73</v>
      </c>
    </row>
    <row r="289" spans="1:38" x14ac:dyDescent="0.3">
      <c r="A289" t="s">
        <v>636</v>
      </c>
      <c r="B289">
        <v>15415</v>
      </c>
      <c r="C289">
        <v>1</v>
      </c>
      <c r="D289" t="s">
        <v>637</v>
      </c>
      <c r="E289" t="s">
        <v>638</v>
      </c>
      <c r="F289">
        <v>127</v>
      </c>
      <c r="G289">
        <v>22.51</v>
      </c>
      <c r="H289">
        <v>74.42</v>
      </c>
      <c r="I289">
        <v>18.149999999999999</v>
      </c>
      <c r="J289">
        <v>60</v>
      </c>
      <c r="K289">
        <v>99</v>
      </c>
      <c r="T289">
        <v>3</v>
      </c>
      <c r="U289">
        <v>2</v>
      </c>
      <c r="V289" t="s">
        <v>153</v>
      </c>
      <c r="W289">
        <v>74</v>
      </c>
      <c r="X289">
        <v>15</v>
      </c>
      <c r="Y289">
        <v>8</v>
      </c>
      <c r="Z289" t="s">
        <v>639</v>
      </c>
      <c r="AA289" t="s">
        <v>640</v>
      </c>
      <c r="AB289" t="s">
        <v>156</v>
      </c>
      <c r="AC289" t="s">
        <v>157</v>
      </c>
      <c r="AD289" t="s">
        <v>158</v>
      </c>
      <c r="AE289" t="s">
        <v>129</v>
      </c>
      <c r="AG289" t="s">
        <v>641</v>
      </c>
      <c r="AH289">
        <v>0</v>
      </c>
      <c r="AI289">
        <v>229</v>
      </c>
      <c r="AJ289">
        <v>0</v>
      </c>
      <c r="AK289">
        <v>86</v>
      </c>
      <c r="AL289">
        <v>0.68</v>
      </c>
    </row>
    <row r="290" spans="1:38" x14ac:dyDescent="0.3">
      <c r="A290" t="s">
        <v>636</v>
      </c>
      <c r="B290">
        <v>15415</v>
      </c>
      <c r="C290">
        <v>2</v>
      </c>
      <c r="D290" t="s">
        <v>637</v>
      </c>
      <c r="E290" t="s">
        <v>638</v>
      </c>
      <c r="F290">
        <v>127</v>
      </c>
      <c r="G290">
        <v>31.88</v>
      </c>
      <c r="H290">
        <v>105.4</v>
      </c>
      <c r="I290">
        <v>25.7</v>
      </c>
      <c r="J290">
        <v>84.98</v>
      </c>
      <c r="K290">
        <v>14</v>
      </c>
      <c r="T290">
        <v>3</v>
      </c>
      <c r="U290">
        <v>2</v>
      </c>
      <c r="V290" t="s">
        <v>153</v>
      </c>
      <c r="W290" t="s">
        <v>642</v>
      </c>
      <c r="X290">
        <v>15</v>
      </c>
      <c r="Y290">
        <v>8</v>
      </c>
      <c r="Z290" t="s">
        <v>639</v>
      </c>
      <c r="AA290" t="s">
        <v>640</v>
      </c>
      <c r="AB290" t="s">
        <v>156</v>
      </c>
      <c r="AC290" t="s">
        <v>157</v>
      </c>
      <c r="AD290" t="s">
        <v>158</v>
      </c>
      <c r="AE290" t="s">
        <v>129</v>
      </c>
      <c r="AG290" t="s">
        <v>641</v>
      </c>
      <c r="AH290">
        <v>0</v>
      </c>
      <c r="AI290">
        <v>229</v>
      </c>
      <c r="AJ290">
        <v>0</v>
      </c>
      <c r="AK290">
        <v>86</v>
      </c>
      <c r="AL290">
        <v>0.68</v>
      </c>
    </row>
    <row r="291" spans="1:38" x14ac:dyDescent="0.3">
      <c r="A291" t="s">
        <v>636</v>
      </c>
      <c r="B291">
        <v>15415</v>
      </c>
      <c r="C291">
        <v>3</v>
      </c>
      <c r="D291" t="s">
        <v>637</v>
      </c>
      <c r="E291" t="s">
        <v>638</v>
      </c>
      <c r="F291">
        <v>127</v>
      </c>
      <c r="G291">
        <v>31.88</v>
      </c>
      <c r="H291">
        <v>105.42</v>
      </c>
      <c r="I291">
        <v>25.7</v>
      </c>
      <c r="J291">
        <v>84.99</v>
      </c>
      <c r="K291">
        <v>14</v>
      </c>
      <c r="T291">
        <v>3</v>
      </c>
      <c r="U291">
        <v>2</v>
      </c>
      <c r="V291" t="s">
        <v>153</v>
      </c>
      <c r="W291" t="s">
        <v>124</v>
      </c>
      <c r="X291">
        <v>15</v>
      </c>
      <c r="Y291">
        <v>8</v>
      </c>
      <c r="Z291" t="s">
        <v>639</v>
      </c>
      <c r="AA291" t="s">
        <v>640</v>
      </c>
      <c r="AB291" t="s">
        <v>156</v>
      </c>
      <c r="AC291" t="s">
        <v>157</v>
      </c>
      <c r="AD291" t="s">
        <v>158</v>
      </c>
      <c r="AE291" t="s">
        <v>129</v>
      </c>
      <c r="AG291" t="s">
        <v>641</v>
      </c>
      <c r="AH291">
        <v>0</v>
      </c>
      <c r="AI291">
        <v>229</v>
      </c>
      <c r="AJ291">
        <v>0</v>
      </c>
      <c r="AK291">
        <v>86</v>
      </c>
      <c r="AL291">
        <v>0.68</v>
      </c>
    </row>
    <row r="292" spans="1:38" x14ac:dyDescent="0.3">
      <c r="A292" t="s">
        <v>636</v>
      </c>
      <c r="B292">
        <v>15412</v>
      </c>
      <c r="C292">
        <v>1</v>
      </c>
      <c r="D292" t="s">
        <v>643</v>
      </c>
      <c r="E292" t="s">
        <v>644</v>
      </c>
      <c r="F292">
        <v>140</v>
      </c>
      <c r="G292">
        <v>29.3</v>
      </c>
      <c r="H292">
        <v>96.88</v>
      </c>
      <c r="I292">
        <v>24.49</v>
      </c>
      <c r="J292">
        <v>80.989999999999995</v>
      </c>
      <c r="K292">
        <v>5</v>
      </c>
      <c r="T292">
        <v>3</v>
      </c>
      <c r="U292">
        <v>2</v>
      </c>
      <c r="V292" t="s">
        <v>153</v>
      </c>
      <c r="W292" t="s">
        <v>645</v>
      </c>
      <c r="X292">
        <v>5</v>
      </c>
      <c r="Y292">
        <v>5</v>
      </c>
      <c r="Z292" t="s">
        <v>646</v>
      </c>
      <c r="AA292" t="s">
        <v>647</v>
      </c>
      <c r="AB292" t="s">
        <v>156</v>
      </c>
      <c r="AC292" t="s">
        <v>157</v>
      </c>
      <c r="AD292" t="s">
        <v>158</v>
      </c>
      <c r="AE292" t="s">
        <v>129</v>
      </c>
      <c r="AG292" t="s">
        <v>648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 x14ac:dyDescent="0.3">
      <c r="A293" t="s">
        <v>636</v>
      </c>
      <c r="B293">
        <v>15412</v>
      </c>
      <c r="C293">
        <v>2</v>
      </c>
      <c r="D293" t="s">
        <v>643</v>
      </c>
      <c r="E293" t="s">
        <v>644</v>
      </c>
      <c r="F293">
        <v>140</v>
      </c>
      <c r="G293">
        <v>29.43</v>
      </c>
      <c r="H293">
        <v>97.31</v>
      </c>
      <c r="I293">
        <v>24.31</v>
      </c>
      <c r="J293">
        <v>80.37</v>
      </c>
      <c r="K293">
        <v>5</v>
      </c>
      <c r="T293">
        <v>3</v>
      </c>
      <c r="U293">
        <v>2</v>
      </c>
      <c r="V293" t="s">
        <v>153</v>
      </c>
      <c r="W293" t="s">
        <v>649</v>
      </c>
      <c r="X293">
        <v>5</v>
      </c>
      <c r="Y293">
        <v>5</v>
      </c>
      <c r="Z293" t="s">
        <v>646</v>
      </c>
      <c r="AA293" t="s">
        <v>647</v>
      </c>
      <c r="AB293" t="s">
        <v>156</v>
      </c>
      <c r="AC293" t="s">
        <v>157</v>
      </c>
      <c r="AD293" t="s">
        <v>158</v>
      </c>
      <c r="AE293" t="s">
        <v>129</v>
      </c>
      <c r="AG293" t="s">
        <v>648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38" x14ac:dyDescent="0.3">
      <c r="A294" t="s">
        <v>636</v>
      </c>
      <c r="B294">
        <v>15412</v>
      </c>
      <c r="C294">
        <v>3</v>
      </c>
      <c r="D294" t="s">
        <v>643</v>
      </c>
      <c r="E294" t="s">
        <v>644</v>
      </c>
      <c r="F294">
        <v>140</v>
      </c>
      <c r="G294">
        <v>30.11</v>
      </c>
      <c r="H294">
        <v>99.56</v>
      </c>
      <c r="I294">
        <v>25.14</v>
      </c>
      <c r="J294">
        <v>83.11</v>
      </c>
      <c r="K294">
        <v>5</v>
      </c>
      <c r="T294">
        <v>3</v>
      </c>
      <c r="U294">
        <v>2</v>
      </c>
      <c r="V294" t="s">
        <v>153</v>
      </c>
      <c r="W294" t="s">
        <v>123</v>
      </c>
      <c r="X294">
        <v>5</v>
      </c>
      <c r="Y294">
        <v>5</v>
      </c>
      <c r="Z294" t="s">
        <v>646</v>
      </c>
      <c r="AA294" t="s">
        <v>647</v>
      </c>
      <c r="AB294" t="s">
        <v>156</v>
      </c>
      <c r="AC294" t="s">
        <v>157</v>
      </c>
      <c r="AD294" t="s">
        <v>158</v>
      </c>
      <c r="AE294" t="s">
        <v>129</v>
      </c>
      <c r="AG294" t="s">
        <v>648</v>
      </c>
      <c r="AH294">
        <v>0</v>
      </c>
      <c r="AI294">
        <v>0</v>
      </c>
      <c r="AJ294">
        <v>0</v>
      </c>
      <c r="AK294">
        <v>0</v>
      </c>
      <c r="AL294">
        <v>0</v>
      </c>
    </row>
    <row r="295" spans="1:38" x14ac:dyDescent="0.3">
      <c r="A295" t="s">
        <v>636</v>
      </c>
      <c r="B295">
        <v>15412</v>
      </c>
      <c r="C295">
        <v>4</v>
      </c>
      <c r="D295" t="s">
        <v>643</v>
      </c>
      <c r="E295" t="s">
        <v>644</v>
      </c>
      <c r="F295">
        <v>140</v>
      </c>
      <c r="G295">
        <v>30.41</v>
      </c>
      <c r="H295">
        <v>100.54</v>
      </c>
      <c r="I295">
        <v>25.64</v>
      </c>
      <c r="J295">
        <v>84.78</v>
      </c>
      <c r="K295">
        <v>100</v>
      </c>
      <c r="T295">
        <v>3</v>
      </c>
      <c r="U295">
        <v>2</v>
      </c>
      <c r="V295" t="s">
        <v>153</v>
      </c>
      <c r="W295" t="s">
        <v>108</v>
      </c>
      <c r="X295">
        <v>5</v>
      </c>
      <c r="Y295">
        <v>5</v>
      </c>
      <c r="Z295" t="s">
        <v>646</v>
      </c>
      <c r="AA295" t="s">
        <v>647</v>
      </c>
      <c r="AB295" t="s">
        <v>156</v>
      </c>
      <c r="AC295" t="s">
        <v>157</v>
      </c>
      <c r="AD295" t="s">
        <v>158</v>
      </c>
      <c r="AE295" t="s">
        <v>129</v>
      </c>
      <c r="AG295" t="s">
        <v>648</v>
      </c>
      <c r="AH295">
        <v>0</v>
      </c>
      <c r="AI295">
        <v>0</v>
      </c>
      <c r="AJ295">
        <v>0</v>
      </c>
      <c r="AK295">
        <v>0</v>
      </c>
      <c r="AL295">
        <v>0</v>
      </c>
    </row>
    <row r="296" spans="1:38" x14ac:dyDescent="0.3">
      <c r="A296" t="s">
        <v>636</v>
      </c>
      <c r="B296">
        <v>15412</v>
      </c>
      <c r="C296">
        <v>5</v>
      </c>
      <c r="D296" t="s">
        <v>643</v>
      </c>
      <c r="E296" t="s">
        <v>644</v>
      </c>
      <c r="F296">
        <v>140</v>
      </c>
      <c r="G296">
        <v>30.54</v>
      </c>
      <c r="H296">
        <v>100.99</v>
      </c>
      <c r="I296">
        <v>25.55</v>
      </c>
      <c r="J296">
        <v>84.48</v>
      </c>
      <c r="K296">
        <v>5</v>
      </c>
      <c r="T296">
        <v>3</v>
      </c>
      <c r="U296">
        <v>2</v>
      </c>
      <c r="V296" t="s">
        <v>153</v>
      </c>
      <c r="W296" t="s">
        <v>650</v>
      </c>
      <c r="X296">
        <v>5</v>
      </c>
      <c r="Y296">
        <v>5</v>
      </c>
      <c r="Z296" t="s">
        <v>646</v>
      </c>
      <c r="AA296" t="s">
        <v>647</v>
      </c>
      <c r="AB296" t="s">
        <v>156</v>
      </c>
      <c r="AC296" t="s">
        <v>157</v>
      </c>
      <c r="AD296" t="s">
        <v>158</v>
      </c>
      <c r="AE296" t="s">
        <v>129</v>
      </c>
      <c r="AG296" t="s">
        <v>648</v>
      </c>
      <c r="AH296">
        <v>0</v>
      </c>
      <c r="AI296">
        <v>0</v>
      </c>
      <c r="AJ296">
        <v>0</v>
      </c>
      <c r="AK296">
        <v>0</v>
      </c>
      <c r="AL296">
        <v>0</v>
      </c>
    </row>
    <row r="297" spans="1:38" x14ac:dyDescent="0.3">
      <c r="A297" t="s">
        <v>636</v>
      </c>
      <c r="B297">
        <v>15412</v>
      </c>
      <c r="C297">
        <v>6</v>
      </c>
      <c r="D297" t="s">
        <v>643</v>
      </c>
      <c r="E297" t="s">
        <v>644</v>
      </c>
      <c r="F297">
        <v>140</v>
      </c>
      <c r="G297">
        <v>30.57</v>
      </c>
      <c r="H297">
        <v>101.08</v>
      </c>
      <c r="I297">
        <v>25.7</v>
      </c>
      <c r="J297">
        <v>84.96</v>
      </c>
      <c r="K297">
        <v>15</v>
      </c>
      <c r="T297">
        <v>3</v>
      </c>
      <c r="U297">
        <v>2</v>
      </c>
      <c r="V297" t="s">
        <v>153</v>
      </c>
      <c r="W297" t="s">
        <v>651</v>
      </c>
      <c r="X297">
        <v>5</v>
      </c>
      <c r="Y297">
        <v>5</v>
      </c>
      <c r="Z297" t="s">
        <v>646</v>
      </c>
      <c r="AA297" t="s">
        <v>647</v>
      </c>
      <c r="AB297" t="s">
        <v>156</v>
      </c>
      <c r="AC297" t="s">
        <v>157</v>
      </c>
      <c r="AD297" t="s">
        <v>158</v>
      </c>
      <c r="AE297" t="s">
        <v>129</v>
      </c>
      <c r="AG297" t="s">
        <v>648</v>
      </c>
      <c r="AH297">
        <v>0</v>
      </c>
      <c r="AI297">
        <v>0</v>
      </c>
      <c r="AJ297">
        <v>0</v>
      </c>
      <c r="AK297">
        <v>0</v>
      </c>
      <c r="AL297">
        <v>0</v>
      </c>
    </row>
    <row r="298" spans="1:38" x14ac:dyDescent="0.3">
      <c r="A298" t="s">
        <v>636</v>
      </c>
      <c r="B298">
        <v>15412</v>
      </c>
      <c r="C298">
        <v>7</v>
      </c>
      <c r="D298" t="s">
        <v>643</v>
      </c>
      <c r="E298" t="s">
        <v>644</v>
      </c>
      <c r="F298">
        <v>140</v>
      </c>
      <c r="G298">
        <v>30.72</v>
      </c>
      <c r="H298">
        <v>101.57</v>
      </c>
      <c r="I298">
        <v>25.69</v>
      </c>
      <c r="J298">
        <v>84.93</v>
      </c>
      <c r="K298">
        <v>5</v>
      </c>
      <c r="T298">
        <v>3</v>
      </c>
      <c r="U298">
        <v>2</v>
      </c>
      <c r="V298" t="s">
        <v>153</v>
      </c>
      <c r="W298" t="s">
        <v>652</v>
      </c>
      <c r="X298">
        <v>5</v>
      </c>
      <c r="Y298">
        <v>5</v>
      </c>
      <c r="Z298" t="s">
        <v>646</v>
      </c>
      <c r="AA298" t="s">
        <v>647</v>
      </c>
      <c r="AB298" t="s">
        <v>156</v>
      </c>
      <c r="AC298" t="s">
        <v>157</v>
      </c>
      <c r="AD298" t="s">
        <v>158</v>
      </c>
      <c r="AE298" t="s">
        <v>129</v>
      </c>
      <c r="AG298" t="s">
        <v>648</v>
      </c>
      <c r="AH298">
        <v>0</v>
      </c>
      <c r="AI298">
        <v>0</v>
      </c>
      <c r="AJ298">
        <v>0</v>
      </c>
      <c r="AK298">
        <v>0</v>
      </c>
      <c r="AL298">
        <v>0</v>
      </c>
    </row>
    <row r="299" spans="1:38" x14ac:dyDescent="0.3">
      <c r="A299" t="s">
        <v>636</v>
      </c>
      <c r="B299">
        <v>7190</v>
      </c>
      <c r="C299">
        <v>1</v>
      </c>
      <c r="D299" t="s">
        <v>653</v>
      </c>
      <c r="E299" t="s">
        <v>654</v>
      </c>
      <c r="F299">
        <v>275</v>
      </c>
      <c r="G299">
        <v>31.46</v>
      </c>
      <c r="H299">
        <v>104.01</v>
      </c>
      <c r="I299">
        <v>25.58</v>
      </c>
      <c r="J299">
        <v>84.57</v>
      </c>
      <c r="K299">
        <v>196</v>
      </c>
      <c r="T299">
        <v>3</v>
      </c>
      <c r="U299">
        <v>2</v>
      </c>
      <c r="V299" t="s">
        <v>153</v>
      </c>
      <c r="W299">
        <v>104</v>
      </c>
      <c r="X299">
        <v>10</v>
      </c>
      <c r="Y299">
        <v>9</v>
      </c>
      <c r="Z299" t="s">
        <v>655</v>
      </c>
      <c r="AA299" t="s">
        <v>656</v>
      </c>
      <c r="AB299" t="s">
        <v>156</v>
      </c>
      <c r="AC299" t="s">
        <v>157</v>
      </c>
      <c r="AD299" t="s">
        <v>158</v>
      </c>
      <c r="AE299" t="s">
        <v>129</v>
      </c>
      <c r="AG299" t="s">
        <v>657</v>
      </c>
      <c r="AH299">
        <v>0</v>
      </c>
      <c r="AI299">
        <v>251</v>
      </c>
      <c r="AJ299">
        <v>28</v>
      </c>
      <c r="AK299">
        <v>225</v>
      </c>
      <c r="AL299">
        <v>0.82</v>
      </c>
    </row>
    <row r="300" spans="1:38" x14ac:dyDescent="0.3">
      <c r="A300" t="s">
        <v>636</v>
      </c>
      <c r="B300">
        <v>7190</v>
      </c>
      <c r="C300">
        <v>2</v>
      </c>
      <c r="D300" t="s">
        <v>653</v>
      </c>
      <c r="E300" t="s">
        <v>654</v>
      </c>
      <c r="F300">
        <v>275</v>
      </c>
      <c r="G300">
        <v>42.59</v>
      </c>
      <c r="H300">
        <v>140.81</v>
      </c>
      <c r="I300">
        <v>35.28</v>
      </c>
      <c r="J300">
        <v>116.64</v>
      </c>
      <c r="K300">
        <v>79</v>
      </c>
      <c r="T300">
        <v>4</v>
      </c>
      <c r="U300">
        <v>2</v>
      </c>
      <c r="V300" t="s">
        <v>153</v>
      </c>
      <c r="W300">
        <v>140</v>
      </c>
      <c r="X300">
        <v>10</v>
      </c>
      <c r="Y300">
        <v>9</v>
      </c>
      <c r="Z300" t="s">
        <v>655</v>
      </c>
      <c r="AA300" t="s">
        <v>656</v>
      </c>
      <c r="AB300" t="s">
        <v>156</v>
      </c>
      <c r="AC300" t="s">
        <v>157</v>
      </c>
      <c r="AD300" t="s">
        <v>158</v>
      </c>
      <c r="AE300" t="s">
        <v>129</v>
      </c>
      <c r="AG300" t="s">
        <v>657</v>
      </c>
      <c r="AH300">
        <v>0</v>
      </c>
      <c r="AI300">
        <v>251</v>
      </c>
      <c r="AJ300">
        <v>28</v>
      </c>
      <c r="AK300">
        <v>225</v>
      </c>
      <c r="AL300">
        <v>0.82</v>
      </c>
    </row>
    <row r="301" spans="1:38" x14ac:dyDescent="0.3">
      <c r="A301" t="s">
        <v>636</v>
      </c>
      <c r="B301">
        <v>107120</v>
      </c>
      <c r="C301">
        <v>1</v>
      </c>
      <c r="D301" t="s">
        <v>658</v>
      </c>
      <c r="E301" t="s">
        <v>659</v>
      </c>
      <c r="F301">
        <v>614</v>
      </c>
      <c r="G301">
        <v>33.46</v>
      </c>
      <c r="H301">
        <v>110.64</v>
      </c>
      <c r="I301">
        <v>25.68</v>
      </c>
      <c r="J301">
        <v>84.92</v>
      </c>
      <c r="K301">
        <v>203</v>
      </c>
      <c r="T301">
        <v>3</v>
      </c>
      <c r="U301">
        <v>2</v>
      </c>
      <c r="V301" t="s">
        <v>153</v>
      </c>
      <c r="W301" t="s">
        <v>107</v>
      </c>
      <c r="X301">
        <v>25</v>
      </c>
      <c r="Y301">
        <v>17</v>
      </c>
      <c r="Z301" t="s">
        <v>660</v>
      </c>
      <c r="AA301" t="s">
        <v>661</v>
      </c>
      <c r="AB301" t="s">
        <v>156</v>
      </c>
      <c r="AC301" t="s">
        <v>157</v>
      </c>
      <c r="AD301" t="s">
        <v>158</v>
      </c>
      <c r="AE301" t="s">
        <v>129</v>
      </c>
      <c r="AG301" t="s">
        <v>662</v>
      </c>
      <c r="AH301">
        <v>0</v>
      </c>
      <c r="AI301">
        <v>179</v>
      </c>
      <c r="AJ301">
        <v>14</v>
      </c>
      <c r="AK301">
        <v>1028</v>
      </c>
      <c r="AL301">
        <v>1.67</v>
      </c>
    </row>
    <row r="302" spans="1:38" x14ac:dyDescent="0.3">
      <c r="A302" t="s">
        <v>636</v>
      </c>
      <c r="B302">
        <v>107120</v>
      </c>
      <c r="C302">
        <v>2</v>
      </c>
      <c r="D302" t="s">
        <v>658</v>
      </c>
      <c r="E302" t="s">
        <v>659</v>
      </c>
      <c r="F302">
        <v>614</v>
      </c>
      <c r="G302">
        <v>33.33</v>
      </c>
      <c r="H302">
        <v>110.21</v>
      </c>
      <c r="I302">
        <v>25.66</v>
      </c>
      <c r="J302">
        <v>84.84</v>
      </c>
      <c r="K302">
        <v>89</v>
      </c>
      <c r="T302">
        <v>3</v>
      </c>
      <c r="U302">
        <v>2</v>
      </c>
      <c r="V302" t="s">
        <v>153</v>
      </c>
      <c r="W302" t="s">
        <v>663</v>
      </c>
      <c r="X302">
        <v>25</v>
      </c>
      <c r="Y302">
        <v>17</v>
      </c>
      <c r="Z302" t="s">
        <v>660</v>
      </c>
      <c r="AA302" t="s">
        <v>661</v>
      </c>
      <c r="AB302" t="s">
        <v>156</v>
      </c>
      <c r="AC302" t="s">
        <v>157</v>
      </c>
      <c r="AD302" t="s">
        <v>158</v>
      </c>
      <c r="AE302" t="s">
        <v>129</v>
      </c>
      <c r="AG302" t="s">
        <v>662</v>
      </c>
      <c r="AH302">
        <v>0</v>
      </c>
      <c r="AI302">
        <v>179</v>
      </c>
      <c r="AJ302">
        <v>14</v>
      </c>
      <c r="AK302">
        <v>1028</v>
      </c>
      <c r="AL302">
        <v>1.67</v>
      </c>
    </row>
    <row r="303" spans="1:38" x14ac:dyDescent="0.3">
      <c r="A303" t="s">
        <v>636</v>
      </c>
      <c r="B303">
        <v>107120</v>
      </c>
      <c r="C303">
        <v>3</v>
      </c>
      <c r="D303" t="s">
        <v>658</v>
      </c>
      <c r="E303" t="s">
        <v>659</v>
      </c>
      <c r="F303">
        <v>614</v>
      </c>
      <c r="G303">
        <v>33.840000000000003</v>
      </c>
      <c r="H303">
        <v>111.9</v>
      </c>
      <c r="I303">
        <v>25.67</v>
      </c>
      <c r="J303">
        <v>84.88</v>
      </c>
      <c r="K303">
        <v>115</v>
      </c>
      <c r="T303">
        <v>3</v>
      </c>
      <c r="U303">
        <v>2</v>
      </c>
      <c r="V303" t="s">
        <v>153</v>
      </c>
      <c r="W303" t="s">
        <v>664</v>
      </c>
      <c r="X303">
        <v>25</v>
      </c>
      <c r="Y303">
        <v>17</v>
      </c>
      <c r="Z303" t="s">
        <v>660</v>
      </c>
      <c r="AA303" t="s">
        <v>661</v>
      </c>
      <c r="AB303" t="s">
        <v>156</v>
      </c>
      <c r="AC303" t="s">
        <v>157</v>
      </c>
      <c r="AD303" t="s">
        <v>158</v>
      </c>
      <c r="AE303" t="s">
        <v>129</v>
      </c>
      <c r="AG303" t="s">
        <v>662</v>
      </c>
      <c r="AH303">
        <v>0</v>
      </c>
      <c r="AI303">
        <v>179</v>
      </c>
      <c r="AJ303">
        <v>14</v>
      </c>
      <c r="AK303">
        <v>1028</v>
      </c>
      <c r="AL303">
        <v>1.67</v>
      </c>
    </row>
    <row r="304" spans="1:38" x14ac:dyDescent="0.3">
      <c r="A304" t="s">
        <v>636</v>
      </c>
      <c r="B304">
        <v>107120</v>
      </c>
      <c r="C304">
        <v>4</v>
      </c>
      <c r="D304" t="s">
        <v>658</v>
      </c>
      <c r="E304" t="s">
        <v>659</v>
      </c>
      <c r="F304">
        <v>614</v>
      </c>
      <c r="G304">
        <v>39.700000000000003</v>
      </c>
      <c r="H304">
        <v>131.25</v>
      </c>
      <c r="I304">
        <v>31.95</v>
      </c>
      <c r="J304">
        <v>105.62</v>
      </c>
      <c r="K304">
        <v>198</v>
      </c>
      <c r="T304">
        <v>3</v>
      </c>
      <c r="U304">
        <v>2</v>
      </c>
      <c r="V304" t="s">
        <v>153</v>
      </c>
      <c r="W304">
        <v>131</v>
      </c>
      <c r="X304">
        <v>25</v>
      </c>
      <c r="Y304">
        <v>17</v>
      </c>
      <c r="Z304" t="s">
        <v>660</v>
      </c>
      <c r="AA304" t="s">
        <v>661</v>
      </c>
      <c r="AB304" t="s">
        <v>156</v>
      </c>
      <c r="AC304" t="s">
        <v>157</v>
      </c>
      <c r="AD304" t="s">
        <v>158</v>
      </c>
      <c r="AE304" t="s">
        <v>129</v>
      </c>
      <c r="AG304" t="s">
        <v>662</v>
      </c>
      <c r="AH304">
        <v>0</v>
      </c>
      <c r="AI304">
        <v>179</v>
      </c>
      <c r="AJ304">
        <v>14</v>
      </c>
      <c r="AK304">
        <v>1028</v>
      </c>
      <c r="AL304">
        <v>1.67</v>
      </c>
    </row>
    <row r="305" spans="1:38" x14ac:dyDescent="0.3">
      <c r="A305" t="s">
        <v>636</v>
      </c>
      <c r="B305">
        <v>107120</v>
      </c>
      <c r="C305">
        <v>5</v>
      </c>
      <c r="D305" t="s">
        <v>658</v>
      </c>
      <c r="E305" t="s">
        <v>659</v>
      </c>
      <c r="F305">
        <v>614</v>
      </c>
      <c r="G305">
        <v>49.53</v>
      </c>
      <c r="H305">
        <v>163.74</v>
      </c>
      <c r="I305">
        <v>39.630000000000003</v>
      </c>
      <c r="J305">
        <v>131.02000000000001</v>
      </c>
      <c r="K305">
        <v>9</v>
      </c>
      <c r="T305">
        <v>5</v>
      </c>
      <c r="U305">
        <v>4</v>
      </c>
      <c r="V305" t="s">
        <v>153</v>
      </c>
      <c r="W305">
        <v>163</v>
      </c>
      <c r="X305">
        <v>25</v>
      </c>
      <c r="Y305">
        <v>17</v>
      </c>
      <c r="Z305" t="s">
        <v>660</v>
      </c>
      <c r="AA305" t="s">
        <v>661</v>
      </c>
      <c r="AB305" t="s">
        <v>156</v>
      </c>
      <c r="AC305" t="s">
        <v>157</v>
      </c>
      <c r="AD305" t="s">
        <v>158</v>
      </c>
      <c r="AE305" t="s">
        <v>129</v>
      </c>
      <c r="AG305" t="s">
        <v>662</v>
      </c>
      <c r="AH305">
        <v>0</v>
      </c>
      <c r="AI305">
        <v>179</v>
      </c>
      <c r="AJ305">
        <v>14</v>
      </c>
      <c r="AK305">
        <v>1028</v>
      </c>
      <c r="AL305">
        <v>1.67</v>
      </c>
    </row>
    <row r="306" spans="1:38" x14ac:dyDescent="0.3">
      <c r="A306" t="s">
        <v>636</v>
      </c>
      <c r="B306">
        <v>7188</v>
      </c>
      <c r="C306">
        <v>1</v>
      </c>
      <c r="D306" t="s">
        <v>665</v>
      </c>
      <c r="E306" t="s">
        <v>666</v>
      </c>
      <c r="F306">
        <v>218</v>
      </c>
      <c r="G306">
        <v>25.56</v>
      </c>
      <c r="H306">
        <v>84.51</v>
      </c>
      <c r="I306">
        <v>21.41</v>
      </c>
      <c r="J306">
        <v>70.790000000000006</v>
      </c>
      <c r="K306">
        <v>72</v>
      </c>
      <c r="T306">
        <v>3</v>
      </c>
      <c r="U306">
        <v>1</v>
      </c>
      <c r="V306" t="s">
        <v>153</v>
      </c>
      <c r="W306">
        <v>84</v>
      </c>
      <c r="X306">
        <v>15</v>
      </c>
      <c r="Y306">
        <v>9</v>
      </c>
      <c r="Z306" t="s">
        <v>667</v>
      </c>
      <c r="AA306" t="s">
        <v>668</v>
      </c>
      <c r="AB306" t="s">
        <v>156</v>
      </c>
      <c r="AC306" t="s">
        <v>157</v>
      </c>
      <c r="AD306" t="s">
        <v>158</v>
      </c>
      <c r="AE306" t="s">
        <v>129</v>
      </c>
      <c r="AG306" t="s">
        <v>669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 x14ac:dyDescent="0.3">
      <c r="A307" t="s">
        <v>636</v>
      </c>
      <c r="B307">
        <v>7188</v>
      </c>
      <c r="C307">
        <v>2</v>
      </c>
      <c r="D307" t="s">
        <v>665</v>
      </c>
      <c r="E307" t="s">
        <v>666</v>
      </c>
      <c r="F307">
        <v>218</v>
      </c>
      <c r="G307">
        <v>25.95</v>
      </c>
      <c r="H307">
        <v>85.79</v>
      </c>
      <c r="I307">
        <v>21.89</v>
      </c>
      <c r="J307">
        <v>72.38</v>
      </c>
      <c r="K307">
        <v>146</v>
      </c>
      <c r="T307">
        <v>3</v>
      </c>
      <c r="U307">
        <v>1</v>
      </c>
      <c r="V307" t="s">
        <v>153</v>
      </c>
      <c r="W307">
        <v>85</v>
      </c>
      <c r="X307">
        <v>15</v>
      </c>
      <c r="Y307">
        <v>9</v>
      </c>
      <c r="Z307" t="s">
        <v>667</v>
      </c>
      <c r="AA307" t="s">
        <v>668</v>
      </c>
      <c r="AB307" t="s">
        <v>156</v>
      </c>
      <c r="AC307" t="s">
        <v>157</v>
      </c>
      <c r="AD307" t="s">
        <v>158</v>
      </c>
      <c r="AE307" t="s">
        <v>129</v>
      </c>
      <c r="AG307" t="s">
        <v>669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 x14ac:dyDescent="0.3">
      <c r="A308" t="s">
        <v>636</v>
      </c>
      <c r="B308">
        <v>7197</v>
      </c>
      <c r="C308">
        <v>1</v>
      </c>
      <c r="D308" t="s">
        <v>670</v>
      </c>
      <c r="E308" t="s">
        <v>671</v>
      </c>
      <c r="F308">
        <v>489</v>
      </c>
      <c r="G308">
        <v>20.93</v>
      </c>
      <c r="H308">
        <v>69.2</v>
      </c>
      <c r="I308">
        <v>18.09</v>
      </c>
      <c r="J308">
        <v>59.82</v>
      </c>
      <c r="K308">
        <v>176</v>
      </c>
      <c r="T308">
        <v>3</v>
      </c>
      <c r="U308">
        <v>1</v>
      </c>
      <c r="V308" t="s">
        <v>153</v>
      </c>
      <c r="W308">
        <v>69</v>
      </c>
      <c r="X308">
        <v>15</v>
      </c>
      <c r="Y308">
        <v>10</v>
      </c>
      <c r="Z308" t="s">
        <v>672</v>
      </c>
      <c r="AA308" t="s">
        <v>673</v>
      </c>
      <c r="AB308" t="s">
        <v>156</v>
      </c>
      <c r="AC308" t="s">
        <v>157</v>
      </c>
      <c r="AD308" t="s">
        <v>158</v>
      </c>
      <c r="AE308" t="s">
        <v>129</v>
      </c>
      <c r="AG308" t="s">
        <v>674</v>
      </c>
      <c r="AH308">
        <v>0</v>
      </c>
      <c r="AI308">
        <v>199</v>
      </c>
      <c r="AJ308">
        <v>17</v>
      </c>
      <c r="AK308">
        <v>496</v>
      </c>
      <c r="AL308">
        <v>1.01</v>
      </c>
    </row>
    <row r="309" spans="1:38" x14ac:dyDescent="0.3">
      <c r="A309" t="s">
        <v>636</v>
      </c>
      <c r="B309">
        <v>7197</v>
      </c>
      <c r="C309">
        <v>2</v>
      </c>
      <c r="D309" t="s">
        <v>670</v>
      </c>
      <c r="E309" t="s">
        <v>671</v>
      </c>
      <c r="F309">
        <v>489</v>
      </c>
      <c r="G309">
        <v>29.53</v>
      </c>
      <c r="H309">
        <v>97.62</v>
      </c>
      <c r="I309">
        <v>25.52</v>
      </c>
      <c r="J309">
        <v>84.39</v>
      </c>
      <c r="K309">
        <v>228</v>
      </c>
      <c r="T309">
        <v>3</v>
      </c>
      <c r="U309">
        <v>2</v>
      </c>
      <c r="V309" t="s">
        <v>153</v>
      </c>
      <c r="W309">
        <v>97</v>
      </c>
      <c r="X309">
        <v>15</v>
      </c>
      <c r="Y309">
        <v>10</v>
      </c>
      <c r="Z309" t="s">
        <v>672</v>
      </c>
      <c r="AA309" t="s">
        <v>673</v>
      </c>
      <c r="AB309" t="s">
        <v>156</v>
      </c>
      <c r="AC309" t="s">
        <v>157</v>
      </c>
      <c r="AD309" t="s">
        <v>158</v>
      </c>
      <c r="AE309" t="s">
        <v>129</v>
      </c>
      <c r="AG309" t="s">
        <v>674</v>
      </c>
      <c r="AH309">
        <v>0</v>
      </c>
      <c r="AI309">
        <v>199</v>
      </c>
      <c r="AJ309">
        <v>17</v>
      </c>
      <c r="AK309">
        <v>496</v>
      </c>
      <c r="AL309">
        <v>1.01</v>
      </c>
    </row>
    <row r="310" spans="1:38" x14ac:dyDescent="0.3">
      <c r="A310" t="s">
        <v>636</v>
      </c>
      <c r="B310">
        <v>7197</v>
      </c>
      <c r="C310">
        <v>3</v>
      </c>
      <c r="D310" t="s">
        <v>670</v>
      </c>
      <c r="E310" t="s">
        <v>671</v>
      </c>
      <c r="F310">
        <v>489</v>
      </c>
      <c r="G310">
        <v>46.82</v>
      </c>
      <c r="H310">
        <v>154.78</v>
      </c>
      <c r="I310">
        <v>40.47</v>
      </c>
      <c r="J310">
        <v>133.80000000000001</v>
      </c>
      <c r="K310">
        <v>85</v>
      </c>
      <c r="T310">
        <v>4</v>
      </c>
      <c r="U310">
        <v>2</v>
      </c>
      <c r="V310" t="s">
        <v>153</v>
      </c>
      <c r="W310">
        <v>154</v>
      </c>
      <c r="X310">
        <v>15</v>
      </c>
      <c r="Y310">
        <v>10</v>
      </c>
      <c r="Z310" t="s">
        <v>672</v>
      </c>
      <c r="AA310" t="s">
        <v>673</v>
      </c>
      <c r="AB310" t="s">
        <v>156</v>
      </c>
      <c r="AC310" t="s">
        <v>157</v>
      </c>
      <c r="AD310" t="s">
        <v>158</v>
      </c>
      <c r="AE310" t="s">
        <v>129</v>
      </c>
      <c r="AG310" t="s">
        <v>674</v>
      </c>
      <c r="AH310">
        <v>0</v>
      </c>
      <c r="AI310">
        <v>199</v>
      </c>
      <c r="AJ310">
        <v>17</v>
      </c>
      <c r="AK310">
        <v>496</v>
      </c>
      <c r="AL310">
        <v>1.01</v>
      </c>
    </row>
    <row r="311" spans="1:38" x14ac:dyDescent="0.3">
      <c r="A311" t="s">
        <v>636</v>
      </c>
      <c r="B311">
        <v>7171</v>
      </c>
      <c r="C311">
        <v>1</v>
      </c>
      <c r="D311" t="s">
        <v>675</v>
      </c>
      <c r="E311" t="s">
        <v>325</v>
      </c>
      <c r="F311">
        <v>120</v>
      </c>
      <c r="G311">
        <v>21.35</v>
      </c>
      <c r="H311">
        <v>70.59</v>
      </c>
      <c r="I311">
        <v>15.07</v>
      </c>
      <c r="J311">
        <v>49.83</v>
      </c>
      <c r="K311">
        <v>12</v>
      </c>
      <c r="T311">
        <v>2</v>
      </c>
      <c r="U311">
        <v>1</v>
      </c>
      <c r="V311" t="s">
        <v>153</v>
      </c>
      <c r="W311">
        <v>70</v>
      </c>
      <c r="X311">
        <v>6</v>
      </c>
      <c r="Y311">
        <v>6</v>
      </c>
      <c r="Z311" t="s">
        <v>676</v>
      </c>
      <c r="AA311" t="s">
        <v>677</v>
      </c>
      <c r="AB311" t="s">
        <v>156</v>
      </c>
      <c r="AC311" t="s">
        <v>157</v>
      </c>
      <c r="AD311" t="s">
        <v>158</v>
      </c>
      <c r="AE311" t="s">
        <v>129</v>
      </c>
      <c r="AG311" t="s">
        <v>678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636</v>
      </c>
      <c r="B312">
        <v>7171</v>
      </c>
      <c r="C312">
        <v>2</v>
      </c>
      <c r="D312" t="s">
        <v>675</v>
      </c>
      <c r="E312" t="s">
        <v>325</v>
      </c>
      <c r="F312">
        <v>120</v>
      </c>
      <c r="G312">
        <v>24.92</v>
      </c>
      <c r="H312">
        <v>82.4</v>
      </c>
      <c r="I312">
        <v>18.100000000000001</v>
      </c>
      <c r="J312">
        <v>59.85</v>
      </c>
      <c r="K312">
        <v>60</v>
      </c>
      <c r="T312">
        <v>2</v>
      </c>
      <c r="U312">
        <v>1</v>
      </c>
      <c r="V312" t="s">
        <v>153</v>
      </c>
      <c r="W312">
        <v>82</v>
      </c>
      <c r="X312">
        <v>6</v>
      </c>
      <c r="Y312">
        <v>6</v>
      </c>
      <c r="Z312" t="s">
        <v>676</v>
      </c>
      <c r="AA312" t="s">
        <v>677</v>
      </c>
      <c r="AB312" t="s">
        <v>156</v>
      </c>
      <c r="AC312" t="s">
        <v>157</v>
      </c>
      <c r="AD312" t="s">
        <v>158</v>
      </c>
      <c r="AE312" t="s">
        <v>129</v>
      </c>
      <c r="AG312" t="s">
        <v>678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38" x14ac:dyDescent="0.3">
      <c r="A313" t="s">
        <v>636</v>
      </c>
      <c r="B313">
        <v>7171</v>
      </c>
      <c r="C313">
        <v>3</v>
      </c>
      <c r="D313" t="s">
        <v>675</v>
      </c>
      <c r="E313" t="s">
        <v>325</v>
      </c>
      <c r="F313">
        <v>120</v>
      </c>
      <c r="G313">
        <v>29.99</v>
      </c>
      <c r="H313">
        <v>99.17</v>
      </c>
      <c r="I313">
        <v>22.56</v>
      </c>
      <c r="J313">
        <v>74.58</v>
      </c>
      <c r="K313">
        <v>48</v>
      </c>
      <c r="T313">
        <v>3</v>
      </c>
      <c r="U313">
        <v>1</v>
      </c>
      <c r="V313" t="s">
        <v>153</v>
      </c>
      <c r="W313">
        <v>99</v>
      </c>
      <c r="X313">
        <v>6</v>
      </c>
      <c r="Y313">
        <v>6</v>
      </c>
      <c r="Z313" t="s">
        <v>676</v>
      </c>
      <c r="AA313" t="s">
        <v>677</v>
      </c>
      <c r="AB313" t="s">
        <v>156</v>
      </c>
      <c r="AC313" t="s">
        <v>157</v>
      </c>
      <c r="AD313" t="s">
        <v>158</v>
      </c>
      <c r="AE313" t="s">
        <v>129</v>
      </c>
      <c r="AG313" t="s">
        <v>678</v>
      </c>
      <c r="AH313">
        <v>0</v>
      </c>
      <c r="AI313">
        <v>0</v>
      </c>
      <c r="AJ313">
        <v>0</v>
      </c>
      <c r="AK313">
        <v>0</v>
      </c>
      <c r="AL313">
        <v>0</v>
      </c>
    </row>
    <row r="314" spans="1:38" x14ac:dyDescent="0.3">
      <c r="A314" t="s">
        <v>636</v>
      </c>
      <c r="B314">
        <v>114958</v>
      </c>
      <c r="C314">
        <v>1</v>
      </c>
      <c r="D314" t="s">
        <v>679</v>
      </c>
      <c r="E314" t="s">
        <v>291</v>
      </c>
      <c r="F314">
        <v>252</v>
      </c>
      <c r="G314">
        <v>15.69</v>
      </c>
      <c r="H314">
        <v>51.87</v>
      </c>
      <c r="I314">
        <v>8.0399999999999991</v>
      </c>
      <c r="J314">
        <v>26.6</v>
      </c>
      <c r="K314">
        <v>15</v>
      </c>
      <c r="T314">
        <v>2</v>
      </c>
      <c r="U314">
        <v>1</v>
      </c>
      <c r="V314" t="s">
        <v>153</v>
      </c>
      <c r="W314">
        <v>51</v>
      </c>
      <c r="X314">
        <v>14</v>
      </c>
      <c r="Y314">
        <v>8</v>
      </c>
      <c r="Z314" t="s">
        <v>680</v>
      </c>
      <c r="AA314" t="s">
        <v>681</v>
      </c>
      <c r="AB314" t="s">
        <v>156</v>
      </c>
      <c r="AC314" t="s">
        <v>157</v>
      </c>
      <c r="AD314" t="s">
        <v>158</v>
      </c>
      <c r="AE314" t="s">
        <v>129</v>
      </c>
      <c r="AG314" t="s">
        <v>682</v>
      </c>
      <c r="AH314">
        <v>0</v>
      </c>
      <c r="AI314">
        <v>361</v>
      </c>
      <c r="AJ314">
        <v>58</v>
      </c>
      <c r="AK314">
        <v>130</v>
      </c>
      <c r="AL314">
        <v>0.52</v>
      </c>
    </row>
    <row r="315" spans="1:38" x14ac:dyDescent="0.3">
      <c r="A315" t="s">
        <v>636</v>
      </c>
      <c r="B315">
        <v>114958</v>
      </c>
      <c r="C315">
        <v>2</v>
      </c>
      <c r="D315" t="s">
        <v>679</v>
      </c>
      <c r="E315" t="s">
        <v>291</v>
      </c>
      <c r="F315">
        <v>252</v>
      </c>
      <c r="G315">
        <v>18.05</v>
      </c>
      <c r="H315">
        <v>59.67</v>
      </c>
      <c r="I315">
        <v>9.25</v>
      </c>
      <c r="J315">
        <v>30.6</v>
      </c>
      <c r="K315">
        <v>228</v>
      </c>
      <c r="T315">
        <v>2</v>
      </c>
      <c r="U315">
        <v>1</v>
      </c>
      <c r="V315" t="s">
        <v>153</v>
      </c>
      <c r="W315">
        <v>59</v>
      </c>
      <c r="X315">
        <v>14</v>
      </c>
      <c r="Y315">
        <v>8</v>
      </c>
      <c r="Z315" t="s">
        <v>680</v>
      </c>
      <c r="AA315" t="s">
        <v>681</v>
      </c>
      <c r="AB315" t="s">
        <v>156</v>
      </c>
      <c r="AC315" t="s">
        <v>157</v>
      </c>
      <c r="AD315" t="s">
        <v>158</v>
      </c>
      <c r="AE315" t="s">
        <v>129</v>
      </c>
      <c r="AG315" t="s">
        <v>682</v>
      </c>
      <c r="AH315">
        <v>0</v>
      </c>
      <c r="AI315">
        <v>361</v>
      </c>
      <c r="AJ315">
        <v>58</v>
      </c>
      <c r="AK315">
        <v>130</v>
      </c>
      <c r="AL315">
        <v>0.52</v>
      </c>
    </row>
    <row r="316" spans="1:38" x14ac:dyDescent="0.3">
      <c r="A316" t="s">
        <v>636</v>
      </c>
      <c r="B316">
        <v>114958</v>
      </c>
      <c r="C316">
        <v>3</v>
      </c>
      <c r="D316" t="s">
        <v>679</v>
      </c>
      <c r="E316" t="s">
        <v>291</v>
      </c>
      <c r="F316">
        <v>252</v>
      </c>
      <c r="G316">
        <v>18.75</v>
      </c>
      <c r="H316">
        <v>62.01</v>
      </c>
      <c r="I316">
        <v>9.61</v>
      </c>
      <c r="J316">
        <v>31.8</v>
      </c>
      <c r="K316">
        <v>7</v>
      </c>
      <c r="T316">
        <v>2</v>
      </c>
      <c r="U316">
        <v>1</v>
      </c>
      <c r="V316" t="s">
        <v>153</v>
      </c>
      <c r="W316">
        <v>62</v>
      </c>
      <c r="X316">
        <v>14</v>
      </c>
      <c r="Y316">
        <v>8</v>
      </c>
      <c r="Z316" t="s">
        <v>680</v>
      </c>
      <c r="AA316" t="s">
        <v>681</v>
      </c>
      <c r="AB316" t="s">
        <v>156</v>
      </c>
      <c r="AC316" t="s">
        <v>157</v>
      </c>
      <c r="AD316" t="s">
        <v>158</v>
      </c>
      <c r="AE316" t="s">
        <v>129</v>
      </c>
      <c r="AG316" t="s">
        <v>682</v>
      </c>
      <c r="AH316">
        <v>0</v>
      </c>
      <c r="AI316">
        <v>361</v>
      </c>
      <c r="AJ316">
        <v>58</v>
      </c>
      <c r="AK316">
        <v>130</v>
      </c>
      <c r="AL316">
        <v>0.52</v>
      </c>
    </row>
    <row r="317" spans="1:38" x14ac:dyDescent="0.3">
      <c r="A317" t="s">
        <v>636</v>
      </c>
      <c r="B317">
        <v>114958</v>
      </c>
      <c r="C317">
        <v>4</v>
      </c>
      <c r="D317" t="s">
        <v>679</v>
      </c>
      <c r="E317" t="s">
        <v>291</v>
      </c>
      <c r="F317">
        <v>252</v>
      </c>
      <c r="G317">
        <v>25.69</v>
      </c>
      <c r="H317">
        <v>84.93</v>
      </c>
      <c r="I317">
        <v>13.15</v>
      </c>
      <c r="J317">
        <v>43.5</v>
      </c>
      <c r="K317">
        <v>2</v>
      </c>
      <c r="T317">
        <v>3</v>
      </c>
      <c r="U317">
        <v>1</v>
      </c>
      <c r="V317" t="s">
        <v>153</v>
      </c>
      <c r="W317">
        <v>84</v>
      </c>
      <c r="X317">
        <v>14</v>
      </c>
      <c r="Y317">
        <v>8</v>
      </c>
      <c r="Z317" t="s">
        <v>680</v>
      </c>
      <c r="AA317" t="s">
        <v>681</v>
      </c>
      <c r="AB317" t="s">
        <v>156</v>
      </c>
      <c r="AC317" t="s">
        <v>157</v>
      </c>
      <c r="AD317" t="s">
        <v>158</v>
      </c>
      <c r="AE317" t="s">
        <v>129</v>
      </c>
      <c r="AG317" t="s">
        <v>682</v>
      </c>
      <c r="AH317">
        <v>0</v>
      </c>
      <c r="AI317">
        <v>361</v>
      </c>
      <c r="AJ317">
        <v>58</v>
      </c>
      <c r="AK317">
        <v>130</v>
      </c>
      <c r="AL317">
        <v>0.52</v>
      </c>
    </row>
    <row r="318" spans="1:38" x14ac:dyDescent="0.3">
      <c r="A318" t="s">
        <v>636</v>
      </c>
      <c r="B318">
        <v>7180</v>
      </c>
      <c r="C318">
        <v>1</v>
      </c>
      <c r="D318" t="s">
        <v>683</v>
      </c>
      <c r="E318" t="s">
        <v>272</v>
      </c>
      <c r="F318">
        <v>244</v>
      </c>
      <c r="G318">
        <v>9.94</v>
      </c>
      <c r="H318">
        <v>32.86</v>
      </c>
      <c r="I318">
        <v>7.38</v>
      </c>
      <c r="J318">
        <v>24.4</v>
      </c>
      <c r="K318">
        <v>31</v>
      </c>
      <c r="T318">
        <v>1</v>
      </c>
      <c r="U318">
        <v>1</v>
      </c>
      <c r="V318" t="s">
        <v>184</v>
      </c>
      <c r="W318">
        <v>32</v>
      </c>
      <c r="X318">
        <v>10</v>
      </c>
      <c r="Y318">
        <v>9</v>
      </c>
      <c r="Z318" t="s">
        <v>684</v>
      </c>
      <c r="AA318" t="s">
        <v>685</v>
      </c>
      <c r="AB318" t="s">
        <v>156</v>
      </c>
      <c r="AC318" t="s">
        <v>157</v>
      </c>
      <c r="AD318" t="s">
        <v>158</v>
      </c>
      <c r="AE318" t="s">
        <v>129</v>
      </c>
      <c r="AG318" t="s">
        <v>686</v>
      </c>
      <c r="AH318">
        <v>0</v>
      </c>
      <c r="AI318">
        <v>336</v>
      </c>
      <c r="AJ318">
        <v>43</v>
      </c>
      <c r="AK318">
        <v>62</v>
      </c>
      <c r="AL318">
        <v>0.25</v>
      </c>
    </row>
    <row r="319" spans="1:38" x14ac:dyDescent="0.3">
      <c r="A319" t="s">
        <v>636</v>
      </c>
      <c r="B319">
        <v>7180</v>
      </c>
      <c r="C319">
        <v>2</v>
      </c>
      <c r="D319" t="s">
        <v>683</v>
      </c>
      <c r="E319" t="s">
        <v>272</v>
      </c>
      <c r="F319">
        <v>244</v>
      </c>
      <c r="G319">
        <v>10.88</v>
      </c>
      <c r="H319">
        <v>35.99</v>
      </c>
      <c r="I319">
        <v>8.08</v>
      </c>
      <c r="J319">
        <v>26.74</v>
      </c>
      <c r="K319">
        <v>12</v>
      </c>
      <c r="T319">
        <v>1</v>
      </c>
      <c r="U319">
        <v>1</v>
      </c>
      <c r="V319" t="s">
        <v>184</v>
      </c>
      <c r="W319">
        <v>35</v>
      </c>
      <c r="X319">
        <v>10</v>
      </c>
      <c r="Y319">
        <v>9</v>
      </c>
      <c r="Z319" t="s">
        <v>684</v>
      </c>
      <c r="AA319" t="s">
        <v>685</v>
      </c>
      <c r="AB319" t="s">
        <v>156</v>
      </c>
      <c r="AC319" t="s">
        <v>157</v>
      </c>
      <c r="AD319" t="s">
        <v>158</v>
      </c>
      <c r="AE319" t="s">
        <v>129</v>
      </c>
      <c r="AG319" t="s">
        <v>686</v>
      </c>
      <c r="AH319">
        <v>0</v>
      </c>
      <c r="AI319">
        <v>336</v>
      </c>
      <c r="AJ319">
        <v>43</v>
      </c>
      <c r="AK319">
        <v>62</v>
      </c>
      <c r="AL319">
        <v>0.25</v>
      </c>
    </row>
    <row r="320" spans="1:38" x14ac:dyDescent="0.3">
      <c r="A320" t="s">
        <v>636</v>
      </c>
      <c r="B320">
        <v>7180</v>
      </c>
      <c r="C320">
        <v>3</v>
      </c>
      <c r="D320" t="s">
        <v>683</v>
      </c>
      <c r="E320" t="s">
        <v>272</v>
      </c>
      <c r="F320">
        <v>244</v>
      </c>
      <c r="G320">
        <v>11.83</v>
      </c>
      <c r="H320">
        <v>39.14</v>
      </c>
      <c r="I320">
        <v>8.7899999999999991</v>
      </c>
      <c r="J320">
        <v>29.08</v>
      </c>
      <c r="K320">
        <v>201</v>
      </c>
      <c r="T320">
        <v>1</v>
      </c>
      <c r="U320">
        <v>1</v>
      </c>
      <c r="V320" t="s">
        <v>184</v>
      </c>
      <c r="W320">
        <v>39</v>
      </c>
      <c r="X320">
        <v>10</v>
      </c>
      <c r="Y320">
        <v>9</v>
      </c>
      <c r="Z320" t="s">
        <v>684</v>
      </c>
      <c r="AA320" t="s">
        <v>685</v>
      </c>
      <c r="AB320" t="s">
        <v>156</v>
      </c>
      <c r="AC320" t="s">
        <v>157</v>
      </c>
      <c r="AD320" t="s">
        <v>158</v>
      </c>
      <c r="AE320" t="s">
        <v>129</v>
      </c>
      <c r="AG320" t="s">
        <v>686</v>
      </c>
      <c r="AH320">
        <v>0</v>
      </c>
      <c r="AI320">
        <v>336</v>
      </c>
      <c r="AJ320">
        <v>43</v>
      </c>
      <c r="AK320">
        <v>62</v>
      </c>
      <c r="AL320">
        <v>0.25</v>
      </c>
    </row>
    <row r="321" spans="1:38" x14ac:dyDescent="0.3">
      <c r="A321" t="s">
        <v>636</v>
      </c>
      <c r="B321">
        <v>108609</v>
      </c>
      <c r="C321">
        <v>1</v>
      </c>
      <c r="D321" t="s">
        <v>687</v>
      </c>
      <c r="E321" t="s">
        <v>405</v>
      </c>
      <c r="F321">
        <v>70</v>
      </c>
      <c r="G321">
        <v>25.38</v>
      </c>
      <c r="H321">
        <v>83.91</v>
      </c>
      <c r="I321">
        <v>18.11</v>
      </c>
      <c r="J321">
        <v>59.9</v>
      </c>
      <c r="K321">
        <v>70</v>
      </c>
      <c r="T321">
        <v>3</v>
      </c>
      <c r="U321">
        <v>1</v>
      </c>
      <c r="V321" t="s">
        <v>153</v>
      </c>
      <c r="W321">
        <v>83</v>
      </c>
      <c r="X321">
        <v>15</v>
      </c>
      <c r="Y321">
        <v>15</v>
      </c>
      <c r="Z321" t="s">
        <v>688</v>
      </c>
      <c r="AA321" t="s">
        <v>689</v>
      </c>
      <c r="AB321" t="s">
        <v>156</v>
      </c>
      <c r="AC321" t="s">
        <v>157</v>
      </c>
      <c r="AD321" t="s">
        <v>158</v>
      </c>
      <c r="AE321" t="s">
        <v>129</v>
      </c>
      <c r="AG321" t="s">
        <v>690</v>
      </c>
      <c r="AH321">
        <v>0</v>
      </c>
      <c r="AI321">
        <v>361</v>
      </c>
      <c r="AJ321">
        <v>26</v>
      </c>
      <c r="AK321">
        <v>60</v>
      </c>
      <c r="AL321">
        <v>0.86</v>
      </c>
    </row>
    <row r="322" spans="1:38" x14ac:dyDescent="0.3">
      <c r="A322" t="s">
        <v>636</v>
      </c>
      <c r="B322">
        <v>15418</v>
      </c>
      <c r="C322">
        <v>1</v>
      </c>
      <c r="D322" t="s">
        <v>691</v>
      </c>
      <c r="E322" t="s">
        <v>692</v>
      </c>
      <c r="F322">
        <v>96</v>
      </c>
      <c r="G322">
        <v>20.65</v>
      </c>
      <c r="H322">
        <v>68.290000000000006</v>
      </c>
      <c r="I322">
        <v>17.440000000000001</v>
      </c>
      <c r="J322">
        <v>57.66</v>
      </c>
      <c r="K322">
        <v>6</v>
      </c>
      <c r="T322">
        <v>3</v>
      </c>
      <c r="U322">
        <v>1</v>
      </c>
      <c r="V322" t="s">
        <v>153</v>
      </c>
      <c r="W322" t="s">
        <v>693</v>
      </c>
      <c r="X322">
        <v>12</v>
      </c>
      <c r="Y322">
        <v>12</v>
      </c>
      <c r="Z322" t="s">
        <v>694</v>
      </c>
      <c r="AA322" t="s">
        <v>695</v>
      </c>
      <c r="AB322" t="s">
        <v>156</v>
      </c>
      <c r="AC322" t="s">
        <v>157</v>
      </c>
      <c r="AD322" t="s">
        <v>158</v>
      </c>
      <c r="AE322" t="s">
        <v>129</v>
      </c>
      <c r="AG322" t="s">
        <v>696</v>
      </c>
      <c r="AH322">
        <v>0</v>
      </c>
      <c r="AI322">
        <v>296</v>
      </c>
      <c r="AJ322">
        <v>27</v>
      </c>
      <c r="AK322">
        <v>80</v>
      </c>
      <c r="AL322">
        <v>0.83</v>
      </c>
    </row>
    <row r="323" spans="1:38" x14ac:dyDescent="0.3">
      <c r="A323" t="s">
        <v>636</v>
      </c>
      <c r="B323">
        <v>15418</v>
      </c>
      <c r="C323">
        <v>2</v>
      </c>
      <c r="D323" t="s">
        <v>691</v>
      </c>
      <c r="E323" t="s">
        <v>692</v>
      </c>
      <c r="F323">
        <v>96</v>
      </c>
      <c r="G323">
        <v>21.48</v>
      </c>
      <c r="H323">
        <v>71.03</v>
      </c>
      <c r="I323">
        <v>18.14</v>
      </c>
      <c r="J323">
        <v>59.97</v>
      </c>
      <c r="K323">
        <v>66</v>
      </c>
      <c r="T323">
        <v>3</v>
      </c>
      <c r="U323">
        <v>1</v>
      </c>
      <c r="V323" t="s">
        <v>153</v>
      </c>
      <c r="W323" t="s">
        <v>455</v>
      </c>
      <c r="X323">
        <v>12</v>
      </c>
      <c r="Y323">
        <v>12</v>
      </c>
      <c r="Z323" t="s">
        <v>694</v>
      </c>
      <c r="AA323" t="s">
        <v>695</v>
      </c>
      <c r="AB323" t="s">
        <v>156</v>
      </c>
      <c r="AC323" t="s">
        <v>157</v>
      </c>
      <c r="AD323" t="s">
        <v>158</v>
      </c>
      <c r="AE323" t="s">
        <v>129</v>
      </c>
      <c r="AG323" t="s">
        <v>696</v>
      </c>
      <c r="AH323">
        <v>0</v>
      </c>
      <c r="AI323">
        <v>296</v>
      </c>
      <c r="AJ323">
        <v>27</v>
      </c>
      <c r="AK323">
        <v>80</v>
      </c>
      <c r="AL323">
        <v>0.83</v>
      </c>
    </row>
    <row r="324" spans="1:38" x14ac:dyDescent="0.3">
      <c r="A324" t="s">
        <v>636</v>
      </c>
      <c r="B324">
        <v>15418</v>
      </c>
      <c r="C324">
        <v>3</v>
      </c>
      <c r="D324" t="s">
        <v>691</v>
      </c>
      <c r="E324" t="s">
        <v>692</v>
      </c>
      <c r="F324">
        <v>96</v>
      </c>
      <c r="G324">
        <v>27.08</v>
      </c>
      <c r="H324">
        <v>89.54</v>
      </c>
      <c r="I324">
        <v>22.86</v>
      </c>
      <c r="J324">
        <v>75.599999999999994</v>
      </c>
      <c r="K324">
        <v>2</v>
      </c>
      <c r="T324">
        <v>3</v>
      </c>
      <c r="U324">
        <v>1</v>
      </c>
      <c r="V324" t="s">
        <v>153</v>
      </c>
      <c r="W324">
        <v>89</v>
      </c>
      <c r="X324">
        <v>12</v>
      </c>
      <c r="Y324">
        <v>12</v>
      </c>
      <c r="Z324" t="s">
        <v>694</v>
      </c>
      <c r="AA324" t="s">
        <v>695</v>
      </c>
      <c r="AB324" t="s">
        <v>156</v>
      </c>
      <c r="AC324" t="s">
        <v>157</v>
      </c>
      <c r="AD324" t="s">
        <v>158</v>
      </c>
      <c r="AE324" t="s">
        <v>129</v>
      </c>
      <c r="AG324" t="s">
        <v>696</v>
      </c>
      <c r="AH324">
        <v>0</v>
      </c>
      <c r="AI324">
        <v>296</v>
      </c>
      <c r="AJ324">
        <v>27</v>
      </c>
      <c r="AK324">
        <v>80</v>
      </c>
      <c r="AL324">
        <v>0.83</v>
      </c>
    </row>
    <row r="325" spans="1:38" x14ac:dyDescent="0.3">
      <c r="A325" t="s">
        <v>636</v>
      </c>
      <c r="B325">
        <v>15418</v>
      </c>
      <c r="C325">
        <v>4</v>
      </c>
      <c r="D325" t="s">
        <v>691</v>
      </c>
      <c r="E325" t="s">
        <v>692</v>
      </c>
      <c r="F325">
        <v>96</v>
      </c>
      <c r="G325">
        <v>29.87</v>
      </c>
      <c r="H325">
        <v>98.77</v>
      </c>
      <c r="I325">
        <v>25.22</v>
      </c>
      <c r="J325">
        <v>83.38</v>
      </c>
      <c r="K325">
        <v>22</v>
      </c>
      <c r="T325">
        <v>3</v>
      </c>
      <c r="U325">
        <v>2</v>
      </c>
      <c r="V325" t="s">
        <v>153</v>
      </c>
      <c r="W325">
        <v>98</v>
      </c>
      <c r="X325">
        <v>12</v>
      </c>
      <c r="Y325">
        <v>12</v>
      </c>
      <c r="Z325" t="s">
        <v>694</v>
      </c>
      <c r="AA325" t="s">
        <v>695</v>
      </c>
      <c r="AB325" t="s">
        <v>156</v>
      </c>
      <c r="AC325" t="s">
        <v>157</v>
      </c>
      <c r="AD325" t="s">
        <v>158</v>
      </c>
      <c r="AE325" t="s">
        <v>129</v>
      </c>
      <c r="AG325" t="s">
        <v>696</v>
      </c>
      <c r="AH325">
        <v>0</v>
      </c>
      <c r="AI325">
        <v>296</v>
      </c>
      <c r="AJ325">
        <v>27</v>
      </c>
      <c r="AK325">
        <v>80</v>
      </c>
      <c r="AL325">
        <v>0.83</v>
      </c>
    </row>
    <row r="326" spans="1:38" x14ac:dyDescent="0.3">
      <c r="A326" t="s">
        <v>636</v>
      </c>
      <c r="B326">
        <v>7174</v>
      </c>
      <c r="C326">
        <v>1</v>
      </c>
      <c r="D326" t="s">
        <v>697</v>
      </c>
      <c r="E326" t="s">
        <v>698</v>
      </c>
      <c r="F326">
        <v>690</v>
      </c>
      <c r="G326">
        <v>28.35</v>
      </c>
      <c r="H326">
        <v>93.75</v>
      </c>
      <c r="I326">
        <v>23.13</v>
      </c>
      <c r="J326">
        <v>76.48</v>
      </c>
      <c r="K326">
        <v>210</v>
      </c>
      <c r="T326">
        <v>3</v>
      </c>
      <c r="U326">
        <v>1</v>
      </c>
      <c r="V326" t="s">
        <v>153</v>
      </c>
      <c r="W326">
        <v>93</v>
      </c>
      <c r="X326">
        <v>15</v>
      </c>
      <c r="Y326">
        <v>15</v>
      </c>
      <c r="Z326" t="s">
        <v>699</v>
      </c>
      <c r="AA326" t="s">
        <v>700</v>
      </c>
      <c r="AB326" t="s">
        <v>156</v>
      </c>
      <c r="AC326" t="s">
        <v>157</v>
      </c>
      <c r="AD326" t="s">
        <v>158</v>
      </c>
      <c r="AE326" t="s">
        <v>129</v>
      </c>
      <c r="AG326" t="s">
        <v>701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636</v>
      </c>
      <c r="B327">
        <v>7174</v>
      </c>
      <c r="C327">
        <v>2</v>
      </c>
      <c r="D327" t="s">
        <v>697</v>
      </c>
      <c r="E327" t="s">
        <v>698</v>
      </c>
      <c r="F327">
        <v>690</v>
      </c>
      <c r="G327">
        <v>31.06</v>
      </c>
      <c r="H327">
        <v>102.68</v>
      </c>
      <c r="I327">
        <v>25.7</v>
      </c>
      <c r="J327">
        <v>84.99</v>
      </c>
      <c r="K327">
        <v>480</v>
      </c>
      <c r="T327">
        <v>3</v>
      </c>
      <c r="U327">
        <v>2</v>
      </c>
      <c r="V327" t="s">
        <v>153</v>
      </c>
      <c r="W327">
        <v>102</v>
      </c>
      <c r="X327">
        <v>15</v>
      </c>
      <c r="Y327">
        <v>15</v>
      </c>
      <c r="Z327" t="s">
        <v>699</v>
      </c>
      <c r="AA327" t="s">
        <v>700</v>
      </c>
      <c r="AB327" t="s">
        <v>156</v>
      </c>
      <c r="AC327" t="s">
        <v>157</v>
      </c>
      <c r="AD327" t="s">
        <v>158</v>
      </c>
      <c r="AE327" t="s">
        <v>129</v>
      </c>
      <c r="AG327" t="s">
        <v>701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636</v>
      </c>
      <c r="B328">
        <v>7191</v>
      </c>
      <c r="C328">
        <v>1</v>
      </c>
      <c r="D328" t="s">
        <v>702</v>
      </c>
      <c r="E328" t="s">
        <v>703</v>
      </c>
      <c r="F328">
        <v>365</v>
      </c>
      <c r="G328">
        <v>22.74</v>
      </c>
      <c r="H328">
        <v>75.180000000000007</v>
      </c>
      <c r="I328">
        <v>18.05</v>
      </c>
      <c r="J328">
        <v>59.7</v>
      </c>
      <c r="K328">
        <v>140</v>
      </c>
      <c r="T328">
        <v>3</v>
      </c>
      <c r="U328">
        <v>1</v>
      </c>
      <c r="V328" t="s">
        <v>153</v>
      </c>
      <c r="W328">
        <v>75</v>
      </c>
      <c r="X328">
        <v>15</v>
      </c>
      <c r="Y328">
        <v>10</v>
      </c>
      <c r="Z328" t="s">
        <v>704</v>
      </c>
      <c r="AA328" t="s">
        <v>705</v>
      </c>
      <c r="AB328" t="s">
        <v>156</v>
      </c>
      <c r="AC328" t="s">
        <v>157</v>
      </c>
      <c r="AD328" t="s">
        <v>158</v>
      </c>
      <c r="AE328" t="s">
        <v>129</v>
      </c>
      <c r="AG328" t="s">
        <v>706</v>
      </c>
      <c r="AH328">
        <v>0</v>
      </c>
      <c r="AI328">
        <v>238</v>
      </c>
      <c r="AJ328">
        <v>19</v>
      </c>
      <c r="AK328">
        <v>295</v>
      </c>
      <c r="AL328">
        <v>0.81</v>
      </c>
    </row>
    <row r="329" spans="1:38" x14ac:dyDescent="0.3">
      <c r="A329" t="s">
        <v>636</v>
      </c>
      <c r="B329">
        <v>7191</v>
      </c>
      <c r="C329">
        <v>2</v>
      </c>
      <c r="D329" t="s">
        <v>702</v>
      </c>
      <c r="E329" t="s">
        <v>703</v>
      </c>
      <c r="F329">
        <v>365</v>
      </c>
      <c r="G329">
        <v>31.15</v>
      </c>
      <c r="H329">
        <v>103</v>
      </c>
      <c r="I329">
        <v>25.69</v>
      </c>
      <c r="J329">
        <v>84.94</v>
      </c>
      <c r="K329">
        <v>225</v>
      </c>
      <c r="T329">
        <v>3</v>
      </c>
      <c r="U329">
        <v>2</v>
      </c>
      <c r="V329" t="s">
        <v>153</v>
      </c>
      <c r="W329">
        <v>103</v>
      </c>
      <c r="X329">
        <v>15</v>
      </c>
      <c r="Y329">
        <v>10</v>
      </c>
      <c r="Z329" t="s">
        <v>704</v>
      </c>
      <c r="AA329" t="s">
        <v>705</v>
      </c>
      <c r="AB329" t="s">
        <v>156</v>
      </c>
      <c r="AC329" t="s">
        <v>157</v>
      </c>
      <c r="AD329" t="s">
        <v>158</v>
      </c>
      <c r="AE329" t="s">
        <v>129</v>
      </c>
      <c r="AG329" t="s">
        <v>706</v>
      </c>
      <c r="AH329">
        <v>0</v>
      </c>
      <c r="AI329">
        <v>238</v>
      </c>
      <c r="AJ329">
        <v>19</v>
      </c>
      <c r="AK329">
        <v>295</v>
      </c>
      <c r="AL329">
        <v>0.81</v>
      </c>
    </row>
    <row r="330" spans="1:38" x14ac:dyDescent="0.3">
      <c r="A330" t="s">
        <v>636</v>
      </c>
      <c r="B330">
        <v>122496</v>
      </c>
      <c r="C330">
        <v>1</v>
      </c>
      <c r="D330" t="s">
        <v>707</v>
      </c>
      <c r="E330" t="s">
        <v>708</v>
      </c>
      <c r="F330">
        <v>16</v>
      </c>
      <c r="G330">
        <v>29.23</v>
      </c>
      <c r="H330">
        <v>96.66</v>
      </c>
      <c r="I330">
        <v>25.7</v>
      </c>
      <c r="J330">
        <v>84.99</v>
      </c>
      <c r="K330">
        <v>16</v>
      </c>
      <c r="T330">
        <v>3</v>
      </c>
      <c r="U330">
        <v>2</v>
      </c>
      <c r="V330" t="s">
        <v>153</v>
      </c>
      <c r="W330">
        <v>96</v>
      </c>
      <c r="X330">
        <v>5</v>
      </c>
      <c r="Y330">
        <v>5</v>
      </c>
      <c r="Z330" t="s">
        <v>709</v>
      </c>
      <c r="AA330" t="s">
        <v>710</v>
      </c>
      <c r="AB330" t="s">
        <v>156</v>
      </c>
      <c r="AC330" t="s">
        <v>157</v>
      </c>
      <c r="AD330" t="s">
        <v>158</v>
      </c>
      <c r="AE330" t="s">
        <v>129</v>
      </c>
      <c r="AG330" t="s">
        <v>711</v>
      </c>
      <c r="AH330">
        <v>0</v>
      </c>
      <c r="AI330">
        <v>199</v>
      </c>
      <c r="AJ330">
        <v>49</v>
      </c>
      <c r="AK330">
        <v>8</v>
      </c>
      <c r="AL330">
        <v>0.5</v>
      </c>
    </row>
    <row r="331" spans="1:38" x14ac:dyDescent="0.3">
      <c r="A331" t="s">
        <v>636</v>
      </c>
      <c r="B331">
        <v>11673</v>
      </c>
      <c r="C331">
        <v>1</v>
      </c>
      <c r="D331" t="s">
        <v>712</v>
      </c>
      <c r="E331" t="s">
        <v>522</v>
      </c>
      <c r="F331">
        <v>84</v>
      </c>
      <c r="G331">
        <v>50.33</v>
      </c>
      <c r="H331">
        <v>166.4</v>
      </c>
      <c r="I331">
        <v>38.299999999999997</v>
      </c>
      <c r="J331">
        <v>126.63</v>
      </c>
      <c r="K331">
        <v>48</v>
      </c>
      <c r="T331">
        <v>4</v>
      </c>
      <c r="U331">
        <v>2</v>
      </c>
      <c r="V331" t="s">
        <v>153</v>
      </c>
      <c r="W331">
        <v>166</v>
      </c>
      <c r="X331">
        <v>13</v>
      </c>
      <c r="Y331">
        <v>9</v>
      </c>
      <c r="Z331" t="s">
        <v>713</v>
      </c>
      <c r="AA331" t="s">
        <v>714</v>
      </c>
      <c r="AB331" t="s">
        <v>156</v>
      </c>
      <c r="AC331" t="s">
        <v>157</v>
      </c>
      <c r="AD331" t="s">
        <v>158</v>
      </c>
      <c r="AE331" t="s">
        <v>129</v>
      </c>
      <c r="AG331" t="s">
        <v>715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636</v>
      </c>
      <c r="B332">
        <v>11673</v>
      </c>
      <c r="C332">
        <v>2</v>
      </c>
      <c r="D332" t="s">
        <v>712</v>
      </c>
      <c r="E332" t="s">
        <v>522</v>
      </c>
      <c r="F332">
        <v>84</v>
      </c>
      <c r="G332">
        <v>61.53</v>
      </c>
      <c r="H332">
        <v>203.43</v>
      </c>
      <c r="I332">
        <v>46.83</v>
      </c>
      <c r="J332">
        <v>154.81</v>
      </c>
      <c r="K332">
        <v>36</v>
      </c>
      <c r="T332">
        <v>4</v>
      </c>
      <c r="U332">
        <v>2</v>
      </c>
      <c r="V332" t="s">
        <v>153</v>
      </c>
      <c r="W332">
        <v>203</v>
      </c>
      <c r="X332">
        <v>13</v>
      </c>
      <c r="Y332">
        <v>9</v>
      </c>
      <c r="Z332" t="s">
        <v>713</v>
      </c>
      <c r="AA332" t="s">
        <v>714</v>
      </c>
      <c r="AB332" t="s">
        <v>156</v>
      </c>
      <c r="AC332" t="s">
        <v>157</v>
      </c>
      <c r="AD332" t="s">
        <v>158</v>
      </c>
      <c r="AE332" t="s">
        <v>129</v>
      </c>
      <c r="AG332" t="s">
        <v>715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636</v>
      </c>
      <c r="B333">
        <v>107435</v>
      </c>
      <c r="C333">
        <v>1</v>
      </c>
      <c r="D333" t="s">
        <v>716</v>
      </c>
      <c r="E333" t="s">
        <v>717</v>
      </c>
      <c r="F333">
        <v>523</v>
      </c>
      <c r="G333">
        <v>12.36</v>
      </c>
      <c r="H333">
        <v>40.880000000000003</v>
      </c>
      <c r="I333">
        <v>9.17</v>
      </c>
      <c r="J333">
        <v>30.33</v>
      </c>
      <c r="K333">
        <v>299</v>
      </c>
      <c r="T333">
        <v>1</v>
      </c>
      <c r="U333">
        <v>1</v>
      </c>
      <c r="V333" t="s">
        <v>184</v>
      </c>
      <c r="W333">
        <v>40</v>
      </c>
      <c r="X333">
        <v>15</v>
      </c>
      <c r="Y333">
        <v>5</v>
      </c>
      <c r="Z333" t="s">
        <v>718</v>
      </c>
      <c r="AA333" t="s">
        <v>719</v>
      </c>
      <c r="AB333" t="s">
        <v>156</v>
      </c>
      <c r="AC333" t="s">
        <v>157</v>
      </c>
      <c r="AD333" t="s">
        <v>158</v>
      </c>
      <c r="AE333" t="s">
        <v>129</v>
      </c>
      <c r="AG333" t="s">
        <v>720</v>
      </c>
      <c r="AH333">
        <v>0</v>
      </c>
      <c r="AI333">
        <v>0</v>
      </c>
      <c r="AJ333">
        <v>0</v>
      </c>
      <c r="AK333">
        <v>390</v>
      </c>
      <c r="AL333">
        <v>0.75</v>
      </c>
    </row>
    <row r="334" spans="1:38" x14ac:dyDescent="0.3">
      <c r="A334" t="s">
        <v>636</v>
      </c>
      <c r="B334">
        <v>107435</v>
      </c>
      <c r="C334">
        <v>2</v>
      </c>
      <c r="D334" t="s">
        <v>716</v>
      </c>
      <c r="E334" t="s">
        <v>717</v>
      </c>
      <c r="F334">
        <v>523</v>
      </c>
      <c r="G334">
        <v>18.760000000000002</v>
      </c>
      <c r="H334">
        <v>62.02</v>
      </c>
      <c r="I334">
        <v>13.72</v>
      </c>
      <c r="J334">
        <v>45.36</v>
      </c>
      <c r="K334">
        <v>224</v>
      </c>
      <c r="T334">
        <v>2</v>
      </c>
      <c r="U334">
        <v>1</v>
      </c>
      <c r="V334" t="s">
        <v>184</v>
      </c>
      <c r="W334">
        <v>62</v>
      </c>
      <c r="X334">
        <v>15</v>
      </c>
      <c r="Y334">
        <v>5</v>
      </c>
      <c r="Z334" t="s">
        <v>718</v>
      </c>
      <c r="AA334" t="s">
        <v>719</v>
      </c>
      <c r="AB334" t="s">
        <v>156</v>
      </c>
      <c r="AC334" t="s">
        <v>157</v>
      </c>
      <c r="AD334" t="s">
        <v>158</v>
      </c>
      <c r="AE334" t="s">
        <v>129</v>
      </c>
      <c r="AG334" t="s">
        <v>720</v>
      </c>
      <c r="AH334">
        <v>0</v>
      </c>
      <c r="AI334">
        <v>0</v>
      </c>
      <c r="AJ334">
        <v>0</v>
      </c>
      <c r="AK334">
        <v>390</v>
      </c>
      <c r="AL334">
        <v>0.75</v>
      </c>
    </row>
    <row r="335" spans="1:38" x14ac:dyDescent="0.3">
      <c r="A335" t="s">
        <v>636</v>
      </c>
      <c r="B335">
        <v>100632</v>
      </c>
      <c r="C335">
        <v>1</v>
      </c>
      <c r="D335" t="s">
        <v>721</v>
      </c>
      <c r="E335" t="s">
        <v>722</v>
      </c>
      <c r="F335">
        <v>5</v>
      </c>
      <c r="G335">
        <v>84.3</v>
      </c>
      <c r="H335">
        <v>278.70999999999998</v>
      </c>
      <c r="I335">
        <v>51.86</v>
      </c>
      <c r="J335">
        <v>171.46</v>
      </c>
      <c r="K335">
        <v>4</v>
      </c>
      <c r="T335">
        <v>6</v>
      </c>
      <c r="U335">
        <v>3</v>
      </c>
      <c r="V335" t="s">
        <v>153</v>
      </c>
      <c r="W335">
        <v>278</v>
      </c>
      <c r="X335">
        <v>5</v>
      </c>
      <c r="Y335">
        <v>5</v>
      </c>
      <c r="Z335" t="s">
        <v>723</v>
      </c>
      <c r="AA335" t="s">
        <v>724</v>
      </c>
      <c r="AB335" t="s">
        <v>156</v>
      </c>
      <c r="AC335" t="s">
        <v>157</v>
      </c>
      <c r="AD335" t="s">
        <v>158</v>
      </c>
      <c r="AE335" t="s">
        <v>129</v>
      </c>
      <c r="AG335" t="s">
        <v>725</v>
      </c>
      <c r="AH335">
        <v>0</v>
      </c>
      <c r="AI335">
        <v>145</v>
      </c>
      <c r="AJ335">
        <v>33</v>
      </c>
      <c r="AK335">
        <v>12</v>
      </c>
      <c r="AL335">
        <v>2.4</v>
      </c>
    </row>
    <row r="336" spans="1:38" x14ac:dyDescent="0.3">
      <c r="A336" t="s">
        <v>636</v>
      </c>
      <c r="B336">
        <v>100632</v>
      </c>
      <c r="C336">
        <v>2</v>
      </c>
      <c r="D336" t="s">
        <v>721</v>
      </c>
      <c r="E336" t="s">
        <v>722</v>
      </c>
      <c r="F336">
        <v>5</v>
      </c>
      <c r="G336">
        <v>99.08</v>
      </c>
      <c r="H336">
        <v>327.56</v>
      </c>
      <c r="I336">
        <v>60.95</v>
      </c>
      <c r="J336">
        <v>201.51</v>
      </c>
      <c r="K336">
        <v>1</v>
      </c>
      <c r="T336">
        <v>6</v>
      </c>
      <c r="U336">
        <v>3</v>
      </c>
      <c r="V336" t="s">
        <v>153</v>
      </c>
      <c r="W336">
        <v>327</v>
      </c>
      <c r="X336">
        <v>5</v>
      </c>
      <c r="Y336">
        <v>5</v>
      </c>
      <c r="Z336" t="s">
        <v>723</v>
      </c>
      <c r="AA336" t="s">
        <v>724</v>
      </c>
      <c r="AB336" t="s">
        <v>156</v>
      </c>
      <c r="AC336" t="s">
        <v>157</v>
      </c>
      <c r="AD336" t="s">
        <v>158</v>
      </c>
      <c r="AE336" t="s">
        <v>129</v>
      </c>
      <c r="AG336" t="s">
        <v>725</v>
      </c>
      <c r="AH336">
        <v>0</v>
      </c>
      <c r="AI336">
        <v>145</v>
      </c>
      <c r="AJ336">
        <v>33</v>
      </c>
      <c r="AK336">
        <v>12</v>
      </c>
      <c r="AL336">
        <v>2.4</v>
      </c>
    </row>
    <row r="337" spans="1:38" x14ac:dyDescent="0.3">
      <c r="A337" t="s">
        <v>636</v>
      </c>
      <c r="B337">
        <v>139163</v>
      </c>
      <c r="C337">
        <v>1</v>
      </c>
      <c r="D337" t="s">
        <v>726</v>
      </c>
      <c r="E337" t="s">
        <v>727</v>
      </c>
      <c r="F337">
        <v>24</v>
      </c>
      <c r="G337">
        <v>28.68</v>
      </c>
      <c r="H337">
        <v>94.82</v>
      </c>
      <c r="I337">
        <v>23.2</v>
      </c>
      <c r="J337">
        <v>76.7</v>
      </c>
      <c r="K337">
        <v>16</v>
      </c>
      <c r="T337">
        <v>3</v>
      </c>
      <c r="U337">
        <v>2</v>
      </c>
      <c r="V337" t="s">
        <v>153</v>
      </c>
      <c r="W337">
        <v>94</v>
      </c>
      <c r="X337">
        <v>4</v>
      </c>
      <c r="Y337">
        <v>4</v>
      </c>
      <c r="Z337" t="s">
        <v>728</v>
      </c>
      <c r="AA337" t="s">
        <v>729</v>
      </c>
      <c r="AB337" t="s">
        <v>156</v>
      </c>
      <c r="AC337" t="s">
        <v>157</v>
      </c>
      <c r="AD337" t="s">
        <v>158</v>
      </c>
      <c r="AE337" t="s">
        <v>129</v>
      </c>
      <c r="AG337" t="s">
        <v>730</v>
      </c>
      <c r="AH337">
        <v>0</v>
      </c>
      <c r="AI337">
        <v>71</v>
      </c>
      <c r="AJ337">
        <v>19</v>
      </c>
      <c r="AK337">
        <v>24</v>
      </c>
      <c r="AL337">
        <v>1</v>
      </c>
    </row>
    <row r="338" spans="1:38" x14ac:dyDescent="0.3">
      <c r="A338" t="s">
        <v>636</v>
      </c>
      <c r="B338">
        <v>139163</v>
      </c>
      <c r="C338">
        <v>2</v>
      </c>
      <c r="D338" t="s">
        <v>726</v>
      </c>
      <c r="E338" t="s">
        <v>727</v>
      </c>
      <c r="F338">
        <v>24</v>
      </c>
      <c r="G338">
        <v>29.53</v>
      </c>
      <c r="H338">
        <v>97.62</v>
      </c>
      <c r="I338">
        <v>23.2</v>
      </c>
      <c r="J338">
        <v>76.7</v>
      </c>
      <c r="K338">
        <v>8</v>
      </c>
      <c r="T338">
        <v>3</v>
      </c>
      <c r="U338">
        <v>2</v>
      </c>
      <c r="V338" t="s">
        <v>153</v>
      </c>
      <c r="W338">
        <v>97</v>
      </c>
      <c r="X338">
        <v>4</v>
      </c>
      <c r="Y338">
        <v>4</v>
      </c>
      <c r="Z338" t="s">
        <v>728</v>
      </c>
      <c r="AA338" t="s">
        <v>729</v>
      </c>
      <c r="AB338" t="s">
        <v>156</v>
      </c>
      <c r="AC338" t="s">
        <v>157</v>
      </c>
      <c r="AD338" t="s">
        <v>158</v>
      </c>
      <c r="AE338" t="s">
        <v>129</v>
      </c>
      <c r="AG338" t="s">
        <v>730</v>
      </c>
      <c r="AH338">
        <v>0</v>
      </c>
      <c r="AI338">
        <v>71</v>
      </c>
      <c r="AJ338">
        <v>19</v>
      </c>
      <c r="AK338">
        <v>24</v>
      </c>
      <c r="AL338">
        <v>1</v>
      </c>
    </row>
    <row r="339" spans="1:38" x14ac:dyDescent="0.3">
      <c r="A339" t="s">
        <v>636</v>
      </c>
      <c r="B339">
        <v>140898</v>
      </c>
      <c r="C339">
        <v>1</v>
      </c>
      <c r="D339" t="s">
        <v>731</v>
      </c>
      <c r="E339" t="s">
        <v>257</v>
      </c>
      <c r="F339">
        <v>96</v>
      </c>
      <c r="G339">
        <v>26.97</v>
      </c>
      <c r="H339">
        <v>89.17</v>
      </c>
      <c r="I339">
        <v>24.15</v>
      </c>
      <c r="J339">
        <v>79.86</v>
      </c>
      <c r="K339">
        <v>96</v>
      </c>
      <c r="T339">
        <v>3</v>
      </c>
      <c r="U339">
        <v>2</v>
      </c>
      <c r="V339" t="s">
        <v>153</v>
      </c>
      <c r="W339">
        <v>89</v>
      </c>
      <c r="X339">
        <v>4</v>
      </c>
      <c r="Y339">
        <v>4</v>
      </c>
      <c r="Z339" t="s">
        <v>732</v>
      </c>
      <c r="AA339" t="s">
        <v>733</v>
      </c>
      <c r="AB339" t="s">
        <v>156</v>
      </c>
      <c r="AC339" t="s">
        <v>157</v>
      </c>
      <c r="AD339" t="s">
        <v>158</v>
      </c>
      <c r="AE339" t="s">
        <v>129</v>
      </c>
      <c r="AG339" t="s">
        <v>734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636</v>
      </c>
      <c r="B340">
        <v>7175</v>
      </c>
      <c r="C340">
        <v>1</v>
      </c>
      <c r="D340" t="s">
        <v>735</v>
      </c>
      <c r="E340" t="s">
        <v>362</v>
      </c>
      <c r="F340">
        <v>176</v>
      </c>
      <c r="G340">
        <v>18.190000000000001</v>
      </c>
      <c r="H340">
        <v>60.15</v>
      </c>
      <c r="I340">
        <v>14.27</v>
      </c>
      <c r="J340">
        <v>47.19</v>
      </c>
      <c r="K340">
        <v>22</v>
      </c>
      <c r="T340">
        <v>2</v>
      </c>
      <c r="U340">
        <v>1</v>
      </c>
      <c r="V340" t="s">
        <v>184</v>
      </c>
      <c r="W340">
        <v>60</v>
      </c>
      <c r="X340">
        <v>11</v>
      </c>
      <c r="Y340">
        <v>11</v>
      </c>
      <c r="Z340" t="s">
        <v>736</v>
      </c>
      <c r="AA340" t="s">
        <v>737</v>
      </c>
      <c r="AB340" t="s">
        <v>156</v>
      </c>
      <c r="AC340" t="s">
        <v>157</v>
      </c>
      <c r="AD340" t="s">
        <v>158</v>
      </c>
      <c r="AE340" t="s">
        <v>129</v>
      </c>
      <c r="AG340" t="s">
        <v>738</v>
      </c>
      <c r="AH340">
        <v>0</v>
      </c>
      <c r="AI340">
        <v>224</v>
      </c>
      <c r="AJ340">
        <v>27</v>
      </c>
      <c r="AK340">
        <v>137</v>
      </c>
      <c r="AL340">
        <v>0.78</v>
      </c>
    </row>
    <row r="341" spans="1:38" x14ac:dyDescent="0.3">
      <c r="A341" t="s">
        <v>636</v>
      </c>
      <c r="B341">
        <v>7175</v>
      </c>
      <c r="C341">
        <v>2</v>
      </c>
      <c r="D341" t="s">
        <v>735</v>
      </c>
      <c r="E341" t="s">
        <v>362</v>
      </c>
      <c r="F341">
        <v>176</v>
      </c>
      <c r="G341">
        <v>22.43</v>
      </c>
      <c r="H341">
        <v>74.180000000000007</v>
      </c>
      <c r="I341">
        <v>17.95</v>
      </c>
      <c r="J341">
        <v>59.36</v>
      </c>
      <c r="K341">
        <v>154</v>
      </c>
      <c r="T341">
        <v>3</v>
      </c>
      <c r="U341">
        <v>1</v>
      </c>
      <c r="V341" t="s">
        <v>184</v>
      </c>
      <c r="W341">
        <v>74</v>
      </c>
      <c r="X341">
        <v>11</v>
      </c>
      <c r="Y341">
        <v>11</v>
      </c>
      <c r="Z341" t="s">
        <v>736</v>
      </c>
      <c r="AA341" t="s">
        <v>737</v>
      </c>
      <c r="AB341" t="s">
        <v>156</v>
      </c>
      <c r="AC341" t="s">
        <v>157</v>
      </c>
      <c r="AD341" t="s">
        <v>158</v>
      </c>
      <c r="AE341" t="s">
        <v>129</v>
      </c>
      <c r="AG341" t="s">
        <v>738</v>
      </c>
      <c r="AH341">
        <v>0</v>
      </c>
      <c r="AI341">
        <v>224</v>
      </c>
      <c r="AJ341">
        <v>27</v>
      </c>
      <c r="AK341">
        <v>137</v>
      </c>
      <c r="AL341">
        <v>0.78</v>
      </c>
    </row>
    <row r="342" spans="1:38" x14ac:dyDescent="0.3">
      <c r="A342" t="s">
        <v>636</v>
      </c>
      <c r="B342">
        <v>7169</v>
      </c>
      <c r="C342">
        <v>1</v>
      </c>
      <c r="D342" t="s">
        <v>739</v>
      </c>
      <c r="E342" t="s">
        <v>740</v>
      </c>
      <c r="F342">
        <v>330</v>
      </c>
      <c r="G342">
        <v>28.27</v>
      </c>
      <c r="H342">
        <v>93.48</v>
      </c>
      <c r="I342">
        <v>22.72</v>
      </c>
      <c r="J342">
        <v>75.13</v>
      </c>
      <c r="K342">
        <v>150</v>
      </c>
      <c r="T342">
        <v>3</v>
      </c>
      <c r="U342">
        <v>1</v>
      </c>
      <c r="V342" t="s">
        <v>153</v>
      </c>
      <c r="W342">
        <v>93</v>
      </c>
      <c r="X342">
        <v>15</v>
      </c>
      <c r="Y342">
        <v>15</v>
      </c>
      <c r="Z342" t="s">
        <v>741</v>
      </c>
      <c r="AA342" t="s">
        <v>742</v>
      </c>
      <c r="AB342" t="s">
        <v>156</v>
      </c>
      <c r="AC342" t="s">
        <v>157</v>
      </c>
      <c r="AD342" t="s">
        <v>158</v>
      </c>
      <c r="AE342" t="s">
        <v>129</v>
      </c>
      <c r="AG342" t="s">
        <v>743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636</v>
      </c>
      <c r="B343">
        <v>7169</v>
      </c>
      <c r="C343">
        <v>2</v>
      </c>
      <c r="D343" t="s">
        <v>739</v>
      </c>
      <c r="E343" t="s">
        <v>740</v>
      </c>
      <c r="F343">
        <v>330</v>
      </c>
      <c r="G343">
        <v>31.68</v>
      </c>
      <c r="H343">
        <v>104.76</v>
      </c>
      <c r="I343">
        <v>25.68</v>
      </c>
      <c r="J343">
        <v>84.92</v>
      </c>
      <c r="K343">
        <v>120</v>
      </c>
      <c r="T343">
        <v>3</v>
      </c>
      <c r="U343">
        <v>2</v>
      </c>
      <c r="V343" t="s">
        <v>153</v>
      </c>
      <c r="W343">
        <v>104</v>
      </c>
      <c r="X343">
        <v>15</v>
      </c>
      <c r="Y343">
        <v>15</v>
      </c>
      <c r="Z343" t="s">
        <v>741</v>
      </c>
      <c r="AA343" t="s">
        <v>742</v>
      </c>
      <c r="AB343" t="s">
        <v>156</v>
      </c>
      <c r="AC343" t="s">
        <v>157</v>
      </c>
      <c r="AD343" t="s">
        <v>158</v>
      </c>
      <c r="AE343" t="s">
        <v>129</v>
      </c>
      <c r="AG343" t="s">
        <v>743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">
      <c r="A344" t="s">
        <v>636</v>
      </c>
      <c r="B344">
        <v>7169</v>
      </c>
      <c r="C344">
        <v>3</v>
      </c>
      <c r="D344" t="s">
        <v>739</v>
      </c>
      <c r="E344" t="s">
        <v>740</v>
      </c>
      <c r="F344">
        <v>330</v>
      </c>
      <c r="G344">
        <v>48.11</v>
      </c>
      <c r="H344">
        <v>159.05000000000001</v>
      </c>
      <c r="I344">
        <v>40.67</v>
      </c>
      <c r="J344">
        <v>134.47</v>
      </c>
      <c r="K344">
        <v>60</v>
      </c>
      <c r="T344">
        <v>4</v>
      </c>
      <c r="U344">
        <v>2</v>
      </c>
      <c r="V344" t="s">
        <v>153</v>
      </c>
      <c r="W344">
        <v>159</v>
      </c>
      <c r="X344">
        <v>15</v>
      </c>
      <c r="Y344">
        <v>15</v>
      </c>
      <c r="Z344" t="s">
        <v>741</v>
      </c>
      <c r="AA344" t="s">
        <v>742</v>
      </c>
      <c r="AB344" t="s">
        <v>156</v>
      </c>
      <c r="AC344" t="s">
        <v>157</v>
      </c>
      <c r="AD344" t="s">
        <v>158</v>
      </c>
      <c r="AE344" t="s">
        <v>129</v>
      </c>
      <c r="AG344" t="s">
        <v>743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">
      <c r="A345" t="s">
        <v>636</v>
      </c>
      <c r="B345">
        <v>127503</v>
      </c>
      <c r="C345">
        <v>1</v>
      </c>
      <c r="D345" t="s">
        <v>744</v>
      </c>
      <c r="E345" t="s">
        <v>745</v>
      </c>
      <c r="F345">
        <v>748</v>
      </c>
      <c r="G345">
        <v>24.13</v>
      </c>
      <c r="H345">
        <v>79.78</v>
      </c>
      <c r="I345">
        <v>18.12</v>
      </c>
      <c r="J345">
        <v>59.93</v>
      </c>
      <c r="K345">
        <v>152</v>
      </c>
      <c r="T345">
        <v>3</v>
      </c>
      <c r="U345">
        <v>2</v>
      </c>
      <c r="V345" t="s">
        <v>153</v>
      </c>
      <c r="W345" t="s">
        <v>122</v>
      </c>
      <c r="X345">
        <v>29</v>
      </c>
      <c r="Y345">
        <v>11</v>
      </c>
      <c r="Z345" t="s">
        <v>746</v>
      </c>
      <c r="AA345" t="s">
        <v>747</v>
      </c>
      <c r="AB345" t="s">
        <v>156</v>
      </c>
      <c r="AC345" t="s">
        <v>157</v>
      </c>
      <c r="AD345" t="s">
        <v>158</v>
      </c>
      <c r="AE345" t="s">
        <v>129</v>
      </c>
      <c r="AG345" t="s">
        <v>748</v>
      </c>
      <c r="AH345">
        <v>0</v>
      </c>
      <c r="AI345">
        <v>0</v>
      </c>
      <c r="AJ345">
        <v>0</v>
      </c>
      <c r="AK345">
        <v>986</v>
      </c>
      <c r="AL345">
        <v>1.32</v>
      </c>
    </row>
    <row r="346" spans="1:38" x14ac:dyDescent="0.3">
      <c r="A346" t="s">
        <v>636</v>
      </c>
      <c r="B346">
        <v>127503</v>
      </c>
      <c r="C346">
        <v>2</v>
      </c>
      <c r="D346" t="s">
        <v>744</v>
      </c>
      <c r="E346" t="s">
        <v>745</v>
      </c>
      <c r="F346">
        <v>748</v>
      </c>
      <c r="G346">
        <v>24.27</v>
      </c>
      <c r="H346">
        <v>80.25</v>
      </c>
      <c r="I346">
        <v>18.13</v>
      </c>
      <c r="J346">
        <v>59.94</v>
      </c>
      <c r="K346">
        <v>99</v>
      </c>
      <c r="T346">
        <v>3</v>
      </c>
      <c r="U346">
        <v>2</v>
      </c>
      <c r="V346" t="s">
        <v>153</v>
      </c>
      <c r="W346" t="s">
        <v>420</v>
      </c>
      <c r="X346">
        <v>29</v>
      </c>
      <c r="Y346">
        <v>11</v>
      </c>
      <c r="Z346" t="s">
        <v>746</v>
      </c>
      <c r="AA346" t="s">
        <v>747</v>
      </c>
      <c r="AB346" t="s">
        <v>156</v>
      </c>
      <c r="AC346" t="s">
        <v>157</v>
      </c>
      <c r="AD346" t="s">
        <v>158</v>
      </c>
      <c r="AE346" t="s">
        <v>129</v>
      </c>
      <c r="AG346" t="s">
        <v>748</v>
      </c>
      <c r="AH346">
        <v>0</v>
      </c>
      <c r="AI346">
        <v>0</v>
      </c>
      <c r="AJ346">
        <v>0</v>
      </c>
      <c r="AK346">
        <v>986</v>
      </c>
      <c r="AL346">
        <v>1.32</v>
      </c>
    </row>
    <row r="347" spans="1:38" x14ac:dyDescent="0.3">
      <c r="A347" t="s">
        <v>636</v>
      </c>
      <c r="B347">
        <v>127503</v>
      </c>
      <c r="C347">
        <v>3</v>
      </c>
      <c r="D347" t="s">
        <v>744</v>
      </c>
      <c r="E347" t="s">
        <v>745</v>
      </c>
      <c r="F347">
        <v>748</v>
      </c>
      <c r="G347">
        <v>30.11</v>
      </c>
      <c r="H347">
        <v>99.55</v>
      </c>
      <c r="I347">
        <v>22.98</v>
      </c>
      <c r="J347">
        <v>75.98</v>
      </c>
      <c r="K347">
        <v>143</v>
      </c>
      <c r="T347">
        <v>3</v>
      </c>
      <c r="U347">
        <v>2</v>
      </c>
      <c r="V347" t="s">
        <v>153</v>
      </c>
      <c r="W347" t="s">
        <v>123</v>
      </c>
      <c r="X347">
        <v>29</v>
      </c>
      <c r="Y347">
        <v>11</v>
      </c>
      <c r="Z347" t="s">
        <v>746</v>
      </c>
      <c r="AA347" t="s">
        <v>747</v>
      </c>
      <c r="AB347" t="s">
        <v>156</v>
      </c>
      <c r="AC347" t="s">
        <v>157</v>
      </c>
      <c r="AD347" t="s">
        <v>158</v>
      </c>
      <c r="AE347" t="s">
        <v>129</v>
      </c>
      <c r="AG347" t="s">
        <v>748</v>
      </c>
      <c r="AH347">
        <v>0</v>
      </c>
      <c r="AI347">
        <v>0</v>
      </c>
      <c r="AJ347">
        <v>0</v>
      </c>
      <c r="AK347">
        <v>986</v>
      </c>
      <c r="AL347">
        <v>1.32</v>
      </c>
    </row>
    <row r="348" spans="1:38" x14ac:dyDescent="0.3">
      <c r="A348" t="s">
        <v>636</v>
      </c>
      <c r="B348">
        <v>127503</v>
      </c>
      <c r="C348">
        <v>4</v>
      </c>
      <c r="D348" t="s">
        <v>744</v>
      </c>
      <c r="E348" t="s">
        <v>745</v>
      </c>
      <c r="F348">
        <v>748</v>
      </c>
      <c r="G348">
        <v>30.5</v>
      </c>
      <c r="H348">
        <v>100.84</v>
      </c>
      <c r="I348">
        <v>22.98</v>
      </c>
      <c r="J348">
        <v>75.989999999999995</v>
      </c>
      <c r="K348">
        <v>107</v>
      </c>
      <c r="T348">
        <v>3</v>
      </c>
      <c r="U348">
        <v>2</v>
      </c>
      <c r="V348" t="s">
        <v>153</v>
      </c>
      <c r="W348" t="s">
        <v>108</v>
      </c>
      <c r="X348">
        <v>29</v>
      </c>
      <c r="Y348">
        <v>11</v>
      </c>
      <c r="Z348" t="s">
        <v>746</v>
      </c>
      <c r="AA348" t="s">
        <v>747</v>
      </c>
      <c r="AB348" t="s">
        <v>156</v>
      </c>
      <c r="AC348" t="s">
        <v>157</v>
      </c>
      <c r="AD348" t="s">
        <v>158</v>
      </c>
      <c r="AE348" t="s">
        <v>129</v>
      </c>
      <c r="AG348" t="s">
        <v>748</v>
      </c>
      <c r="AH348">
        <v>0</v>
      </c>
      <c r="AI348">
        <v>0</v>
      </c>
      <c r="AJ348">
        <v>0</v>
      </c>
      <c r="AK348">
        <v>986</v>
      </c>
      <c r="AL348">
        <v>1.32</v>
      </c>
    </row>
    <row r="349" spans="1:38" x14ac:dyDescent="0.3">
      <c r="A349" t="s">
        <v>636</v>
      </c>
      <c r="B349">
        <v>127503</v>
      </c>
      <c r="C349">
        <v>5</v>
      </c>
      <c r="D349" t="s">
        <v>744</v>
      </c>
      <c r="E349" t="s">
        <v>745</v>
      </c>
      <c r="F349">
        <v>748</v>
      </c>
      <c r="G349">
        <v>33.630000000000003</v>
      </c>
      <c r="H349">
        <v>111.2</v>
      </c>
      <c r="I349">
        <v>25.7</v>
      </c>
      <c r="J349">
        <v>84.97</v>
      </c>
      <c r="K349">
        <v>149</v>
      </c>
      <c r="T349">
        <v>3</v>
      </c>
      <c r="U349">
        <v>2</v>
      </c>
      <c r="V349" t="s">
        <v>153</v>
      </c>
      <c r="W349" t="s">
        <v>109</v>
      </c>
      <c r="X349">
        <v>29</v>
      </c>
      <c r="Y349">
        <v>11</v>
      </c>
      <c r="Z349" t="s">
        <v>746</v>
      </c>
      <c r="AA349" t="s">
        <v>747</v>
      </c>
      <c r="AB349" t="s">
        <v>156</v>
      </c>
      <c r="AC349" t="s">
        <v>157</v>
      </c>
      <c r="AD349" t="s">
        <v>158</v>
      </c>
      <c r="AE349" t="s">
        <v>129</v>
      </c>
      <c r="AG349" t="s">
        <v>748</v>
      </c>
      <c r="AH349">
        <v>0</v>
      </c>
      <c r="AI349">
        <v>0</v>
      </c>
      <c r="AJ349">
        <v>0</v>
      </c>
      <c r="AK349">
        <v>986</v>
      </c>
      <c r="AL349">
        <v>1.32</v>
      </c>
    </row>
    <row r="350" spans="1:38" x14ac:dyDescent="0.3">
      <c r="A350" t="s">
        <v>636</v>
      </c>
      <c r="B350">
        <v>127503</v>
      </c>
      <c r="C350">
        <v>6</v>
      </c>
      <c r="D350" t="s">
        <v>744</v>
      </c>
      <c r="E350" t="s">
        <v>745</v>
      </c>
      <c r="F350">
        <v>748</v>
      </c>
      <c r="G350">
        <v>33.74</v>
      </c>
      <c r="H350">
        <v>111.54</v>
      </c>
      <c r="I350">
        <v>25.7</v>
      </c>
      <c r="J350">
        <v>84.97</v>
      </c>
      <c r="K350">
        <v>48</v>
      </c>
      <c r="T350">
        <v>3</v>
      </c>
      <c r="U350">
        <v>2</v>
      </c>
      <c r="V350" t="s">
        <v>153</v>
      </c>
      <c r="W350" t="s">
        <v>664</v>
      </c>
      <c r="X350">
        <v>29</v>
      </c>
      <c r="Y350">
        <v>11</v>
      </c>
      <c r="Z350" t="s">
        <v>746</v>
      </c>
      <c r="AA350" t="s">
        <v>747</v>
      </c>
      <c r="AB350" t="s">
        <v>156</v>
      </c>
      <c r="AC350" t="s">
        <v>157</v>
      </c>
      <c r="AD350" t="s">
        <v>158</v>
      </c>
      <c r="AE350" t="s">
        <v>129</v>
      </c>
      <c r="AG350" t="s">
        <v>748</v>
      </c>
      <c r="AH350">
        <v>0</v>
      </c>
      <c r="AI350">
        <v>0</v>
      </c>
      <c r="AJ350">
        <v>0</v>
      </c>
      <c r="AK350">
        <v>986</v>
      </c>
      <c r="AL350">
        <v>1.32</v>
      </c>
    </row>
    <row r="351" spans="1:38" x14ac:dyDescent="0.3">
      <c r="A351" t="s">
        <v>636</v>
      </c>
      <c r="B351">
        <v>127503</v>
      </c>
      <c r="C351">
        <v>7</v>
      </c>
      <c r="D351" t="s">
        <v>744</v>
      </c>
      <c r="E351" t="s">
        <v>745</v>
      </c>
      <c r="F351">
        <v>748</v>
      </c>
      <c r="G351">
        <v>34.35</v>
      </c>
      <c r="H351">
        <v>113.56</v>
      </c>
      <c r="I351">
        <v>25.7</v>
      </c>
      <c r="J351">
        <v>84.98</v>
      </c>
      <c r="K351">
        <v>28</v>
      </c>
      <c r="T351">
        <v>3</v>
      </c>
      <c r="U351">
        <v>2</v>
      </c>
      <c r="V351" t="s">
        <v>153</v>
      </c>
      <c r="W351" t="s">
        <v>749</v>
      </c>
      <c r="X351">
        <v>29</v>
      </c>
      <c r="Y351">
        <v>11</v>
      </c>
      <c r="Z351" t="s">
        <v>746</v>
      </c>
      <c r="AA351" t="s">
        <v>747</v>
      </c>
      <c r="AB351" t="s">
        <v>156</v>
      </c>
      <c r="AC351" t="s">
        <v>157</v>
      </c>
      <c r="AD351" t="s">
        <v>158</v>
      </c>
      <c r="AE351" t="s">
        <v>129</v>
      </c>
      <c r="AG351" t="s">
        <v>748</v>
      </c>
      <c r="AH351">
        <v>0</v>
      </c>
      <c r="AI351">
        <v>0</v>
      </c>
      <c r="AJ351">
        <v>0</v>
      </c>
      <c r="AK351">
        <v>986</v>
      </c>
      <c r="AL351">
        <v>1.32</v>
      </c>
    </row>
    <row r="352" spans="1:38" x14ac:dyDescent="0.3">
      <c r="A352" t="s">
        <v>636</v>
      </c>
      <c r="B352">
        <v>127503</v>
      </c>
      <c r="C352">
        <v>8</v>
      </c>
      <c r="D352" t="s">
        <v>744</v>
      </c>
      <c r="E352" t="s">
        <v>745</v>
      </c>
      <c r="F352">
        <v>748</v>
      </c>
      <c r="G352">
        <v>34.4</v>
      </c>
      <c r="H352">
        <v>113.72</v>
      </c>
      <c r="I352">
        <v>25.7</v>
      </c>
      <c r="J352">
        <v>84.98</v>
      </c>
      <c r="K352">
        <v>22</v>
      </c>
      <c r="T352">
        <v>3</v>
      </c>
      <c r="U352">
        <v>2</v>
      </c>
      <c r="V352" t="s">
        <v>153</v>
      </c>
      <c r="W352" t="s">
        <v>750</v>
      </c>
      <c r="X352">
        <v>29</v>
      </c>
      <c r="Y352">
        <v>11</v>
      </c>
      <c r="Z352" t="s">
        <v>746</v>
      </c>
      <c r="AA352" t="s">
        <v>747</v>
      </c>
      <c r="AB352" t="s">
        <v>156</v>
      </c>
      <c r="AC352" t="s">
        <v>157</v>
      </c>
      <c r="AD352" t="s">
        <v>158</v>
      </c>
      <c r="AE352" t="s">
        <v>129</v>
      </c>
      <c r="AG352" t="s">
        <v>748</v>
      </c>
      <c r="AH352">
        <v>0</v>
      </c>
      <c r="AI352">
        <v>0</v>
      </c>
      <c r="AJ352">
        <v>0</v>
      </c>
      <c r="AK352">
        <v>986</v>
      </c>
      <c r="AL352">
        <v>1.32</v>
      </c>
    </row>
    <row r="353" spans="1:38" x14ac:dyDescent="0.3">
      <c r="A353" t="s">
        <v>636</v>
      </c>
      <c r="B353">
        <v>107454</v>
      </c>
      <c r="C353">
        <v>1</v>
      </c>
      <c r="D353" t="s">
        <v>751</v>
      </c>
      <c r="E353" t="s">
        <v>752</v>
      </c>
      <c r="F353">
        <v>19</v>
      </c>
      <c r="G353">
        <v>37.619999999999997</v>
      </c>
      <c r="H353">
        <v>124.38</v>
      </c>
      <c r="I353">
        <v>33.76</v>
      </c>
      <c r="J353">
        <v>111.63</v>
      </c>
      <c r="K353">
        <v>9</v>
      </c>
      <c r="T353">
        <v>3</v>
      </c>
      <c r="U353">
        <v>2</v>
      </c>
      <c r="V353" t="s">
        <v>184</v>
      </c>
      <c r="W353" t="s">
        <v>753</v>
      </c>
      <c r="X353">
        <v>6</v>
      </c>
      <c r="Y353">
        <v>5</v>
      </c>
      <c r="Z353" t="s">
        <v>754</v>
      </c>
      <c r="AA353" t="s">
        <v>755</v>
      </c>
      <c r="AB353" t="s">
        <v>156</v>
      </c>
      <c r="AC353" t="s">
        <v>157</v>
      </c>
      <c r="AD353" t="s">
        <v>158</v>
      </c>
      <c r="AE353" t="s">
        <v>129</v>
      </c>
      <c r="AG353" t="s">
        <v>756</v>
      </c>
      <c r="AH353">
        <v>0</v>
      </c>
      <c r="AI353">
        <v>221</v>
      </c>
      <c r="AJ353">
        <v>49</v>
      </c>
      <c r="AK353">
        <v>22</v>
      </c>
      <c r="AL353">
        <v>1.1599999999999999</v>
      </c>
    </row>
    <row r="354" spans="1:38" x14ac:dyDescent="0.3">
      <c r="A354" t="s">
        <v>636</v>
      </c>
      <c r="B354">
        <v>107454</v>
      </c>
      <c r="C354">
        <v>2</v>
      </c>
      <c r="D354" t="s">
        <v>751</v>
      </c>
      <c r="E354" t="s">
        <v>752</v>
      </c>
      <c r="F354">
        <v>19</v>
      </c>
      <c r="G354">
        <v>37.71</v>
      </c>
      <c r="H354">
        <v>124.69</v>
      </c>
      <c r="I354">
        <v>33.85</v>
      </c>
      <c r="J354">
        <v>111.91</v>
      </c>
      <c r="K354">
        <v>9</v>
      </c>
      <c r="T354">
        <v>3</v>
      </c>
      <c r="U354">
        <v>2</v>
      </c>
      <c r="V354" t="s">
        <v>184</v>
      </c>
      <c r="W354" t="s">
        <v>757</v>
      </c>
      <c r="X354">
        <v>6</v>
      </c>
      <c r="Y354">
        <v>5</v>
      </c>
      <c r="Z354" t="s">
        <v>754</v>
      </c>
      <c r="AA354" t="s">
        <v>755</v>
      </c>
      <c r="AB354" t="s">
        <v>156</v>
      </c>
      <c r="AC354" t="s">
        <v>157</v>
      </c>
      <c r="AD354" t="s">
        <v>158</v>
      </c>
      <c r="AE354" t="s">
        <v>129</v>
      </c>
      <c r="AG354" t="s">
        <v>756</v>
      </c>
      <c r="AH354">
        <v>0</v>
      </c>
      <c r="AI354">
        <v>221</v>
      </c>
      <c r="AJ354">
        <v>49</v>
      </c>
      <c r="AK354">
        <v>22</v>
      </c>
      <c r="AL354">
        <v>1.1599999999999999</v>
      </c>
    </row>
    <row r="355" spans="1:38" x14ac:dyDescent="0.3">
      <c r="A355" t="s">
        <v>636</v>
      </c>
      <c r="B355">
        <v>107454</v>
      </c>
      <c r="C355">
        <v>3</v>
      </c>
      <c r="D355" t="s">
        <v>751</v>
      </c>
      <c r="E355" t="s">
        <v>752</v>
      </c>
      <c r="F355">
        <v>19</v>
      </c>
      <c r="G355">
        <v>46.72</v>
      </c>
      <c r="H355">
        <v>154.47</v>
      </c>
      <c r="I355">
        <v>41.94</v>
      </c>
      <c r="J355">
        <v>138.65</v>
      </c>
      <c r="K355">
        <v>1</v>
      </c>
      <c r="T355">
        <v>4</v>
      </c>
      <c r="U355">
        <v>2</v>
      </c>
      <c r="V355" t="s">
        <v>184</v>
      </c>
      <c r="W355">
        <v>154</v>
      </c>
      <c r="X355">
        <v>6</v>
      </c>
      <c r="Y355">
        <v>5</v>
      </c>
      <c r="Z355" t="s">
        <v>754</v>
      </c>
      <c r="AA355" t="s">
        <v>755</v>
      </c>
      <c r="AB355" t="s">
        <v>156</v>
      </c>
      <c r="AC355" t="s">
        <v>157</v>
      </c>
      <c r="AD355" t="s">
        <v>158</v>
      </c>
      <c r="AE355" t="s">
        <v>129</v>
      </c>
      <c r="AG355" t="s">
        <v>756</v>
      </c>
      <c r="AH355">
        <v>0</v>
      </c>
      <c r="AI355">
        <v>221</v>
      </c>
      <c r="AJ355">
        <v>49</v>
      </c>
      <c r="AK355">
        <v>22</v>
      </c>
      <c r="AL355">
        <v>1.1599999999999999</v>
      </c>
    </row>
    <row r="356" spans="1:38" x14ac:dyDescent="0.3">
      <c r="A356" t="s">
        <v>636</v>
      </c>
      <c r="B356">
        <v>128196</v>
      </c>
      <c r="C356">
        <v>1</v>
      </c>
      <c r="D356" t="s">
        <v>758</v>
      </c>
      <c r="E356" t="s">
        <v>759</v>
      </c>
      <c r="F356">
        <v>80</v>
      </c>
      <c r="G356">
        <v>20.57</v>
      </c>
      <c r="H356">
        <v>68.03</v>
      </c>
      <c r="I356">
        <v>17.37</v>
      </c>
      <c r="J356">
        <v>57.45</v>
      </c>
      <c r="K356">
        <v>16</v>
      </c>
      <c r="T356">
        <v>3</v>
      </c>
      <c r="U356">
        <v>1</v>
      </c>
      <c r="V356" t="s">
        <v>153</v>
      </c>
      <c r="W356">
        <v>68</v>
      </c>
      <c r="X356">
        <v>5</v>
      </c>
      <c r="Y356">
        <v>4</v>
      </c>
      <c r="Z356" t="s">
        <v>760</v>
      </c>
      <c r="AA356" t="s">
        <v>761</v>
      </c>
      <c r="AB356" t="s">
        <v>156</v>
      </c>
      <c r="AC356" t="s">
        <v>157</v>
      </c>
      <c r="AD356" t="s">
        <v>158</v>
      </c>
      <c r="AE356" t="s">
        <v>129</v>
      </c>
      <c r="AG356" t="s">
        <v>762</v>
      </c>
      <c r="AH356">
        <v>0</v>
      </c>
      <c r="AI356">
        <v>0</v>
      </c>
      <c r="AJ356">
        <v>0</v>
      </c>
      <c r="AK356">
        <v>0</v>
      </c>
      <c r="AL356">
        <v>0</v>
      </c>
    </row>
    <row r="357" spans="1:38" x14ac:dyDescent="0.3">
      <c r="A357" t="s">
        <v>636</v>
      </c>
      <c r="B357">
        <v>128196</v>
      </c>
      <c r="C357">
        <v>2</v>
      </c>
      <c r="D357" t="s">
        <v>758</v>
      </c>
      <c r="E357" t="s">
        <v>759</v>
      </c>
      <c r="F357">
        <v>80</v>
      </c>
      <c r="G357">
        <v>23.8</v>
      </c>
      <c r="H357">
        <v>78.680000000000007</v>
      </c>
      <c r="I357">
        <v>20.100000000000001</v>
      </c>
      <c r="J357">
        <v>66.45</v>
      </c>
      <c r="K357">
        <v>40</v>
      </c>
      <c r="T357">
        <v>3</v>
      </c>
      <c r="U357">
        <v>1</v>
      </c>
      <c r="V357" t="s">
        <v>153</v>
      </c>
      <c r="W357" t="s">
        <v>112</v>
      </c>
      <c r="X357">
        <v>5</v>
      </c>
      <c r="Y357">
        <v>4</v>
      </c>
      <c r="Z357" t="s">
        <v>760</v>
      </c>
      <c r="AA357" t="s">
        <v>761</v>
      </c>
      <c r="AB357" t="s">
        <v>156</v>
      </c>
      <c r="AC357" t="s">
        <v>157</v>
      </c>
      <c r="AD357" t="s">
        <v>158</v>
      </c>
      <c r="AE357" t="s">
        <v>129</v>
      </c>
      <c r="AG357" t="s">
        <v>762</v>
      </c>
      <c r="AH357">
        <v>0</v>
      </c>
      <c r="AI357">
        <v>0</v>
      </c>
      <c r="AJ357">
        <v>0</v>
      </c>
      <c r="AK357">
        <v>0</v>
      </c>
      <c r="AL357">
        <v>0</v>
      </c>
    </row>
    <row r="358" spans="1:38" x14ac:dyDescent="0.3">
      <c r="A358" t="s">
        <v>636</v>
      </c>
      <c r="B358">
        <v>128196</v>
      </c>
      <c r="C358">
        <v>3</v>
      </c>
      <c r="D358" t="s">
        <v>758</v>
      </c>
      <c r="E358" t="s">
        <v>759</v>
      </c>
      <c r="F358">
        <v>80</v>
      </c>
      <c r="G358">
        <v>23.93</v>
      </c>
      <c r="H358">
        <v>79.13</v>
      </c>
      <c r="I358">
        <v>20.21</v>
      </c>
      <c r="J358">
        <v>66.81</v>
      </c>
      <c r="K358">
        <v>24</v>
      </c>
      <c r="T358">
        <v>3</v>
      </c>
      <c r="U358">
        <v>1</v>
      </c>
      <c r="V358" t="s">
        <v>153</v>
      </c>
      <c r="W358" t="s">
        <v>763</v>
      </c>
      <c r="X358">
        <v>5</v>
      </c>
      <c r="Y358">
        <v>4</v>
      </c>
      <c r="Z358" t="s">
        <v>760</v>
      </c>
      <c r="AA358" t="s">
        <v>761</v>
      </c>
      <c r="AB358" t="s">
        <v>156</v>
      </c>
      <c r="AC358" t="s">
        <v>157</v>
      </c>
      <c r="AD358" t="s">
        <v>158</v>
      </c>
      <c r="AE358" t="s">
        <v>129</v>
      </c>
      <c r="AG358" t="s">
        <v>762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38" x14ac:dyDescent="0.3">
      <c r="A359" t="s">
        <v>636</v>
      </c>
      <c r="B359">
        <v>15407</v>
      </c>
      <c r="C359">
        <v>1</v>
      </c>
      <c r="D359" t="s">
        <v>764</v>
      </c>
      <c r="E359" t="s">
        <v>765</v>
      </c>
      <c r="F359">
        <v>270</v>
      </c>
      <c r="G359">
        <v>14.02</v>
      </c>
      <c r="H359">
        <v>46.36</v>
      </c>
      <c r="I359">
        <v>10.52</v>
      </c>
      <c r="J359">
        <v>34.79</v>
      </c>
      <c r="K359">
        <v>270</v>
      </c>
      <c r="T359">
        <v>2</v>
      </c>
      <c r="U359">
        <v>1</v>
      </c>
      <c r="V359" t="s">
        <v>153</v>
      </c>
      <c r="W359">
        <v>46</v>
      </c>
      <c r="X359">
        <v>15</v>
      </c>
      <c r="Y359">
        <v>15</v>
      </c>
      <c r="Z359" t="s">
        <v>766</v>
      </c>
      <c r="AA359" t="s">
        <v>767</v>
      </c>
      <c r="AB359" t="s">
        <v>156</v>
      </c>
      <c r="AC359" t="s">
        <v>157</v>
      </c>
      <c r="AD359" t="s">
        <v>158</v>
      </c>
      <c r="AE359" t="s">
        <v>129</v>
      </c>
      <c r="AG359" t="s">
        <v>768</v>
      </c>
      <c r="AH359">
        <v>0</v>
      </c>
      <c r="AI359">
        <v>0</v>
      </c>
      <c r="AJ359">
        <v>0</v>
      </c>
      <c r="AK359">
        <v>111</v>
      </c>
      <c r="AL359">
        <v>0.41</v>
      </c>
    </row>
    <row r="360" spans="1:38" x14ac:dyDescent="0.3">
      <c r="A360" t="s">
        <v>636</v>
      </c>
      <c r="B360">
        <v>7172</v>
      </c>
      <c r="C360">
        <v>1</v>
      </c>
      <c r="D360" t="s">
        <v>769</v>
      </c>
      <c r="E360" t="s">
        <v>770</v>
      </c>
      <c r="F360">
        <v>608</v>
      </c>
      <c r="G360">
        <v>12.33</v>
      </c>
      <c r="H360">
        <v>40.79</v>
      </c>
      <c r="I360">
        <v>9.9</v>
      </c>
      <c r="J360">
        <v>32.76</v>
      </c>
      <c r="K360">
        <v>243</v>
      </c>
      <c r="T360">
        <v>1</v>
      </c>
      <c r="U360">
        <v>1</v>
      </c>
      <c r="V360" t="s">
        <v>184</v>
      </c>
      <c r="W360">
        <v>40</v>
      </c>
      <c r="X360">
        <v>15</v>
      </c>
      <c r="Y360">
        <v>7</v>
      </c>
      <c r="Z360" t="s">
        <v>771</v>
      </c>
      <c r="AA360" t="s">
        <v>772</v>
      </c>
      <c r="AB360" t="s">
        <v>156</v>
      </c>
      <c r="AC360" t="s">
        <v>157</v>
      </c>
      <c r="AD360" t="s">
        <v>158</v>
      </c>
      <c r="AE360" t="s">
        <v>129</v>
      </c>
      <c r="AG360" t="s">
        <v>773</v>
      </c>
      <c r="AH360">
        <v>0</v>
      </c>
      <c r="AI360">
        <v>272</v>
      </c>
      <c r="AJ360">
        <v>27</v>
      </c>
      <c r="AK360">
        <v>534</v>
      </c>
      <c r="AL360">
        <v>0.88</v>
      </c>
    </row>
    <row r="361" spans="1:38" x14ac:dyDescent="0.3">
      <c r="A361" t="s">
        <v>636</v>
      </c>
      <c r="B361">
        <v>7172</v>
      </c>
      <c r="C361">
        <v>2</v>
      </c>
      <c r="D361" t="s">
        <v>769</v>
      </c>
      <c r="E361" t="s">
        <v>770</v>
      </c>
      <c r="F361">
        <v>608</v>
      </c>
      <c r="G361">
        <v>22.37</v>
      </c>
      <c r="H361">
        <v>73.959999999999994</v>
      </c>
      <c r="I361">
        <v>17.96</v>
      </c>
      <c r="J361">
        <v>59.4</v>
      </c>
      <c r="K361">
        <v>147</v>
      </c>
      <c r="T361">
        <v>3</v>
      </c>
      <c r="U361">
        <v>1</v>
      </c>
      <c r="V361" t="s">
        <v>153</v>
      </c>
      <c r="W361">
        <v>73</v>
      </c>
      <c r="X361">
        <v>15</v>
      </c>
      <c r="Y361">
        <v>7</v>
      </c>
      <c r="Z361" t="s">
        <v>771</v>
      </c>
      <c r="AA361" t="s">
        <v>772</v>
      </c>
      <c r="AB361" t="s">
        <v>156</v>
      </c>
      <c r="AC361" t="s">
        <v>157</v>
      </c>
      <c r="AD361" t="s">
        <v>158</v>
      </c>
      <c r="AE361" t="s">
        <v>129</v>
      </c>
      <c r="AG361" t="s">
        <v>773</v>
      </c>
      <c r="AH361">
        <v>0</v>
      </c>
      <c r="AI361">
        <v>272</v>
      </c>
      <c r="AJ361">
        <v>27</v>
      </c>
      <c r="AK361">
        <v>534</v>
      </c>
      <c r="AL361">
        <v>0.88</v>
      </c>
    </row>
    <row r="362" spans="1:38" x14ac:dyDescent="0.3">
      <c r="A362" t="s">
        <v>636</v>
      </c>
      <c r="B362">
        <v>7172</v>
      </c>
      <c r="C362">
        <v>3</v>
      </c>
      <c r="D362" t="s">
        <v>769</v>
      </c>
      <c r="E362" t="s">
        <v>770</v>
      </c>
      <c r="F362">
        <v>608</v>
      </c>
      <c r="G362">
        <v>32.01</v>
      </c>
      <c r="H362">
        <v>105.82</v>
      </c>
      <c r="I362">
        <v>25.7</v>
      </c>
      <c r="J362">
        <v>84.99</v>
      </c>
      <c r="K362">
        <v>163</v>
      </c>
      <c r="T362">
        <v>3</v>
      </c>
      <c r="U362">
        <v>2</v>
      </c>
      <c r="V362" t="s">
        <v>153</v>
      </c>
      <c r="W362" t="s">
        <v>124</v>
      </c>
      <c r="X362">
        <v>15</v>
      </c>
      <c r="Y362">
        <v>7</v>
      </c>
      <c r="Z362" t="s">
        <v>771</v>
      </c>
      <c r="AA362" t="s">
        <v>772</v>
      </c>
      <c r="AB362" t="s">
        <v>156</v>
      </c>
      <c r="AC362" t="s">
        <v>157</v>
      </c>
      <c r="AD362" t="s">
        <v>158</v>
      </c>
      <c r="AE362" t="s">
        <v>129</v>
      </c>
      <c r="AG362" t="s">
        <v>773</v>
      </c>
      <c r="AH362">
        <v>0</v>
      </c>
      <c r="AI362">
        <v>272</v>
      </c>
      <c r="AJ362">
        <v>27</v>
      </c>
      <c r="AK362">
        <v>534</v>
      </c>
      <c r="AL362">
        <v>0.88</v>
      </c>
    </row>
    <row r="363" spans="1:38" x14ac:dyDescent="0.3">
      <c r="A363" t="s">
        <v>636</v>
      </c>
      <c r="B363">
        <v>7172</v>
      </c>
      <c r="C363">
        <v>4</v>
      </c>
      <c r="D363" t="s">
        <v>769</v>
      </c>
      <c r="E363" t="s">
        <v>770</v>
      </c>
      <c r="F363">
        <v>608</v>
      </c>
      <c r="G363">
        <v>31.95</v>
      </c>
      <c r="H363">
        <v>105.63</v>
      </c>
      <c r="I363">
        <v>25.66</v>
      </c>
      <c r="J363">
        <v>84.84</v>
      </c>
      <c r="K363">
        <v>5</v>
      </c>
      <c r="T363">
        <v>3</v>
      </c>
      <c r="U363">
        <v>2</v>
      </c>
      <c r="V363" t="s">
        <v>153</v>
      </c>
      <c r="W363" t="s">
        <v>642</v>
      </c>
      <c r="X363">
        <v>15</v>
      </c>
      <c r="Y363">
        <v>7</v>
      </c>
      <c r="Z363" t="s">
        <v>771</v>
      </c>
      <c r="AA363" t="s">
        <v>772</v>
      </c>
      <c r="AB363" t="s">
        <v>156</v>
      </c>
      <c r="AC363" t="s">
        <v>157</v>
      </c>
      <c r="AD363" t="s">
        <v>158</v>
      </c>
      <c r="AE363" t="s">
        <v>129</v>
      </c>
      <c r="AG363" t="s">
        <v>773</v>
      </c>
      <c r="AH363">
        <v>0</v>
      </c>
      <c r="AI363">
        <v>272</v>
      </c>
      <c r="AJ363">
        <v>27</v>
      </c>
      <c r="AK363">
        <v>534</v>
      </c>
      <c r="AL363">
        <v>0.88</v>
      </c>
    </row>
    <row r="364" spans="1:38" x14ac:dyDescent="0.3">
      <c r="A364" t="s">
        <v>636</v>
      </c>
      <c r="B364">
        <v>7172</v>
      </c>
      <c r="C364">
        <v>5</v>
      </c>
      <c r="D364" t="s">
        <v>769</v>
      </c>
      <c r="E364" t="s">
        <v>770</v>
      </c>
      <c r="F364">
        <v>608</v>
      </c>
      <c r="G364">
        <v>48.6</v>
      </c>
      <c r="H364">
        <v>160.66999999999999</v>
      </c>
      <c r="I364">
        <v>39.03</v>
      </c>
      <c r="J364">
        <v>129.04</v>
      </c>
      <c r="K364">
        <v>50</v>
      </c>
      <c r="T364">
        <v>4</v>
      </c>
      <c r="U364">
        <v>2</v>
      </c>
      <c r="V364" t="s">
        <v>153</v>
      </c>
      <c r="W364">
        <v>160</v>
      </c>
      <c r="X364">
        <v>15</v>
      </c>
      <c r="Y364">
        <v>7</v>
      </c>
      <c r="Z364" t="s">
        <v>771</v>
      </c>
      <c r="AA364" t="s">
        <v>772</v>
      </c>
      <c r="AB364" t="s">
        <v>156</v>
      </c>
      <c r="AC364" t="s">
        <v>157</v>
      </c>
      <c r="AD364" t="s">
        <v>158</v>
      </c>
      <c r="AE364" t="s">
        <v>129</v>
      </c>
      <c r="AG364" t="s">
        <v>773</v>
      </c>
      <c r="AH364">
        <v>0</v>
      </c>
      <c r="AI364">
        <v>272</v>
      </c>
      <c r="AJ364">
        <v>27</v>
      </c>
      <c r="AK364">
        <v>534</v>
      </c>
      <c r="AL364">
        <v>0.88</v>
      </c>
    </row>
    <row r="365" spans="1:38" x14ac:dyDescent="0.3">
      <c r="A365" t="s">
        <v>636</v>
      </c>
      <c r="B365">
        <v>15413</v>
      </c>
      <c r="C365">
        <v>1</v>
      </c>
      <c r="D365" t="s">
        <v>774</v>
      </c>
      <c r="E365" t="s">
        <v>775</v>
      </c>
      <c r="F365">
        <v>136</v>
      </c>
      <c r="G365">
        <v>23.16</v>
      </c>
      <c r="H365">
        <v>76.569999999999993</v>
      </c>
      <c r="I365">
        <v>18.12</v>
      </c>
      <c r="J365">
        <v>59.93</v>
      </c>
      <c r="K365">
        <v>103</v>
      </c>
      <c r="T365">
        <v>3</v>
      </c>
      <c r="U365">
        <v>1</v>
      </c>
      <c r="V365" t="s">
        <v>153</v>
      </c>
      <c r="W365">
        <v>76</v>
      </c>
      <c r="X365">
        <v>15</v>
      </c>
      <c r="Y365">
        <v>12</v>
      </c>
      <c r="Z365" t="s">
        <v>776</v>
      </c>
      <c r="AA365" t="s">
        <v>777</v>
      </c>
      <c r="AB365" t="s">
        <v>156</v>
      </c>
      <c r="AC365" t="s">
        <v>157</v>
      </c>
      <c r="AD365" t="s">
        <v>158</v>
      </c>
      <c r="AE365" t="s">
        <v>129</v>
      </c>
      <c r="AG365" t="s">
        <v>778</v>
      </c>
      <c r="AH365">
        <v>0</v>
      </c>
      <c r="AI365">
        <v>0</v>
      </c>
      <c r="AJ365">
        <v>0</v>
      </c>
      <c r="AK365">
        <v>125</v>
      </c>
      <c r="AL365">
        <v>0.92</v>
      </c>
    </row>
    <row r="366" spans="1:38" x14ac:dyDescent="0.3">
      <c r="A366" t="s">
        <v>636</v>
      </c>
      <c r="B366">
        <v>15413</v>
      </c>
      <c r="C366">
        <v>2</v>
      </c>
      <c r="D366" t="s">
        <v>774</v>
      </c>
      <c r="E366" t="s">
        <v>775</v>
      </c>
      <c r="F366">
        <v>136</v>
      </c>
      <c r="G366">
        <v>31.64</v>
      </c>
      <c r="H366">
        <v>104.61</v>
      </c>
      <c r="I366">
        <v>25.62</v>
      </c>
      <c r="J366">
        <v>84.72</v>
      </c>
      <c r="K366">
        <v>26</v>
      </c>
      <c r="T366">
        <v>3</v>
      </c>
      <c r="U366">
        <v>2</v>
      </c>
      <c r="V366" t="s">
        <v>153</v>
      </c>
      <c r="W366">
        <v>104</v>
      </c>
      <c r="X366">
        <v>15</v>
      </c>
      <c r="Y366">
        <v>12</v>
      </c>
      <c r="Z366" t="s">
        <v>776</v>
      </c>
      <c r="AA366" t="s">
        <v>777</v>
      </c>
      <c r="AB366" t="s">
        <v>156</v>
      </c>
      <c r="AC366" t="s">
        <v>157</v>
      </c>
      <c r="AD366" t="s">
        <v>158</v>
      </c>
      <c r="AE366" t="s">
        <v>129</v>
      </c>
      <c r="AG366" t="s">
        <v>778</v>
      </c>
      <c r="AH366">
        <v>0</v>
      </c>
      <c r="AI366">
        <v>0</v>
      </c>
      <c r="AJ366">
        <v>0</v>
      </c>
      <c r="AK366">
        <v>125</v>
      </c>
      <c r="AL366">
        <v>0.92</v>
      </c>
    </row>
    <row r="367" spans="1:38" x14ac:dyDescent="0.3">
      <c r="A367" t="s">
        <v>636</v>
      </c>
      <c r="B367">
        <v>15413</v>
      </c>
      <c r="C367">
        <v>3</v>
      </c>
      <c r="D367" t="s">
        <v>774</v>
      </c>
      <c r="E367" t="s">
        <v>775</v>
      </c>
      <c r="F367">
        <v>136</v>
      </c>
      <c r="G367">
        <v>35.43</v>
      </c>
      <c r="H367">
        <v>117.15</v>
      </c>
      <c r="I367">
        <v>29.5</v>
      </c>
      <c r="J367">
        <v>97.55</v>
      </c>
      <c r="K367">
        <v>5</v>
      </c>
      <c r="T367">
        <v>4</v>
      </c>
      <c r="U367">
        <v>2</v>
      </c>
      <c r="V367" t="s">
        <v>153</v>
      </c>
      <c r="W367">
        <v>117</v>
      </c>
      <c r="X367">
        <v>15</v>
      </c>
      <c r="Y367">
        <v>12</v>
      </c>
      <c r="Z367" t="s">
        <v>776</v>
      </c>
      <c r="AA367" t="s">
        <v>777</v>
      </c>
      <c r="AB367" t="s">
        <v>156</v>
      </c>
      <c r="AC367" t="s">
        <v>157</v>
      </c>
      <c r="AD367" t="s">
        <v>158</v>
      </c>
      <c r="AE367" t="s">
        <v>129</v>
      </c>
      <c r="AG367" t="s">
        <v>778</v>
      </c>
      <c r="AH367">
        <v>0</v>
      </c>
      <c r="AI367">
        <v>0</v>
      </c>
      <c r="AJ367">
        <v>0</v>
      </c>
      <c r="AK367">
        <v>125</v>
      </c>
      <c r="AL367">
        <v>0.92</v>
      </c>
    </row>
    <row r="368" spans="1:38" x14ac:dyDescent="0.3">
      <c r="A368" t="s">
        <v>636</v>
      </c>
      <c r="B368">
        <v>15413</v>
      </c>
      <c r="C368">
        <v>4</v>
      </c>
      <c r="D368" t="s">
        <v>774</v>
      </c>
      <c r="E368" t="s">
        <v>775</v>
      </c>
      <c r="F368">
        <v>136</v>
      </c>
      <c r="G368">
        <v>47</v>
      </c>
      <c r="H368">
        <v>155.38999999999999</v>
      </c>
      <c r="I368">
        <v>39.86</v>
      </c>
      <c r="J368">
        <v>131.79</v>
      </c>
      <c r="K368">
        <v>2</v>
      </c>
      <c r="T368">
        <v>4</v>
      </c>
      <c r="U368">
        <v>2</v>
      </c>
      <c r="V368" t="s">
        <v>153</v>
      </c>
      <c r="W368">
        <v>155</v>
      </c>
      <c r="X368">
        <v>15</v>
      </c>
      <c r="Y368">
        <v>12</v>
      </c>
      <c r="Z368" t="s">
        <v>776</v>
      </c>
      <c r="AA368" t="s">
        <v>777</v>
      </c>
      <c r="AB368" t="s">
        <v>156</v>
      </c>
      <c r="AC368" t="s">
        <v>157</v>
      </c>
      <c r="AD368" t="s">
        <v>158</v>
      </c>
      <c r="AE368" t="s">
        <v>129</v>
      </c>
      <c r="AG368" t="s">
        <v>778</v>
      </c>
      <c r="AH368">
        <v>0</v>
      </c>
      <c r="AI368">
        <v>0</v>
      </c>
      <c r="AJ368">
        <v>0</v>
      </c>
      <c r="AK368">
        <v>125</v>
      </c>
      <c r="AL368">
        <v>0.92</v>
      </c>
    </row>
    <row r="369" spans="1:38" x14ac:dyDescent="0.3">
      <c r="A369" t="s">
        <v>636</v>
      </c>
      <c r="B369">
        <v>7193</v>
      </c>
      <c r="C369">
        <v>1</v>
      </c>
      <c r="D369" t="s">
        <v>779</v>
      </c>
      <c r="E369" t="s">
        <v>186</v>
      </c>
      <c r="F369">
        <v>764</v>
      </c>
      <c r="G369">
        <v>28.78</v>
      </c>
      <c r="H369">
        <v>95.16</v>
      </c>
      <c r="I369">
        <v>22.69</v>
      </c>
      <c r="J369">
        <v>75.010000000000005</v>
      </c>
      <c r="K369">
        <v>224</v>
      </c>
      <c r="T369">
        <v>3</v>
      </c>
      <c r="U369">
        <v>1</v>
      </c>
      <c r="V369" t="s">
        <v>153</v>
      </c>
      <c r="W369">
        <v>95</v>
      </c>
      <c r="X369">
        <v>15</v>
      </c>
      <c r="Y369">
        <v>10</v>
      </c>
      <c r="Z369" t="s">
        <v>780</v>
      </c>
      <c r="AA369" t="s">
        <v>781</v>
      </c>
      <c r="AB369" t="s">
        <v>156</v>
      </c>
      <c r="AC369" t="s">
        <v>157</v>
      </c>
      <c r="AD369" t="s">
        <v>158</v>
      </c>
      <c r="AE369" t="s">
        <v>129</v>
      </c>
      <c r="AG369" t="s">
        <v>782</v>
      </c>
      <c r="AH369">
        <v>0</v>
      </c>
      <c r="AI369">
        <v>218</v>
      </c>
      <c r="AJ369">
        <v>23</v>
      </c>
      <c r="AK369">
        <v>389</v>
      </c>
      <c r="AL369">
        <v>0.51</v>
      </c>
    </row>
    <row r="370" spans="1:38" x14ac:dyDescent="0.3">
      <c r="A370" t="s">
        <v>636</v>
      </c>
      <c r="B370">
        <v>7193</v>
      </c>
      <c r="C370">
        <v>2</v>
      </c>
      <c r="D370" t="s">
        <v>779</v>
      </c>
      <c r="E370" t="s">
        <v>186</v>
      </c>
      <c r="F370">
        <v>764</v>
      </c>
      <c r="G370">
        <v>29.49</v>
      </c>
      <c r="H370">
        <v>97.5</v>
      </c>
      <c r="I370">
        <v>22.81</v>
      </c>
      <c r="J370">
        <v>75.42</v>
      </c>
      <c r="K370">
        <v>40</v>
      </c>
      <c r="T370">
        <v>3</v>
      </c>
      <c r="U370">
        <v>1</v>
      </c>
      <c r="V370" t="s">
        <v>153</v>
      </c>
      <c r="W370">
        <v>97</v>
      </c>
      <c r="X370">
        <v>15</v>
      </c>
      <c r="Y370">
        <v>10</v>
      </c>
      <c r="Z370" t="s">
        <v>780</v>
      </c>
      <c r="AA370" t="s">
        <v>781</v>
      </c>
      <c r="AB370" t="s">
        <v>156</v>
      </c>
      <c r="AC370" t="s">
        <v>157</v>
      </c>
      <c r="AD370" t="s">
        <v>158</v>
      </c>
      <c r="AE370" t="s">
        <v>129</v>
      </c>
      <c r="AG370" t="s">
        <v>782</v>
      </c>
      <c r="AH370">
        <v>0</v>
      </c>
      <c r="AI370">
        <v>218</v>
      </c>
      <c r="AJ370">
        <v>23</v>
      </c>
      <c r="AK370">
        <v>389</v>
      </c>
      <c r="AL370">
        <v>0.51</v>
      </c>
    </row>
    <row r="371" spans="1:38" x14ac:dyDescent="0.3">
      <c r="A371" t="s">
        <v>636</v>
      </c>
      <c r="B371">
        <v>7193</v>
      </c>
      <c r="C371">
        <v>3</v>
      </c>
      <c r="D371" t="s">
        <v>779</v>
      </c>
      <c r="E371" t="s">
        <v>186</v>
      </c>
      <c r="F371">
        <v>764</v>
      </c>
      <c r="G371">
        <v>32.24</v>
      </c>
      <c r="H371">
        <v>106.6</v>
      </c>
      <c r="I371">
        <v>25.7</v>
      </c>
      <c r="J371">
        <v>84.98</v>
      </c>
      <c r="K371">
        <v>386</v>
      </c>
      <c r="T371">
        <v>3</v>
      </c>
      <c r="U371">
        <v>2</v>
      </c>
      <c r="V371" t="s">
        <v>153</v>
      </c>
      <c r="W371">
        <v>106</v>
      </c>
      <c r="X371">
        <v>15</v>
      </c>
      <c r="Y371">
        <v>10</v>
      </c>
      <c r="Z371" t="s">
        <v>780</v>
      </c>
      <c r="AA371" t="s">
        <v>781</v>
      </c>
      <c r="AB371" t="s">
        <v>156</v>
      </c>
      <c r="AC371" t="s">
        <v>157</v>
      </c>
      <c r="AD371" t="s">
        <v>158</v>
      </c>
      <c r="AE371" t="s">
        <v>129</v>
      </c>
      <c r="AG371" t="s">
        <v>782</v>
      </c>
      <c r="AH371">
        <v>0</v>
      </c>
      <c r="AI371">
        <v>218</v>
      </c>
      <c r="AJ371">
        <v>23</v>
      </c>
      <c r="AK371">
        <v>389</v>
      </c>
      <c r="AL371">
        <v>0.51</v>
      </c>
    </row>
    <row r="372" spans="1:38" x14ac:dyDescent="0.3">
      <c r="A372" t="s">
        <v>636</v>
      </c>
      <c r="B372">
        <v>7193</v>
      </c>
      <c r="C372">
        <v>4</v>
      </c>
      <c r="D372" t="s">
        <v>779</v>
      </c>
      <c r="E372" t="s">
        <v>186</v>
      </c>
      <c r="F372">
        <v>764</v>
      </c>
      <c r="G372">
        <v>45.61</v>
      </c>
      <c r="H372">
        <v>150.80000000000001</v>
      </c>
      <c r="I372">
        <v>37.99</v>
      </c>
      <c r="J372">
        <v>125.59</v>
      </c>
      <c r="K372">
        <v>114</v>
      </c>
      <c r="T372">
        <v>4</v>
      </c>
      <c r="U372">
        <v>2</v>
      </c>
      <c r="V372" t="s">
        <v>153</v>
      </c>
      <c r="W372">
        <v>150</v>
      </c>
      <c r="X372">
        <v>15</v>
      </c>
      <c r="Y372">
        <v>10</v>
      </c>
      <c r="Z372" t="s">
        <v>780</v>
      </c>
      <c r="AA372" t="s">
        <v>781</v>
      </c>
      <c r="AB372" t="s">
        <v>156</v>
      </c>
      <c r="AC372" t="s">
        <v>157</v>
      </c>
      <c r="AD372" t="s">
        <v>158</v>
      </c>
      <c r="AE372" t="s">
        <v>129</v>
      </c>
      <c r="AG372" t="s">
        <v>782</v>
      </c>
      <c r="AH372">
        <v>0</v>
      </c>
      <c r="AI372">
        <v>218</v>
      </c>
      <c r="AJ372">
        <v>23</v>
      </c>
      <c r="AK372">
        <v>389</v>
      </c>
      <c r="AL372">
        <v>0.51</v>
      </c>
    </row>
    <row r="373" spans="1:38" x14ac:dyDescent="0.3">
      <c r="A373" t="s">
        <v>636</v>
      </c>
      <c r="B373">
        <v>15417</v>
      </c>
      <c r="C373">
        <v>1</v>
      </c>
      <c r="D373" t="s">
        <v>783</v>
      </c>
      <c r="E373" t="s">
        <v>784</v>
      </c>
      <c r="F373">
        <v>85</v>
      </c>
      <c r="G373">
        <v>26.83</v>
      </c>
      <c r="H373">
        <v>88.7</v>
      </c>
      <c r="I373">
        <v>18.13</v>
      </c>
      <c r="J373">
        <v>59.94</v>
      </c>
      <c r="K373">
        <v>82</v>
      </c>
      <c r="T373">
        <v>3</v>
      </c>
      <c r="U373">
        <v>1</v>
      </c>
      <c r="V373" t="s">
        <v>184</v>
      </c>
      <c r="W373">
        <v>88</v>
      </c>
      <c r="X373">
        <v>10</v>
      </c>
      <c r="Y373">
        <v>6</v>
      </c>
      <c r="Z373" t="s">
        <v>785</v>
      </c>
      <c r="AA373" t="s">
        <v>786</v>
      </c>
      <c r="AB373" t="s">
        <v>156</v>
      </c>
      <c r="AC373" t="s">
        <v>157</v>
      </c>
      <c r="AD373" t="s">
        <v>158</v>
      </c>
      <c r="AE373" t="s">
        <v>129</v>
      </c>
      <c r="AG373" t="s">
        <v>787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">
      <c r="A374" t="s">
        <v>636</v>
      </c>
      <c r="B374">
        <v>15417</v>
      </c>
      <c r="C374">
        <v>2</v>
      </c>
      <c r="D374" t="s">
        <v>783</v>
      </c>
      <c r="E374" t="s">
        <v>784</v>
      </c>
      <c r="F374">
        <v>85</v>
      </c>
      <c r="G374">
        <v>30.29</v>
      </c>
      <c r="H374">
        <v>100.14</v>
      </c>
      <c r="I374">
        <v>21.36</v>
      </c>
      <c r="J374">
        <v>70.62</v>
      </c>
      <c r="K374">
        <v>3</v>
      </c>
      <c r="T374">
        <v>3</v>
      </c>
      <c r="U374">
        <v>1</v>
      </c>
      <c r="V374" t="s">
        <v>184</v>
      </c>
      <c r="W374">
        <v>100</v>
      </c>
      <c r="X374">
        <v>10</v>
      </c>
      <c r="Y374">
        <v>6</v>
      </c>
      <c r="Z374" t="s">
        <v>785</v>
      </c>
      <c r="AA374" t="s">
        <v>786</v>
      </c>
      <c r="AB374" t="s">
        <v>156</v>
      </c>
      <c r="AC374" t="s">
        <v>157</v>
      </c>
      <c r="AD374" t="s">
        <v>158</v>
      </c>
      <c r="AE374" t="s">
        <v>129</v>
      </c>
      <c r="AG374" t="s">
        <v>787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636</v>
      </c>
      <c r="B375">
        <v>7187</v>
      </c>
      <c r="C375">
        <v>1</v>
      </c>
      <c r="D375" t="s">
        <v>788</v>
      </c>
      <c r="E375" t="s">
        <v>789</v>
      </c>
      <c r="F375">
        <v>798</v>
      </c>
      <c r="G375">
        <v>23.4</v>
      </c>
      <c r="H375">
        <v>77.38</v>
      </c>
      <c r="I375">
        <v>18.02</v>
      </c>
      <c r="J375">
        <v>59.58</v>
      </c>
      <c r="K375">
        <v>412</v>
      </c>
      <c r="T375">
        <v>3</v>
      </c>
      <c r="U375">
        <v>1</v>
      </c>
      <c r="V375" t="s">
        <v>153</v>
      </c>
      <c r="W375">
        <v>77</v>
      </c>
      <c r="X375">
        <v>15</v>
      </c>
      <c r="Y375">
        <v>12</v>
      </c>
      <c r="Z375" t="s">
        <v>790</v>
      </c>
      <c r="AA375" t="s">
        <v>791</v>
      </c>
      <c r="AB375" t="s">
        <v>156</v>
      </c>
      <c r="AC375" t="s">
        <v>157</v>
      </c>
      <c r="AD375" t="s">
        <v>158</v>
      </c>
      <c r="AE375" t="s">
        <v>129</v>
      </c>
      <c r="AG375" t="s">
        <v>792</v>
      </c>
      <c r="AH375">
        <v>0</v>
      </c>
      <c r="AI375">
        <v>210</v>
      </c>
      <c r="AJ375">
        <v>22</v>
      </c>
      <c r="AK375">
        <v>735</v>
      </c>
      <c r="AL375">
        <v>0.92</v>
      </c>
    </row>
    <row r="376" spans="1:38" x14ac:dyDescent="0.3">
      <c r="A376" t="s">
        <v>636</v>
      </c>
      <c r="B376">
        <v>7187</v>
      </c>
      <c r="C376">
        <v>2</v>
      </c>
      <c r="D376" t="s">
        <v>788</v>
      </c>
      <c r="E376" t="s">
        <v>789</v>
      </c>
      <c r="F376">
        <v>798</v>
      </c>
      <c r="G376">
        <v>31.5</v>
      </c>
      <c r="H376">
        <v>104.16</v>
      </c>
      <c r="I376">
        <v>25.61</v>
      </c>
      <c r="J376">
        <v>84.69</v>
      </c>
      <c r="K376">
        <v>386</v>
      </c>
      <c r="T376">
        <v>3</v>
      </c>
      <c r="U376">
        <v>2</v>
      </c>
      <c r="V376" t="s">
        <v>153</v>
      </c>
      <c r="W376">
        <v>104</v>
      </c>
      <c r="X376">
        <v>15</v>
      </c>
      <c r="Y376">
        <v>12</v>
      </c>
      <c r="Z376" t="s">
        <v>790</v>
      </c>
      <c r="AA376" t="s">
        <v>791</v>
      </c>
      <c r="AB376" t="s">
        <v>156</v>
      </c>
      <c r="AC376" t="s">
        <v>157</v>
      </c>
      <c r="AD376" t="s">
        <v>158</v>
      </c>
      <c r="AE376" t="s">
        <v>129</v>
      </c>
      <c r="AG376" t="s">
        <v>792</v>
      </c>
      <c r="AH376">
        <v>0</v>
      </c>
      <c r="AI376">
        <v>210</v>
      </c>
      <c r="AJ376">
        <v>22</v>
      </c>
      <c r="AK376">
        <v>735</v>
      </c>
      <c r="AL376">
        <v>0.92</v>
      </c>
    </row>
    <row r="377" spans="1:38" x14ac:dyDescent="0.3">
      <c r="A377" t="s">
        <v>636</v>
      </c>
      <c r="B377">
        <v>25719</v>
      </c>
      <c r="C377">
        <v>1</v>
      </c>
      <c r="D377" t="s">
        <v>793</v>
      </c>
      <c r="E377" t="s">
        <v>301</v>
      </c>
      <c r="F377">
        <v>110</v>
      </c>
      <c r="G377">
        <v>15.52</v>
      </c>
      <c r="H377">
        <v>51.33</v>
      </c>
      <c r="I377">
        <v>10.89</v>
      </c>
      <c r="J377">
        <v>36.01</v>
      </c>
      <c r="K377">
        <v>16</v>
      </c>
      <c r="T377">
        <v>2</v>
      </c>
      <c r="U377">
        <v>1</v>
      </c>
      <c r="V377" t="s">
        <v>153</v>
      </c>
      <c r="W377">
        <v>51</v>
      </c>
      <c r="X377">
        <v>12</v>
      </c>
      <c r="Y377">
        <v>7</v>
      </c>
      <c r="Z377" t="s">
        <v>794</v>
      </c>
      <c r="AA377" t="s">
        <v>795</v>
      </c>
      <c r="AB377" t="s">
        <v>156</v>
      </c>
      <c r="AC377" t="s">
        <v>157</v>
      </c>
      <c r="AD377" t="s">
        <v>158</v>
      </c>
      <c r="AE377" t="s">
        <v>129</v>
      </c>
      <c r="AG377" t="s">
        <v>796</v>
      </c>
      <c r="AH377">
        <v>0</v>
      </c>
      <c r="AI377">
        <v>0</v>
      </c>
      <c r="AJ377">
        <v>0</v>
      </c>
      <c r="AK377">
        <v>78</v>
      </c>
      <c r="AL377">
        <v>0.71</v>
      </c>
    </row>
    <row r="378" spans="1:38" x14ac:dyDescent="0.3">
      <c r="A378" t="s">
        <v>636</v>
      </c>
      <c r="B378">
        <v>25719</v>
      </c>
      <c r="C378">
        <v>2</v>
      </c>
      <c r="D378" t="s">
        <v>793</v>
      </c>
      <c r="E378" t="s">
        <v>301</v>
      </c>
      <c r="F378">
        <v>110</v>
      </c>
      <c r="G378">
        <v>18.010000000000002</v>
      </c>
      <c r="H378">
        <v>59.57</v>
      </c>
      <c r="I378">
        <v>12.64</v>
      </c>
      <c r="J378">
        <v>41.79</v>
      </c>
      <c r="K378">
        <v>94</v>
      </c>
      <c r="T378">
        <v>2</v>
      </c>
      <c r="U378">
        <v>1</v>
      </c>
      <c r="V378" t="s">
        <v>153</v>
      </c>
      <c r="W378">
        <v>59</v>
      </c>
      <c r="X378">
        <v>12</v>
      </c>
      <c r="Y378">
        <v>7</v>
      </c>
      <c r="Z378" t="s">
        <v>794</v>
      </c>
      <c r="AA378" t="s">
        <v>795</v>
      </c>
      <c r="AB378" t="s">
        <v>156</v>
      </c>
      <c r="AC378" t="s">
        <v>157</v>
      </c>
      <c r="AD378" t="s">
        <v>158</v>
      </c>
      <c r="AE378" t="s">
        <v>129</v>
      </c>
      <c r="AG378" t="s">
        <v>796</v>
      </c>
      <c r="AH378">
        <v>0</v>
      </c>
      <c r="AI378">
        <v>0</v>
      </c>
      <c r="AJ378">
        <v>0</v>
      </c>
      <c r="AK378">
        <v>78</v>
      </c>
      <c r="AL378">
        <v>0.71</v>
      </c>
    </row>
    <row r="379" spans="1:38" x14ac:dyDescent="0.3">
      <c r="A379" t="s">
        <v>636</v>
      </c>
      <c r="B379">
        <v>7177</v>
      </c>
      <c r="C379">
        <v>1</v>
      </c>
      <c r="D379" t="s">
        <v>797</v>
      </c>
      <c r="E379" t="s">
        <v>362</v>
      </c>
      <c r="F379">
        <v>54</v>
      </c>
      <c r="G379">
        <v>17.829999999999998</v>
      </c>
      <c r="H379">
        <v>58.96</v>
      </c>
      <c r="I379">
        <v>12.97</v>
      </c>
      <c r="J379">
        <v>42.88</v>
      </c>
      <c r="K379">
        <v>20</v>
      </c>
      <c r="T379">
        <v>2</v>
      </c>
      <c r="U379">
        <v>1</v>
      </c>
      <c r="V379" t="s">
        <v>184</v>
      </c>
      <c r="W379">
        <v>58</v>
      </c>
      <c r="X379">
        <v>9</v>
      </c>
      <c r="Y379">
        <v>5</v>
      </c>
      <c r="Z379" t="s">
        <v>798</v>
      </c>
      <c r="AA379" t="s">
        <v>799</v>
      </c>
      <c r="AB379" t="s">
        <v>156</v>
      </c>
      <c r="AC379" t="s">
        <v>157</v>
      </c>
      <c r="AD379" t="s">
        <v>158</v>
      </c>
      <c r="AE379" t="s">
        <v>129</v>
      </c>
      <c r="AG379" t="s">
        <v>800</v>
      </c>
      <c r="AH379">
        <v>0</v>
      </c>
      <c r="AI379">
        <v>202</v>
      </c>
      <c r="AJ379">
        <v>33</v>
      </c>
      <c r="AK379">
        <v>0</v>
      </c>
      <c r="AL379">
        <v>0</v>
      </c>
    </row>
    <row r="380" spans="1:38" x14ac:dyDescent="0.3">
      <c r="A380" t="s">
        <v>636</v>
      </c>
      <c r="B380">
        <v>7177</v>
      </c>
      <c r="C380">
        <v>2</v>
      </c>
      <c r="D380" t="s">
        <v>797</v>
      </c>
      <c r="E380" t="s">
        <v>362</v>
      </c>
      <c r="F380">
        <v>54</v>
      </c>
      <c r="G380">
        <v>19.03</v>
      </c>
      <c r="H380">
        <v>62.92</v>
      </c>
      <c r="I380">
        <v>13.84</v>
      </c>
      <c r="J380">
        <v>45.76</v>
      </c>
      <c r="K380">
        <v>34</v>
      </c>
      <c r="T380">
        <v>2</v>
      </c>
      <c r="U380">
        <v>1</v>
      </c>
      <c r="V380" t="s">
        <v>184</v>
      </c>
      <c r="W380">
        <v>62</v>
      </c>
      <c r="X380">
        <v>9</v>
      </c>
      <c r="Y380">
        <v>5</v>
      </c>
      <c r="Z380" t="s">
        <v>798</v>
      </c>
      <c r="AA380" t="s">
        <v>799</v>
      </c>
      <c r="AB380" t="s">
        <v>156</v>
      </c>
      <c r="AC380" t="s">
        <v>157</v>
      </c>
      <c r="AD380" t="s">
        <v>158</v>
      </c>
      <c r="AE380" t="s">
        <v>129</v>
      </c>
      <c r="AG380" t="s">
        <v>800</v>
      </c>
      <c r="AH380">
        <v>0</v>
      </c>
      <c r="AI380">
        <v>202</v>
      </c>
      <c r="AJ380">
        <v>33</v>
      </c>
      <c r="AK380">
        <v>0</v>
      </c>
      <c r="AL380">
        <v>0</v>
      </c>
    </row>
    <row r="381" spans="1:38" x14ac:dyDescent="0.3">
      <c r="A381" t="s">
        <v>636</v>
      </c>
      <c r="B381">
        <v>108436</v>
      </c>
      <c r="C381">
        <v>1</v>
      </c>
      <c r="D381" t="s">
        <v>801</v>
      </c>
      <c r="E381" t="s">
        <v>802</v>
      </c>
      <c r="F381">
        <v>422</v>
      </c>
      <c r="G381">
        <v>28.51</v>
      </c>
      <c r="H381">
        <v>94.28</v>
      </c>
      <c r="I381">
        <v>21.59</v>
      </c>
      <c r="J381">
        <v>71.400000000000006</v>
      </c>
      <c r="K381">
        <v>49</v>
      </c>
      <c r="T381">
        <v>3</v>
      </c>
      <c r="U381">
        <v>2</v>
      </c>
      <c r="V381" t="s">
        <v>153</v>
      </c>
      <c r="W381" t="s">
        <v>111</v>
      </c>
      <c r="X381">
        <v>25</v>
      </c>
      <c r="Y381">
        <v>18</v>
      </c>
      <c r="Z381" t="s">
        <v>803</v>
      </c>
      <c r="AA381" t="s">
        <v>804</v>
      </c>
      <c r="AB381" t="s">
        <v>156</v>
      </c>
      <c r="AC381" t="s">
        <v>157</v>
      </c>
      <c r="AD381" t="s">
        <v>158</v>
      </c>
      <c r="AE381" t="s">
        <v>129</v>
      </c>
      <c r="AG381" t="s">
        <v>805</v>
      </c>
      <c r="AH381">
        <v>0</v>
      </c>
      <c r="AI381">
        <v>199</v>
      </c>
      <c r="AJ381">
        <v>14</v>
      </c>
      <c r="AK381">
        <v>623</v>
      </c>
      <c r="AL381">
        <v>1.48</v>
      </c>
    </row>
    <row r="382" spans="1:38" x14ac:dyDescent="0.3">
      <c r="A382" t="s">
        <v>636</v>
      </c>
      <c r="B382">
        <v>108436</v>
      </c>
      <c r="C382">
        <v>2</v>
      </c>
      <c r="D382" t="s">
        <v>801</v>
      </c>
      <c r="E382" t="s">
        <v>802</v>
      </c>
      <c r="F382">
        <v>422</v>
      </c>
      <c r="G382">
        <v>28.63</v>
      </c>
      <c r="H382">
        <v>94.66</v>
      </c>
      <c r="I382">
        <v>21.59</v>
      </c>
      <c r="J382">
        <v>71.400000000000006</v>
      </c>
      <c r="K382">
        <v>48</v>
      </c>
      <c r="T382">
        <v>3</v>
      </c>
      <c r="U382">
        <v>2</v>
      </c>
      <c r="V382" t="s">
        <v>153</v>
      </c>
      <c r="W382" t="s">
        <v>84</v>
      </c>
      <c r="X382">
        <v>25</v>
      </c>
      <c r="Y382">
        <v>18</v>
      </c>
      <c r="Z382" t="s">
        <v>803</v>
      </c>
      <c r="AA382" t="s">
        <v>804</v>
      </c>
      <c r="AB382" t="s">
        <v>156</v>
      </c>
      <c r="AC382" t="s">
        <v>157</v>
      </c>
      <c r="AD382" t="s">
        <v>158</v>
      </c>
      <c r="AE382" t="s">
        <v>129</v>
      </c>
      <c r="AG382" t="s">
        <v>805</v>
      </c>
      <c r="AH382">
        <v>0</v>
      </c>
      <c r="AI382">
        <v>199</v>
      </c>
      <c r="AJ382">
        <v>14</v>
      </c>
      <c r="AK382">
        <v>623</v>
      </c>
      <c r="AL382">
        <v>1.48</v>
      </c>
    </row>
    <row r="383" spans="1:38" x14ac:dyDescent="0.3">
      <c r="A383" t="s">
        <v>636</v>
      </c>
      <c r="B383">
        <v>108436</v>
      </c>
      <c r="C383">
        <v>3</v>
      </c>
      <c r="D383" t="s">
        <v>801</v>
      </c>
      <c r="E383" t="s">
        <v>802</v>
      </c>
      <c r="F383">
        <v>422</v>
      </c>
      <c r="G383">
        <v>33.53</v>
      </c>
      <c r="H383">
        <v>110.85</v>
      </c>
      <c r="I383">
        <v>25.64</v>
      </c>
      <c r="J383">
        <v>84.78</v>
      </c>
      <c r="K383">
        <v>276</v>
      </c>
      <c r="T383">
        <v>3</v>
      </c>
      <c r="U383">
        <v>2</v>
      </c>
      <c r="V383" t="s">
        <v>153</v>
      </c>
      <c r="W383" t="s">
        <v>107</v>
      </c>
      <c r="X383">
        <v>25</v>
      </c>
      <c r="Y383">
        <v>18</v>
      </c>
      <c r="Z383" t="s">
        <v>803</v>
      </c>
      <c r="AA383" t="s">
        <v>804</v>
      </c>
      <c r="AB383" t="s">
        <v>156</v>
      </c>
      <c r="AC383" t="s">
        <v>157</v>
      </c>
      <c r="AD383" t="s">
        <v>158</v>
      </c>
      <c r="AE383" t="s">
        <v>129</v>
      </c>
      <c r="AG383" t="s">
        <v>805</v>
      </c>
      <c r="AH383">
        <v>0</v>
      </c>
      <c r="AI383">
        <v>199</v>
      </c>
      <c r="AJ383">
        <v>14</v>
      </c>
      <c r="AK383">
        <v>623</v>
      </c>
      <c r="AL383">
        <v>1.48</v>
      </c>
    </row>
    <row r="384" spans="1:38" x14ac:dyDescent="0.3">
      <c r="A384" t="s">
        <v>636</v>
      </c>
      <c r="B384">
        <v>108436</v>
      </c>
      <c r="C384">
        <v>4</v>
      </c>
      <c r="D384" t="s">
        <v>801</v>
      </c>
      <c r="E384" t="s">
        <v>802</v>
      </c>
      <c r="F384">
        <v>422</v>
      </c>
      <c r="G384">
        <v>33.75</v>
      </c>
      <c r="H384">
        <v>111.6</v>
      </c>
      <c r="I384">
        <v>25.53</v>
      </c>
      <c r="J384">
        <v>84.42</v>
      </c>
      <c r="K384">
        <v>49</v>
      </c>
      <c r="T384">
        <v>3</v>
      </c>
      <c r="U384">
        <v>2</v>
      </c>
      <c r="V384" t="s">
        <v>153</v>
      </c>
      <c r="W384" t="s">
        <v>664</v>
      </c>
      <c r="X384">
        <v>25</v>
      </c>
      <c r="Y384">
        <v>18</v>
      </c>
      <c r="Z384" t="s">
        <v>803</v>
      </c>
      <c r="AA384" t="s">
        <v>804</v>
      </c>
      <c r="AB384" t="s">
        <v>156</v>
      </c>
      <c r="AC384" t="s">
        <v>157</v>
      </c>
      <c r="AD384" t="s">
        <v>158</v>
      </c>
      <c r="AE384" t="s">
        <v>129</v>
      </c>
      <c r="AG384" t="s">
        <v>805</v>
      </c>
      <c r="AH384">
        <v>0</v>
      </c>
      <c r="AI384">
        <v>199</v>
      </c>
      <c r="AJ384">
        <v>14</v>
      </c>
      <c r="AK384">
        <v>623</v>
      </c>
      <c r="AL384">
        <v>1.48</v>
      </c>
    </row>
    <row r="385" spans="1:38" x14ac:dyDescent="0.3">
      <c r="A385" t="s">
        <v>636</v>
      </c>
      <c r="B385">
        <v>7168</v>
      </c>
      <c r="C385">
        <v>1</v>
      </c>
      <c r="D385" t="s">
        <v>806</v>
      </c>
      <c r="E385" t="s">
        <v>807</v>
      </c>
      <c r="F385">
        <v>81</v>
      </c>
      <c r="G385">
        <v>20.100000000000001</v>
      </c>
      <c r="H385">
        <v>66.47</v>
      </c>
      <c r="I385">
        <v>15.1</v>
      </c>
      <c r="J385">
        <v>49.95</v>
      </c>
      <c r="K385">
        <v>11</v>
      </c>
      <c r="T385">
        <v>3</v>
      </c>
      <c r="U385">
        <v>1</v>
      </c>
      <c r="V385" t="s">
        <v>184</v>
      </c>
      <c r="W385">
        <v>66</v>
      </c>
      <c r="X385">
        <v>15</v>
      </c>
      <c r="Y385">
        <v>12</v>
      </c>
      <c r="Z385" t="s">
        <v>808</v>
      </c>
      <c r="AA385" t="s">
        <v>809</v>
      </c>
      <c r="AB385" t="s">
        <v>156</v>
      </c>
      <c r="AC385" t="s">
        <v>157</v>
      </c>
      <c r="AD385" t="s">
        <v>158</v>
      </c>
      <c r="AE385" t="s">
        <v>129</v>
      </c>
      <c r="AG385" t="s">
        <v>810</v>
      </c>
      <c r="AH385">
        <v>0</v>
      </c>
      <c r="AI385">
        <v>318</v>
      </c>
      <c r="AJ385">
        <v>32</v>
      </c>
      <c r="AK385">
        <v>62</v>
      </c>
      <c r="AL385">
        <v>0.77</v>
      </c>
    </row>
    <row r="386" spans="1:38" x14ac:dyDescent="0.3">
      <c r="A386" t="s">
        <v>636</v>
      </c>
      <c r="B386">
        <v>7168</v>
      </c>
      <c r="C386">
        <v>2</v>
      </c>
      <c r="D386" t="s">
        <v>806</v>
      </c>
      <c r="E386" t="s">
        <v>807</v>
      </c>
      <c r="F386">
        <v>81</v>
      </c>
      <c r="G386">
        <v>23.28</v>
      </c>
      <c r="H386">
        <v>76.959999999999994</v>
      </c>
      <c r="I386">
        <v>18.010000000000002</v>
      </c>
      <c r="J386">
        <v>59.55</v>
      </c>
      <c r="K386">
        <v>70</v>
      </c>
      <c r="T386">
        <v>3</v>
      </c>
      <c r="U386">
        <v>1</v>
      </c>
      <c r="V386" t="s">
        <v>184</v>
      </c>
      <c r="W386">
        <v>76</v>
      </c>
      <c r="X386">
        <v>15</v>
      </c>
      <c r="Y386">
        <v>12</v>
      </c>
      <c r="Z386" t="s">
        <v>808</v>
      </c>
      <c r="AA386" t="s">
        <v>809</v>
      </c>
      <c r="AB386" t="s">
        <v>156</v>
      </c>
      <c r="AC386" t="s">
        <v>157</v>
      </c>
      <c r="AD386" t="s">
        <v>158</v>
      </c>
      <c r="AE386" t="s">
        <v>129</v>
      </c>
      <c r="AG386" t="s">
        <v>810</v>
      </c>
      <c r="AH386">
        <v>0</v>
      </c>
      <c r="AI386">
        <v>318</v>
      </c>
      <c r="AJ386">
        <v>32</v>
      </c>
      <c r="AK386">
        <v>62</v>
      </c>
      <c r="AL386">
        <v>0.77</v>
      </c>
    </row>
    <row r="387" spans="1:38" x14ac:dyDescent="0.3">
      <c r="A387" t="s">
        <v>636</v>
      </c>
      <c r="B387">
        <v>15408</v>
      </c>
      <c r="C387">
        <v>1</v>
      </c>
      <c r="D387" t="s">
        <v>811</v>
      </c>
      <c r="E387" t="s">
        <v>812</v>
      </c>
      <c r="F387">
        <v>261</v>
      </c>
      <c r="G387">
        <v>20.49</v>
      </c>
      <c r="H387">
        <v>67.739999999999995</v>
      </c>
      <c r="I387">
        <v>14.97</v>
      </c>
      <c r="J387">
        <v>49.5</v>
      </c>
      <c r="K387">
        <v>225</v>
      </c>
      <c r="T387">
        <v>2</v>
      </c>
      <c r="U387">
        <v>1</v>
      </c>
      <c r="V387" t="s">
        <v>153</v>
      </c>
      <c r="W387">
        <v>67</v>
      </c>
      <c r="X387">
        <v>15</v>
      </c>
      <c r="Y387">
        <v>6</v>
      </c>
      <c r="Z387" t="s">
        <v>813</v>
      </c>
      <c r="AA387" t="s">
        <v>814</v>
      </c>
      <c r="AB387" t="s">
        <v>156</v>
      </c>
      <c r="AC387" t="s">
        <v>157</v>
      </c>
      <c r="AD387" t="s">
        <v>158</v>
      </c>
      <c r="AE387" t="s">
        <v>129</v>
      </c>
      <c r="AG387" t="s">
        <v>815</v>
      </c>
      <c r="AH387">
        <v>0</v>
      </c>
      <c r="AI387">
        <v>281</v>
      </c>
      <c r="AJ387">
        <v>27</v>
      </c>
      <c r="AK387">
        <v>211</v>
      </c>
      <c r="AL387">
        <v>0.81</v>
      </c>
    </row>
    <row r="388" spans="1:38" x14ac:dyDescent="0.3">
      <c r="A388" t="s">
        <v>636</v>
      </c>
      <c r="B388">
        <v>15408</v>
      </c>
      <c r="C388">
        <v>2</v>
      </c>
      <c r="D388" t="s">
        <v>811</v>
      </c>
      <c r="E388" t="s">
        <v>812</v>
      </c>
      <c r="F388">
        <v>261</v>
      </c>
      <c r="G388">
        <v>21.26</v>
      </c>
      <c r="H388">
        <v>70.31</v>
      </c>
      <c r="I388">
        <v>14.97</v>
      </c>
      <c r="J388">
        <v>49.5</v>
      </c>
      <c r="K388">
        <v>36</v>
      </c>
      <c r="T388">
        <v>2</v>
      </c>
      <c r="U388">
        <v>1</v>
      </c>
      <c r="V388" t="s">
        <v>184</v>
      </c>
      <c r="W388">
        <v>70</v>
      </c>
      <c r="X388">
        <v>15</v>
      </c>
      <c r="Y388">
        <v>6</v>
      </c>
      <c r="Z388" t="s">
        <v>813</v>
      </c>
      <c r="AA388" t="s">
        <v>814</v>
      </c>
      <c r="AB388" t="s">
        <v>156</v>
      </c>
      <c r="AC388" t="s">
        <v>157</v>
      </c>
      <c r="AD388" t="s">
        <v>158</v>
      </c>
      <c r="AE388" t="s">
        <v>129</v>
      </c>
      <c r="AG388" t="s">
        <v>815</v>
      </c>
      <c r="AH388">
        <v>0</v>
      </c>
      <c r="AI388">
        <v>281</v>
      </c>
      <c r="AJ388">
        <v>27</v>
      </c>
      <c r="AK388">
        <v>211</v>
      </c>
      <c r="AL388">
        <v>0.81</v>
      </c>
    </row>
    <row r="389" spans="1:38" x14ac:dyDescent="0.3">
      <c r="A389" t="s">
        <v>636</v>
      </c>
      <c r="B389">
        <v>13006</v>
      </c>
      <c r="C389">
        <v>1</v>
      </c>
      <c r="D389" t="s">
        <v>816</v>
      </c>
      <c r="E389" t="s">
        <v>817</v>
      </c>
      <c r="F389">
        <v>440</v>
      </c>
      <c r="G389">
        <v>19.22</v>
      </c>
      <c r="H389">
        <v>63.54</v>
      </c>
      <c r="I389">
        <v>13.69</v>
      </c>
      <c r="J389">
        <v>45.28</v>
      </c>
      <c r="K389">
        <v>178</v>
      </c>
      <c r="T389">
        <v>2</v>
      </c>
      <c r="U389">
        <v>1</v>
      </c>
      <c r="V389" t="s">
        <v>184</v>
      </c>
      <c r="W389">
        <v>63</v>
      </c>
      <c r="X389">
        <v>14</v>
      </c>
      <c r="Y389">
        <v>10</v>
      </c>
      <c r="Z389" t="s">
        <v>818</v>
      </c>
      <c r="AA389" t="s">
        <v>819</v>
      </c>
      <c r="AB389" t="s">
        <v>156</v>
      </c>
      <c r="AC389" t="s">
        <v>157</v>
      </c>
      <c r="AD389" t="s">
        <v>158</v>
      </c>
      <c r="AE389" t="s">
        <v>129</v>
      </c>
      <c r="AG389" t="s">
        <v>820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636</v>
      </c>
      <c r="B390">
        <v>13006</v>
      </c>
      <c r="C390">
        <v>2</v>
      </c>
      <c r="D390" t="s">
        <v>816</v>
      </c>
      <c r="E390" t="s">
        <v>817</v>
      </c>
      <c r="F390">
        <v>440</v>
      </c>
      <c r="G390">
        <v>25.11</v>
      </c>
      <c r="H390">
        <v>83.01</v>
      </c>
      <c r="I390">
        <v>18.100000000000001</v>
      </c>
      <c r="J390">
        <v>59.86</v>
      </c>
      <c r="K390">
        <v>158</v>
      </c>
      <c r="T390">
        <v>3</v>
      </c>
      <c r="U390">
        <v>1</v>
      </c>
      <c r="V390" t="s">
        <v>184</v>
      </c>
      <c r="W390">
        <v>83</v>
      </c>
      <c r="X390">
        <v>14</v>
      </c>
      <c r="Y390">
        <v>10</v>
      </c>
      <c r="Z390" t="s">
        <v>818</v>
      </c>
      <c r="AA390" t="s">
        <v>819</v>
      </c>
      <c r="AB390" t="s">
        <v>156</v>
      </c>
      <c r="AC390" t="s">
        <v>157</v>
      </c>
      <c r="AD390" t="s">
        <v>158</v>
      </c>
      <c r="AE390" t="s">
        <v>129</v>
      </c>
      <c r="AG390" t="s">
        <v>820</v>
      </c>
      <c r="AH390">
        <v>0</v>
      </c>
      <c r="AI390">
        <v>0</v>
      </c>
      <c r="AJ390">
        <v>0</v>
      </c>
      <c r="AK390">
        <v>0</v>
      </c>
      <c r="AL390">
        <v>0</v>
      </c>
    </row>
    <row r="391" spans="1:38" x14ac:dyDescent="0.3">
      <c r="A391" t="s">
        <v>636</v>
      </c>
      <c r="B391">
        <v>13006</v>
      </c>
      <c r="C391">
        <v>3</v>
      </c>
      <c r="D391" t="s">
        <v>816</v>
      </c>
      <c r="E391" t="s">
        <v>817</v>
      </c>
      <c r="F391">
        <v>440</v>
      </c>
      <c r="G391">
        <v>26.29</v>
      </c>
      <c r="H391">
        <v>86.94</v>
      </c>
      <c r="I391">
        <v>18.100000000000001</v>
      </c>
      <c r="J391">
        <v>59.86</v>
      </c>
      <c r="K391">
        <v>104</v>
      </c>
      <c r="T391">
        <v>3</v>
      </c>
      <c r="U391">
        <v>1</v>
      </c>
      <c r="V391" t="s">
        <v>184</v>
      </c>
      <c r="W391">
        <v>86</v>
      </c>
      <c r="X391">
        <v>14</v>
      </c>
      <c r="Y391">
        <v>10</v>
      </c>
      <c r="Z391" t="s">
        <v>818</v>
      </c>
      <c r="AA391" t="s">
        <v>819</v>
      </c>
      <c r="AB391" t="s">
        <v>156</v>
      </c>
      <c r="AC391" t="s">
        <v>157</v>
      </c>
      <c r="AD391" t="s">
        <v>158</v>
      </c>
      <c r="AE391" t="s">
        <v>129</v>
      </c>
      <c r="AG391" t="s">
        <v>820</v>
      </c>
      <c r="AH391">
        <v>0</v>
      </c>
      <c r="AI391">
        <v>0</v>
      </c>
      <c r="AJ391">
        <v>0</v>
      </c>
      <c r="AK391">
        <v>0</v>
      </c>
      <c r="AL391">
        <v>0</v>
      </c>
    </row>
    <row r="392" spans="1:38" x14ac:dyDescent="0.3">
      <c r="A392" t="s">
        <v>636</v>
      </c>
      <c r="B392">
        <v>104290</v>
      </c>
      <c r="C392">
        <v>1</v>
      </c>
      <c r="D392" t="s">
        <v>821</v>
      </c>
      <c r="E392" t="s">
        <v>822</v>
      </c>
      <c r="F392">
        <v>321</v>
      </c>
      <c r="G392">
        <v>39.159999999999997</v>
      </c>
      <c r="H392">
        <v>129.47999999999999</v>
      </c>
      <c r="I392">
        <v>31.37</v>
      </c>
      <c r="J392">
        <v>103.73</v>
      </c>
      <c r="K392">
        <v>321</v>
      </c>
      <c r="T392">
        <v>4</v>
      </c>
      <c r="U392">
        <v>2</v>
      </c>
      <c r="V392" t="s">
        <v>153</v>
      </c>
      <c r="W392">
        <v>129</v>
      </c>
      <c r="X392">
        <v>25</v>
      </c>
      <c r="Y392">
        <v>18</v>
      </c>
      <c r="Z392" t="s">
        <v>823</v>
      </c>
      <c r="AA392" t="s">
        <v>824</v>
      </c>
      <c r="AB392" t="s">
        <v>156</v>
      </c>
      <c r="AC392" t="s">
        <v>157</v>
      </c>
      <c r="AD392" t="s">
        <v>158</v>
      </c>
      <c r="AE392" t="s">
        <v>129</v>
      </c>
      <c r="AG392" t="s">
        <v>825</v>
      </c>
      <c r="AH392">
        <v>0</v>
      </c>
      <c r="AI392">
        <v>199</v>
      </c>
      <c r="AJ392">
        <v>14</v>
      </c>
      <c r="AK392">
        <v>646</v>
      </c>
      <c r="AL392">
        <v>2.0099999999999998</v>
      </c>
    </row>
    <row r="393" spans="1:38" x14ac:dyDescent="0.3">
      <c r="A393" t="s">
        <v>636</v>
      </c>
      <c r="B393">
        <v>15410</v>
      </c>
      <c r="C393">
        <v>1</v>
      </c>
      <c r="D393" t="s">
        <v>826</v>
      </c>
      <c r="E393" t="s">
        <v>644</v>
      </c>
      <c r="F393">
        <v>108</v>
      </c>
      <c r="G393">
        <v>30.6</v>
      </c>
      <c r="H393">
        <v>101.16</v>
      </c>
      <c r="I393">
        <v>25.44</v>
      </c>
      <c r="J393">
        <v>84.12</v>
      </c>
      <c r="K393">
        <v>96</v>
      </c>
      <c r="T393">
        <v>3</v>
      </c>
      <c r="U393">
        <v>1</v>
      </c>
      <c r="V393" t="s">
        <v>153</v>
      </c>
      <c r="W393">
        <v>101</v>
      </c>
      <c r="X393">
        <v>6</v>
      </c>
      <c r="Y393">
        <v>4</v>
      </c>
      <c r="Z393" t="s">
        <v>827</v>
      </c>
      <c r="AA393" t="s">
        <v>828</v>
      </c>
      <c r="AB393" t="s">
        <v>156</v>
      </c>
      <c r="AC393" t="s">
        <v>157</v>
      </c>
      <c r="AD393" t="s">
        <v>158</v>
      </c>
      <c r="AE393" t="s">
        <v>129</v>
      </c>
      <c r="AG393" t="s">
        <v>829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636</v>
      </c>
      <c r="B394">
        <v>15410</v>
      </c>
      <c r="C394">
        <v>2</v>
      </c>
      <c r="D394" t="s">
        <v>826</v>
      </c>
      <c r="E394" t="s">
        <v>644</v>
      </c>
      <c r="F394">
        <v>108</v>
      </c>
      <c r="G394">
        <v>33.29</v>
      </c>
      <c r="H394">
        <v>110.07</v>
      </c>
      <c r="I394">
        <v>25.67</v>
      </c>
      <c r="J394">
        <v>84.87</v>
      </c>
      <c r="K394">
        <v>4</v>
      </c>
      <c r="T394">
        <v>3</v>
      </c>
      <c r="U394">
        <v>1</v>
      </c>
      <c r="V394" t="s">
        <v>153</v>
      </c>
      <c r="W394">
        <v>110</v>
      </c>
      <c r="X394">
        <v>6</v>
      </c>
      <c r="Y394">
        <v>4</v>
      </c>
      <c r="Z394" t="s">
        <v>827</v>
      </c>
      <c r="AA394" t="s">
        <v>828</v>
      </c>
      <c r="AB394" t="s">
        <v>156</v>
      </c>
      <c r="AC394" t="s">
        <v>157</v>
      </c>
      <c r="AD394" t="s">
        <v>158</v>
      </c>
      <c r="AE394" t="s">
        <v>129</v>
      </c>
      <c r="AG394" t="s">
        <v>829</v>
      </c>
      <c r="AH394">
        <v>0</v>
      </c>
      <c r="AI394">
        <v>0</v>
      </c>
      <c r="AJ394">
        <v>0</v>
      </c>
      <c r="AK394">
        <v>0</v>
      </c>
      <c r="AL394">
        <v>0</v>
      </c>
    </row>
    <row r="395" spans="1:38" x14ac:dyDescent="0.3">
      <c r="A395" t="s">
        <v>636</v>
      </c>
      <c r="B395">
        <v>15410</v>
      </c>
      <c r="C395">
        <v>3</v>
      </c>
      <c r="D395" t="s">
        <v>826</v>
      </c>
      <c r="E395" t="s">
        <v>644</v>
      </c>
      <c r="F395">
        <v>108</v>
      </c>
      <c r="G395">
        <v>35.03</v>
      </c>
      <c r="H395">
        <v>115.83</v>
      </c>
      <c r="I395">
        <v>29.88</v>
      </c>
      <c r="J395">
        <v>98.79</v>
      </c>
      <c r="K395">
        <v>2</v>
      </c>
      <c r="T395">
        <v>3</v>
      </c>
      <c r="U395">
        <v>1</v>
      </c>
      <c r="V395" t="s">
        <v>153</v>
      </c>
      <c r="W395">
        <v>115</v>
      </c>
      <c r="X395">
        <v>6</v>
      </c>
      <c r="Y395">
        <v>4</v>
      </c>
      <c r="Z395" t="s">
        <v>827</v>
      </c>
      <c r="AA395" t="s">
        <v>828</v>
      </c>
      <c r="AB395" t="s">
        <v>156</v>
      </c>
      <c r="AC395" t="s">
        <v>157</v>
      </c>
      <c r="AD395" t="s">
        <v>158</v>
      </c>
      <c r="AE395" t="s">
        <v>129</v>
      </c>
      <c r="AG395" t="s">
        <v>829</v>
      </c>
      <c r="AH395">
        <v>0</v>
      </c>
      <c r="AI395">
        <v>0</v>
      </c>
      <c r="AJ395">
        <v>0</v>
      </c>
      <c r="AK395">
        <v>0</v>
      </c>
      <c r="AL395">
        <v>0</v>
      </c>
    </row>
    <row r="396" spans="1:38" x14ac:dyDescent="0.3">
      <c r="A396" t="s">
        <v>636</v>
      </c>
      <c r="B396">
        <v>15410</v>
      </c>
      <c r="C396">
        <v>4</v>
      </c>
      <c r="D396" t="s">
        <v>826</v>
      </c>
      <c r="E396" t="s">
        <v>644</v>
      </c>
      <c r="F396">
        <v>108</v>
      </c>
      <c r="G396">
        <v>37.159999999999997</v>
      </c>
      <c r="H396">
        <v>122.85</v>
      </c>
      <c r="I396">
        <v>32</v>
      </c>
      <c r="J396">
        <v>105.81</v>
      </c>
      <c r="K396">
        <v>6</v>
      </c>
      <c r="T396">
        <v>3</v>
      </c>
      <c r="U396">
        <v>1</v>
      </c>
      <c r="V396" t="s">
        <v>153</v>
      </c>
      <c r="W396">
        <v>122</v>
      </c>
      <c r="X396">
        <v>6</v>
      </c>
      <c r="Y396">
        <v>4</v>
      </c>
      <c r="Z396" t="s">
        <v>827</v>
      </c>
      <c r="AA396" t="s">
        <v>828</v>
      </c>
      <c r="AB396" t="s">
        <v>156</v>
      </c>
      <c r="AC396" t="s">
        <v>157</v>
      </c>
      <c r="AD396" t="s">
        <v>158</v>
      </c>
      <c r="AE396" t="s">
        <v>129</v>
      </c>
      <c r="AG396" t="s">
        <v>829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636</v>
      </c>
      <c r="B397">
        <v>114959</v>
      </c>
      <c r="C397">
        <v>1</v>
      </c>
      <c r="D397" t="s">
        <v>830</v>
      </c>
      <c r="E397" t="s">
        <v>775</v>
      </c>
      <c r="F397">
        <v>300</v>
      </c>
      <c r="G397">
        <v>17.82</v>
      </c>
      <c r="H397">
        <v>58.92</v>
      </c>
      <c r="I397">
        <v>16.18</v>
      </c>
      <c r="J397">
        <v>53.52</v>
      </c>
      <c r="K397">
        <v>18</v>
      </c>
      <c r="T397">
        <v>3</v>
      </c>
      <c r="U397">
        <v>1</v>
      </c>
      <c r="V397" t="s">
        <v>153</v>
      </c>
      <c r="W397" t="s">
        <v>379</v>
      </c>
      <c r="X397">
        <v>3</v>
      </c>
      <c r="Y397">
        <v>3</v>
      </c>
      <c r="Z397" t="s">
        <v>831</v>
      </c>
      <c r="AA397" t="s">
        <v>832</v>
      </c>
      <c r="AB397" t="s">
        <v>156</v>
      </c>
      <c r="AC397" t="s">
        <v>157</v>
      </c>
      <c r="AD397" t="s">
        <v>158</v>
      </c>
      <c r="AE397" t="s">
        <v>129</v>
      </c>
      <c r="AG397" t="s">
        <v>833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 x14ac:dyDescent="0.3">
      <c r="A398" t="s">
        <v>636</v>
      </c>
      <c r="B398">
        <v>114959</v>
      </c>
      <c r="C398">
        <v>2</v>
      </c>
      <c r="D398" t="s">
        <v>830</v>
      </c>
      <c r="E398" t="s">
        <v>775</v>
      </c>
      <c r="F398">
        <v>300</v>
      </c>
      <c r="G398">
        <v>17.87</v>
      </c>
      <c r="H398">
        <v>59.09</v>
      </c>
      <c r="I398">
        <v>16.309999999999999</v>
      </c>
      <c r="J398">
        <v>53.93</v>
      </c>
      <c r="K398">
        <v>81</v>
      </c>
      <c r="T398">
        <v>3</v>
      </c>
      <c r="U398">
        <v>1</v>
      </c>
      <c r="V398" t="s">
        <v>153</v>
      </c>
      <c r="W398" t="s">
        <v>125</v>
      </c>
      <c r="X398">
        <v>3</v>
      </c>
      <c r="Y398">
        <v>3</v>
      </c>
      <c r="Z398" t="s">
        <v>831</v>
      </c>
      <c r="AA398" t="s">
        <v>832</v>
      </c>
      <c r="AB398" t="s">
        <v>156</v>
      </c>
      <c r="AC398" t="s">
        <v>157</v>
      </c>
      <c r="AD398" t="s">
        <v>158</v>
      </c>
      <c r="AE398" t="s">
        <v>129</v>
      </c>
      <c r="AG398" t="s">
        <v>833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636</v>
      </c>
      <c r="B399">
        <v>114959</v>
      </c>
      <c r="C399">
        <v>3</v>
      </c>
      <c r="D399" t="s">
        <v>830</v>
      </c>
      <c r="E399" t="s">
        <v>775</v>
      </c>
      <c r="F399">
        <v>300</v>
      </c>
      <c r="G399">
        <v>19.46</v>
      </c>
      <c r="H399">
        <v>64.349999999999994</v>
      </c>
      <c r="I399">
        <v>17.829999999999998</v>
      </c>
      <c r="J399">
        <v>58.95</v>
      </c>
      <c r="K399">
        <v>201</v>
      </c>
      <c r="T399">
        <v>3</v>
      </c>
      <c r="U399">
        <v>1</v>
      </c>
      <c r="V399" t="s">
        <v>153</v>
      </c>
      <c r="W399">
        <v>64</v>
      </c>
      <c r="X399">
        <v>3</v>
      </c>
      <c r="Y399">
        <v>3</v>
      </c>
      <c r="Z399" t="s">
        <v>831</v>
      </c>
      <c r="AA399" t="s">
        <v>832</v>
      </c>
      <c r="AB399" t="s">
        <v>156</v>
      </c>
      <c r="AC399" t="s">
        <v>157</v>
      </c>
      <c r="AD399" t="s">
        <v>158</v>
      </c>
      <c r="AE399" t="s">
        <v>129</v>
      </c>
      <c r="AG399" t="s">
        <v>833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636</v>
      </c>
      <c r="B400">
        <v>26342</v>
      </c>
      <c r="C400">
        <v>1</v>
      </c>
      <c r="D400" t="s">
        <v>834</v>
      </c>
      <c r="E400" t="s">
        <v>835</v>
      </c>
      <c r="F400">
        <v>49</v>
      </c>
      <c r="G400">
        <v>33.83</v>
      </c>
      <c r="H400">
        <v>111.86</v>
      </c>
      <c r="I400">
        <v>25.67</v>
      </c>
      <c r="J400">
        <v>84.89</v>
      </c>
      <c r="K400">
        <v>43</v>
      </c>
      <c r="T400">
        <v>3</v>
      </c>
      <c r="U400">
        <v>2</v>
      </c>
      <c r="V400" t="s">
        <v>184</v>
      </c>
      <c r="W400">
        <v>111</v>
      </c>
      <c r="X400">
        <v>7</v>
      </c>
      <c r="Y400">
        <v>6</v>
      </c>
      <c r="Z400" t="s">
        <v>836</v>
      </c>
      <c r="AA400" t="s">
        <v>837</v>
      </c>
      <c r="AB400" t="s">
        <v>156</v>
      </c>
      <c r="AC400" t="s">
        <v>157</v>
      </c>
      <c r="AD400" t="s">
        <v>158</v>
      </c>
      <c r="AE400" t="s">
        <v>129</v>
      </c>
      <c r="AG400" t="s">
        <v>725</v>
      </c>
      <c r="AH400">
        <v>0</v>
      </c>
      <c r="AI400">
        <v>181</v>
      </c>
      <c r="AJ400">
        <v>38</v>
      </c>
      <c r="AK400">
        <v>54</v>
      </c>
      <c r="AL400">
        <v>1.1000000000000001</v>
      </c>
    </row>
    <row r="401" spans="1:38" x14ac:dyDescent="0.3">
      <c r="A401" t="s">
        <v>636</v>
      </c>
      <c r="B401">
        <v>26342</v>
      </c>
      <c r="C401">
        <v>2</v>
      </c>
      <c r="D401" t="s">
        <v>834</v>
      </c>
      <c r="E401" t="s">
        <v>835</v>
      </c>
      <c r="F401">
        <v>49</v>
      </c>
      <c r="G401">
        <v>49.83</v>
      </c>
      <c r="H401">
        <v>164.75</v>
      </c>
      <c r="I401">
        <v>37.840000000000003</v>
      </c>
      <c r="J401">
        <v>125.12</v>
      </c>
      <c r="K401">
        <v>5</v>
      </c>
      <c r="T401">
        <v>5</v>
      </c>
      <c r="U401">
        <v>3</v>
      </c>
      <c r="V401" t="s">
        <v>153</v>
      </c>
      <c r="W401" t="s">
        <v>838</v>
      </c>
      <c r="X401">
        <v>7</v>
      </c>
      <c r="Y401">
        <v>6</v>
      </c>
      <c r="Z401" t="s">
        <v>836</v>
      </c>
      <c r="AA401" t="s">
        <v>837</v>
      </c>
      <c r="AB401" t="s">
        <v>156</v>
      </c>
      <c r="AC401" t="s">
        <v>157</v>
      </c>
      <c r="AD401" t="s">
        <v>158</v>
      </c>
      <c r="AE401" t="s">
        <v>129</v>
      </c>
      <c r="AG401" t="s">
        <v>725</v>
      </c>
      <c r="AH401">
        <v>0</v>
      </c>
      <c r="AI401">
        <v>181</v>
      </c>
      <c r="AJ401">
        <v>38</v>
      </c>
      <c r="AK401">
        <v>54</v>
      </c>
      <c r="AL401">
        <v>1.1000000000000001</v>
      </c>
    </row>
    <row r="402" spans="1:38" x14ac:dyDescent="0.3">
      <c r="A402" t="s">
        <v>636</v>
      </c>
      <c r="B402">
        <v>26342</v>
      </c>
      <c r="C402">
        <v>3</v>
      </c>
      <c r="D402" t="s">
        <v>834</v>
      </c>
      <c r="E402" t="s">
        <v>835</v>
      </c>
      <c r="F402">
        <v>49</v>
      </c>
      <c r="G402">
        <v>49.82</v>
      </c>
      <c r="H402">
        <v>164.7</v>
      </c>
      <c r="I402">
        <v>37.840000000000003</v>
      </c>
      <c r="J402">
        <v>125.12</v>
      </c>
      <c r="K402">
        <v>1</v>
      </c>
      <c r="T402">
        <v>4</v>
      </c>
      <c r="U402">
        <v>2</v>
      </c>
      <c r="V402" t="s">
        <v>184</v>
      </c>
      <c r="W402" t="s">
        <v>839</v>
      </c>
      <c r="X402">
        <v>7</v>
      </c>
      <c r="Y402">
        <v>6</v>
      </c>
      <c r="Z402" t="s">
        <v>836</v>
      </c>
      <c r="AA402" t="s">
        <v>837</v>
      </c>
      <c r="AB402" t="s">
        <v>156</v>
      </c>
      <c r="AC402" t="s">
        <v>157</v>
      </c>
      <c r="AD402" t="s">
        <v>158</v>
      </c>
      <c r="AE402" t="s">
        <v>129</v>
      </c>
      <c r="AG402" t="s">
        <v>725</v>
      </c>
      <c r="AH402">
        <v>0</v>
      </c>
      <c r="AI402">
        <v>181</v>
      </c>
      <c r="AJ402">
        <v>38</v>
      </c>
      <c r="AK402">
        <v>54</v>
      </c>
      <c r="AL402">
        <v>1.1000000000000001</v>
      </c>
    </row>
    <row r="403" spans="1:38" x14ac:dyDescent="0.3">
      <c r="A403" t="s">
        <v>636</v>
      </c>
      <c r="B403">
        <v>100718</v>
      </c>
      <c r="C403">
        <v>1</v>
      </c>
      <c r="D403" t="s">
        <v>840</v>
      </c>
      <c r="E403" t="s">
        <v>272</v>
      </c>
      <c r="F403">
        <v>40</v>
      </c>
      <c r="G403">
        <v>20.54</v>
      </c>
      <c r="H403">
        <v>67.930000000000007</v>
      </c>
      <c r="I403">
        <v>14.33</v>
      </c>
      <c r="J403">
        <v>47.4</v>
      </c>
      <c r="K403">
        <v>40</v>
      </c>
      <c r="T403">
        <v>2</v>
      </c>
      <c r="U403">
        <v>1</v>
      </c>
      <c r="V403" t="s">
        <v>153</v>
      </c>
      <c r="W403">
        <v>67</v>
      </c>
      <c r="X403">
        <v>10</v>
      </c>
      <c r="Y403">
        <v>10</v>
      </c>
      <c r="Z403" t="s">
        <v>841</v>
      </c>
      <c r="AA403" t="s">
        <v>842</v>
      </c>
      <c r="AB403" t="s">
        <v>156</v>
      </c>
      <c r="AC403" t="s">
        <v>157</v>
      </c>
      <c r="AD403" t="s">
        <v>158</v>
      </c>
      <c r="AE403" t="s">
        <v>129</v>
      </c>
      <c r="AG403" t="s">
        <v>843</v>
      </c>
      <c r="AH403">
        <v>0</v>
      </c>
      <c r="AI403">
        <v>241</v>
      </c>
      <c r="AJ403">
        <v>28</v>
      </c>
      <c r="AK403">
        <v>25</v>
      </c>
      <c r="AL403">
        <v>0.62</v>
      </c>
    </row>
    <row r="404" spans="1:38" x14ac:dyDescent="0.3">
      <c r="A404" t="s">
        <v>636</v>
      </c>
      <c r="B404">
        <v>13005</v>
      </c>
      <c r="C404">
        <v>1</v>
      </c>
      <c r="D404" t="s">
        <v>844</v>
      </c>
      <c r="E404" t="s">
        <v>845</v>
      </c>
      <c r="F404">
        <v>117</v>
      </c>
      <c r="G404">
        <v>25.34</v>
      </c>
      <c r="H404">
        <v>83.77</v>
      </c>
      <c r="I404">
        <v>18.14</v>
      </c>
      <c r="J404">
        <v>59.99</v>
      </c>
      <c r="K404">
        <v>117</v>
      </c>
      <c r="T404">
        <v>3</v>
      </c>
      <c r="U404">
        <v>1</v>
      </c>
      <c r="V404" t="s">
        <v>184</v>
      </c>
      <c r="W404">
        <v>83</v>
      </c>
      <c r="X404">
        <v>15</v>
      </c>
      <c r="Y404">
        <v>9</v>
      </c>
      <c r="Z404" t="s">
        <v>846</v>
      </c>
      <c r="AA404" t="s">
        <v>847</v>
      </c>
      <c r="AB404" t="s">
        <v>156</v>
      </c>
      <c r="AC404" t="s">
        <v>157</v>
      </c>
      <c r="AD404" t="s">
        <v>158</v>
      </c>
      <c r="AE404" t="s">
        <v>129</v>
      </c>
      <c r="AG404" t="s">
        <v>848</v>
      </c>
      <c r="AH404">
        <v>0</v>
      </c>
      <c r="AI404">
        <v>388</v>
      </c>
      <c r="AJ404">
        <v>33</v>
      </c>
      <c r="AK404">
        <v>93</v>
      </c>
      <c r="AL404">
        <v>0.79</v>
      </c>
    </row>
    <row r="405" spans="1:38" x14ac:dyDescent="0.3">
      <c r="A405" t="s">
        <v>849</v>
      </c>
      <c r="B405">
        <v>105322</v>
      </c>
      <c r="C405">
        <v>1</v>
      </c>
      <c r="D405" t="s">
        <v>850</v>
      </c>
      <c r="E405" t="s">
        <v>851</v>
      </c>
      <c r="F405">
        <v>417</v>
      </c>
      <c r="G405">
        <v>34.01</v>
      </c>
      <c r="H405">
        <v>112.46</v>
      </c>
      <c r="I405">
        <v>25.7</v>
      </c>
      <c r="J405">
        <v>84.97</v>
      </c>
      <c r="K405">
        <v>228</v>
      </c>
      <c r="T405">
        <v>3</v>
      </c>
      <c r="U405">
        <v>2</v>
      </c>
      <c r="V405" t="s">
        <v>153</v>
      </c>
      <c r="W405" t="s">
        <v>87</v>
      </c>
      <c r="X405">
        <v>25</v>
      </c>
      <c r="Y405">
        <v>19</v>
      </c>
      <c r="Z405" t="s">
        <v>852</v>
      </c>
      <c r="AA405" t="s">
        <v>853</v>
      </c>
      <c r="AB405" t="s">
        <v>156</v>
      </c>
      <c r="AC405" t="s">
        <v>157</v>
      </c>
      <c r="AD405" t="s">
        <v>158</v>
      </c>
      <c r="AE405" t="s">
        <v>127</v>
      </c>
      <c r="AG405" t="s">
        <v>854</v>
      </c>
      <c r="AH405">
        <v>0</v>
      </c>
      <c r="AI405">
        <v>199</v>
      </c>
      <c r="AJ405">
        <v>13</v>
      </c>
      <c r="AK405">
        <v>629</v>
      </c>
      <c r="AL405">
        <v>1.51</v>
      </c>
    </row>
    <row r="406" spans="1:38" x14ac:dyDescent="0.3">
      <c r="A406" t="s">
        <v>849</v>
      </c>
      <c r="B406">
        <v>105322</v>
      </c>
      <c r="C406">
        <v>2</v>
      </c>
      <c r="D406" t="s">
        <v>850</v>
      </c>
      <c r="E406" t="s">
        <v>851</v>
      </c>
      <c r="F406">
        <v>417</v>
      </c>
      <c r="G406">
        <v>34.03</v>
      </c>
      <c r="H406">
        <v>112.5</v>
      </c>
      <c r="I406">
        <v>25.7</v>
      </c>
      <c r="J406">
        <v>84.97</v>
      </c>
      <c r="K406">
        <v>123</v>
      </c>
      <c r="T406">
        <v>3</v>
      </c>
      <c r="U406">
        <v>2</v>
      </c>
      <c r="V406" t="s">
        <v>153</v>
      </c>
      <c r="W406" t="s">
        <v>88</v>
      </c>
      <c r="X406">
        <v>25</v>
      </c>
      <c r="Y406">
        <v>19</v>
      </c>
      <c r="Z406" t="s">
        <v>852</v>
      </c>
      <c r="AA406" t="s">
        <v>853</v>
      </c>
      <c r="AB406" t="s">
        <v>156</v>
      </c>
      <c r="AC406" t="s">
        <v>157</v>
      </c>
      <c r="AD406" t="s">
        <v>158</v>
      </c>
      <c r="AE406" t="s">
        <v>127</v>
      </c>
      <c r="AG406" t="s">
        <v>854</v>
      </c>
      <c r="AH406">
        <v>0</v>
      </c>
      <c r="AI406">
        <v>199</v>
      </c>
      <c r="AJ406">
        <v>13</v>
      </c>
      <c r="AK406">
        <v>629</v>
      </c>
      <c r="AL406">
        <v>1.51</v>
      </c>
    </row>
    <row r="407" spans="1:38" x14ac:dyDescent="0.3">
      <c r="A407" t="s">
        <v>849</v>
      </c>
      <c r="B407">
        <v>105322</v>
      </c>
      <c r="C407">
        <v>3</v>
      </c>
      <c r="D407" t="s">
        <v>850</v>
      </c>
      <c r="E407" t="s">
        <v>851</v>
      </c>
      <c r="F407">
        <v>417</v>
      </c>
      <c r="G407">
        <v>34.08</v>
      </c>
      <c r="H407">
        <v>112.68</v>
      </c>
      <c r="I407">
        <v>25.7</v>
      </c>
      <c r="J407">
        <v>84.97</v>
      </c>
      <c r="K407">
        <v>66</v>
      </c>
      <c r="T407">
        <v>3</v>
      </c>
      <c r="U407">
        <v>2</v>
      </c>
      <c r="V407" t="s">
        <v>153</v>
      </c>
      <c r="W407" t="s">
        <v>114</v>
      </c>
      <c r="X407">
        <v>25</v>
      </c>
      <c r="Y407">
        <v>19</v>
      </c>
      <c r="Z407" t="s">
        <v>852</v>
      </c>
      <c r="AA407" t="s">
        <v>853</v>
      </c>
      <c r="AB407" t="s">
        <v>156</v>
      </c>
      <c r="AC407" t="s">
        <v>157</v>
      </c>
      <c r="AD407" t="s">
        <v>158</v>
      </c>
      <c r="AE407" t="s">
        <v>127</v>
      </c>
      <c r="AG407" t="s">
        <v>854</v>
      </c>
      <c r="AH407">
        <v>0</v>
      </c>
      <c r="AI407">
        <v>199</v>
      </c>
      <c r="AJ407">
        <v>13</v>
      </c>
      <c r="AK407">
        <v>629</v>
      </c>
      <c r="AL407">
        <v>1.51</v>
      </c>
    </row>
    <row r="408" spans="1:38" x14ac:dyDescent="0.3">
      <c r="A408" t="s">
        <v>849</v>
      </c>
      <c r="B408">
        <v>102720</v>
      </c>
      <c r="C408">
        <v>1</v>
      </c>
      <c r="D408" t="s">
        <v>855</v>
      </c>
      <c r="E408" t="s">
        <v>856</v>
      </c>
      <c r="F408">
        <v>903</v>
      </c>
      <c r="G408">
        <v>32.9</v>
      </c>
      <c r="H408">
        <v>108.78</v>
      </c>
      <c r="I408">
        <v>25.64</v>
      </c>
      <c r="J408">
        <v>84.79</v>
      </c>
      <c r="K408">
        <v>475</v>
      </c>
      <c r="T408">
        <v>3</v>
      </c>
      <c r="U408">
        <v>2</v>
      </c>
      <c r="V408" t="s">
        <v>153</v>
      </c>
      <c r="W408" t="s">
        <v>105</v>
      </c>
      <c r="X408">
        <v>25</v>
      </c>
      <c r="Y408">
        <v>22</v>
      </c>
      <c r="Z408" t="s">
        <v>857</v>
      </c>
      <c r="AA408" t="s">
        <v>858</v>
      </c>
      <c r="AB408" t="s">
        <v>156</v>
      </c>
      <c r="AC408" t="s">
        <v>157</v>
      </c>
      <c r="AD408" t="s">
        <v>158</v>
      </c>
      <c r="AE408" t="s">
        <v>127</v>
      </c>
      <c r="AG408" t="s">
        <v>859</v>
      </c>
      <c r="AH408">
        <v>0</v>
      </c>
      <c r="AI408">
        <v>199</v>
      </c>
      <c r="AJ408">
        <v>14</v>
      </c>
      <c r="AK408">
        <v>1400</v>
      </c>
      <c r="AL408">
        <v>1.55</v>
      </c>
    </row>
    <row r="409" spans="1:38" x14ac:dyDescent="0.3">
      <c r="A409" t="s">
        <v>849</v>
      </c>
      <c r="B409">
        <v>102720</v>
      </c>
      <c r="C409">
        <v>2</v>
      </c>
      <c r="D409" t="s">
        <v>855</v>
      </c>
      <c r="E409" t="s">
        <v>856</v>
      </c>
      <c r="F409">
        <v>903</v>
      </c>
      <c r="G409">
        <v>32.9</v>
      </c>
      <c r="H409">
        <v>108.77</v>
      </c>
      <c r="I409">
        <v>25.54</v>
      </c>
      <c r="J409">
        <v>84.45</v>
      </c>
      <c r="K409">
        <v>190</v>
      </c>
      <c r="T409">
        <v>3</v>
      </c>
      <c r="U409">
        <v>2</v>
      </c>
      <c r="V409" t="s">
        <v>153</v>
      </c>
      <c r="W409" t="s">
        <v>860</v>
      </c>
      <c r="X409">
        <v>25</v>
      </c>
      <c r="Y409">
        <v>22</v>
      </c>
      <c r="Z409" t="s">
        <v>857</v>
      </c>
      <c r="AA409" t="s">
        <v>858</v>
      </c>
      <c r="AB409" t="s">
        <v>156</v>
      </c>
      <c r="AC409" t="s">
        <v>157</v>
      </c>
      <c r="AD409" t="s">
        <v>158</v>
      </c>
      <c r="AE409" t="s">
        <v>127</v>
      </c>
      <c r="AG409" t="s">
        <v>859</v>
      </c>
      <c r="AH409">
        <v>0</v>
      </c>
      <c r="AI409">
        <v>199</v>
      </c>
      <c r="AJ409">
        <v>14</v>
      </c>
      <c r="AK409">
        <v>1400</v>
      </c>
      <c r="AL409">
        <v>1.55</v>
      </c>
    </row>
    <row r="410" spans="1:38" x14ac:dyDescent="0.3">
      <c r="A410" t="s">
        <v>849</v>
      </c>
      <c r="B410">
        <v>102720</v>
      </c>
      <c r="C410">
        <v>3</v>
      </c>
      <c r="D410" t="s">
        <v>855</v>
      </c>
      <c r="E410" t="s">
        <v>856</v>
      </c>
      <c r="F410">
        <v>903</v>
      </c>
      <c r="G410">
        <v>33.090000000000003</v>
      </c>
      <c r="H410">
        <v>109.4</v>
      </c>
      <c r="I410">
        <v>25.54</v>
      </c>
      <c r="J410">
        <v>84.43</v>
      </c>
      <c r="K410">
        <v>238</v>
      </c>
      <c r="T410">
        <v>3</v>
      </c>
      <c r="U410">
        <v>2</v>
      </c>
      <c r="V410" t="s">
        <v>153</v>
      </c>
      <c r="W410" t="s">
        <v>861</v>
      </c>
      <c r="X410">
        <v>25</v>
      </c>
      <c r="Y410">
        <v>22</v>
      </c>
      <c r="Z410" t="s">
        <v>857</v>
      </c>
      <c r="AA410" t="s">
        <v>858</v>
      </c>
      <c r="AB410" t="s">
        <v>156</v>
      </c>
      <c r="AC410" t="s">
        <v>157</v>
      </c>
      <c r="AD410" t="s">
        <v>158</v>
      </c>
      <c r="AE410" t="s">
        <v>127</v>
      </c>
      <c r="AG410" t="s">
        <v>859</v>
      </c>
      <c r="AH410">
        <v>0</v>
      </c>
      <c r="AI410">
        <v>199</v>
      </c>
      <c r="AJ410">
        <v>14</v>
      </c>
      <c r="AK410">
        <v>1400</v>
      </c>
      <c r="AL410">
        <v>1.55</v>
      </c>
    </row>
    <row r="411" spans="1:38" x14ac:dyDescent="0.3">
      <c r="A411" t="s">
        <v>849</v>
      </c>
      <c r="B411">
        <v>105039</v>
      </c>
      <c r="C411">
        <v>1</v>
      </c>
      <c r="D411" t="s">
        <v>862</v>
      </c>
      <c r="E411" t="s">
        <v>863</v>
      </c>
      <c r="F411">
        <v>789</v>
      </c>
      <c r="G411">
        <v>33.25</v>
      </c>
      <c r="H411">
        <v>109.93</v>
      </c>
      <c r="I411">
        <v>25.64</v>
      </c>
      <c r="J411">
        <v>84.79</v>
      </c>
      <c r="K411">
        <v>168</v>
      </c>
      <c r="T411">
        <v>3</v>
      </c>
      <c r="U411">
        <v>2</v>
      </c>
      <c r="V411" t="s">
        <v>153</v>
      </c>
      <c r="W411" t="s">
        <v>90</v>
      </c>
      <c r="X411">
        <v>25</v>
      </c>
      <c r="Y411">
        <v>23</v>
      </c>
      <c r="Z411" t="s">
        <v>864</v>
      </c>
      <c r="AA411" t="s">
        <v>865</v>
      </c>
      <c r="AB411" t="s">
        <v>156</v>
      </c>
      <c r="AC411" t="s">
        <v>157</v>
      </c>
      <c r="AD411" t="s">
        <v>158</v>
      </c>
      <c r="AE411" t="s">
        <v>127</v>
      </c>
      <c r="AG411" t="s">
        <v>866</v>
      </c>
      <c r="AH411">
        <v>0</v>
      </c>
      <c r="AI411">
        <v>191</v>
      </c>
      <c r="AJ411">
        <v>17</v>
      </c>
      <c r="AK411">
        <v>1411</v>
      </c>
      <c r="AL411">
        <v>1.79</v>
      </c>
    </row>
    <row r="412" spans="1:38" x14ac:dyDescent="0.3">
      <c r="A412" t="s">
        <v>849</v>
      </c>
      <c r="B412">
        <v>105039</v>
      </c>
      <c r="C412">
        <v>2</v>
      </c>
      <c r="D412" t="s">
        <v>862</v>
      </c>
      <c r="E412" t="s">
        <v>863</v>
      </c>
      <c r="F412">
        <v>789</v>
      </c>
      <c r="G412">
        <v>33.24</v>
      </c>
      <c r="H412">
        <v>109.91</v>
      </c>
      <c r="I412">
        <v>25.54</v>
      </c>
      <c r="J412">
        <v>84.44</v>
      </c>
      <c r="K412">
        <v>118</v>
      </c>
      <c r="T412">
        <v>3</v>
      </c>
      <c r="U412">
        <v>2</v>
      </c>
      <c r="V412" t="s">
        <v>153</v>
      </c>
      <c r="W412" t="s">
        <v>867</v>
      </c>
      <c r="X412">
        <v>25</v>
      </c>
      <c r="Y412">
        <v>23</v>
      </c>
      <c r="Z412" t="s">
        <v>864</v>
      </c>
      <c r="AA412" t="s">
        <v>865</v>
      </c>
      <c r="AB412" t="s">
        <v>156</v>
      </c>
      <c r="AC412" t="s">
        <v>157</v>
      </c>
      <c r="AD412" t="s">
        <v>158</v>
      </c>
      <c r="AE412" t="s">
        <v>127</v>
      </c>
      <c r="AG412" t="s">
        <v>866</v>
      </c>
      <c r="AH412">
        <v>0</v>
      </c>
      <c r="AI412">
        <v>191</v>
      </c>
      <c r="AJ412">
        <v>17</v>
      </c>
      <c r="AK412">
        <v>1411</v>
      </c>
      <c r="AL412">
        <v>1.79</v>
      </c>
    </row>
    <row r="413" spans="1:38" x14ac:dyDescent="0.3">
      <c r="A413" t="s">
        <v>849</v>
      </c>
      <c r="B413">
        <v>105039</v>
      </c>
      <c r="C413">
        <v>3</v>
      </c>
      <c r="D413" t="s">
        <v>862</v>
      </c>
      <c r="E413" t="s">
        <v>863</v>
      </c>
      <c r="F413">
        <v>789</v>
      </c>
      <c r="G413">
        <v>33.64</v>
      </c>
      <c r="H413">
        <v>111.23</v>
      </c>
      <c r="I413">
        <v>25.7</v>
      </c>
      <c r="J413">
        <v>84.97</v>
      </c>
      <c r="K413">
        <v>94</v>
      </c>
      <c r="T413">
        <v>3</v>
      </c>
      <c r="U413">
        <v>2</v>
      </c>
      <c r="V413" t="s">
        <v>153</v>
      </c>
      <c r="W413" t="s">
        <v>664</v>
      </c>
      <c r="X413">
        <v>25</v>
      </c>
      <c r="Y413">
        <v>23</v>
      </c>
      <c r="Z413" t="s">
        <v>864</v>
      </c>
      <c r="AA413" t="s">
        <v>865</v>
      </c>
      <c r="AB413" t="s">
        <v>156</v>
      </c>
      <c r="AC413" t="s">
        <v>157</v>
      </c>
      <c r="AD413" t="s">
        <v>158</v>
      </c>
      <c r="AE413" t="s">
        <v>127</v>
      </c>
      <c r="AG413" t="s">
        <v>866</v>
      </c>
      <c r="AH413">
        <v>0</v>
      </c>
      <c r="AI413">
        <v>191</v>
      </c>
      <c r="AJ413">
        <v>17</v>
      </c>
      <c r="AK413">
        <v>1411</v>
      </c>
      <c r="AL413">
        <v>1.79</v>
      </c>
    </row>
    <row r="414" spans="1:38" x14ac:dyDescent="0.3">
      <c r="A414" t="s">
        <v>849</v>
      </c>
      <c r="B414">
        <v>105039</v>
      </c>
      <c r="C414">
        <v>4</v>
      </c>
      <c r="D414" t="s">
        <v>862</v>
      </c>
      <c r="E414" t="s">
        <v>863</v>
      </c>
      <c r="F414">
        <v>789</v>
      </c>
      <c r="G414">
        <v>39.75</v>
      </c>
      <c r="H414">
        <v>131.41</v>
      </c>
      <c r="I414">
        <v>31.98</v>
      </c>
      <c r="J414">
        <v>105.73</v>
      </c>
      <c r="K414">
        <v>391</v>
      </c>
      <c r="T414">
        <v>3</v>
      </c>
      <c r="U414">
        <v>2</v>
      </c>
      <c r="V414" t="s">
        <v>153</v>
      </c>
      <c r="W414">
        <v>131</v>
      </c>
      <c r="X414">
        <v>25</v>
      </c>
      <c r="Y414">
        <v>23</v>
      </c>
      <c r="Z414" t="s">
        <v>864</v>
      </c>
      <c r="AA414" t="s">
        <v>865</v>
      </c>
      <c r="AB414" t="s">
        <v>156</v>
      </c>
      <c r="AC414" t="s">
        <v>157</v>
      </c>
      <c r="AD414" t="s">
        <v>158</v>
      </c>
      <c r="AE414" t="s">
        <v>127</v>
      </c>
      <c r="AG414" t="s">
        <v>866</v>
      </c>
      <c r="AH414">
        <v>0</v>
      </c>
      <c r="AI414">
        <v>191</v>
      </c>
      <c r="AJ414">
        <v>17</v>
      </c>
      <c r="AK414">
        <v>1411</v>
      </c>
      <c r="AL414">
        <v>1.79</v>
      </c>
    </row>
    <row r="415" spans="1:38" x14ac:dyDescent="0.3">
      <c r="A415" t="s">
        <v>849</v>
      </c>
      <c r="B415">
        <v>105039</v>
      </c>
      <c r="C415">
        <v>5</v>
      </c>
      <c r="D415" t="s">
        <v>862</v>
      </c>
      <c r="E415" t="s">
        <v>863</v>
      </c>
      <c r="F415">
        <v>789</v>
      </c>
      <c r="G415">
        <v>49.86</v>
      </c>
      <c r="H415">
        <v>164.84</v>
      </c>
      <c r="I415">
        <v>39.909999999999997</v>
      </c>
      <c r="J415">
        <v>131.94</v>
      </c>
      <c r="K415">
        <v>18</v>
      </c>
      <c r="T415">
        <v>5</v>
      </c>
      <c r="U415">
        <v>3</v>
      </c>
      <c r="V415" t="s">
        <v>153</v>
      </c>
      <c r="W415">
        <v>164</v>
      </c>
      <c r="X415">
        <v>25</v>
      </c>
      <c r="Y415">
        <v>23</v>
      </c>
      <c r="Z415" t="s">
        <v>864</v>
      </c>
      <c r="AA415" t="s">
        <v>865</v>
      </c>
      <c r="AB415" t="s">
        <v>156</v>
      </c>
      <c r="AC415" t="s">
        <v>157</v>
      </c>
      <c r="AD415" t="s">
        <v>158</v>
      </c>
      <c r="AE415" t="s">
        <v>127</v>
      </c>
      <c r="AG415" t="s">
        <v>866</v>
      </c>
      <c r="AH415">
        <v>0</v>
      </c>
      <c r="AI415">
        <v>191</v>
      </c>
      <c r="AJ415">
        <v>17</v>
      </c>
      <c r="AK415">
        <v>1411</v>
      </c>
      <c r="AL415">
        <v>1.79</v>
      </c>
    </row>
    <row r="416" spans="1:38" x14ac:dyDescent="0.3">
      <c r="A416" t="s">
        <v>868</v>
      </c>
      <c r="B416">
        <v>123851</v>
      </c>
      <c r="C416">
        <v>1</v>
      </c>
      <c r="D416" t="s">
        <v>869</v>
      </c>
      <c r="E416" t="s">
        <v>285</v>
      </c>
      <c r="F416">
        <v>32</v>
      </c>
      <c r="G416">
        <v>29.53</v>
      </c>
      <c r="H416">
        <v>97.65</v>
      </c>
      <c r="I416">
        <v>25.68</v>
      </c>
      <c r="J416">
        <v>84.9</v>
      </c>
      <c r="K416">
        <v>32</v>
      </c>
      <c r="T416">
        <v>3</v>
      </c>
      <c r="U416">
        <v>2</v>
      </c>
      <c r="V416" t="s">
        <v>153</v>
      </c>
      <c r="W416">
        <v>97</v>
      </c>
      <c r="X416">
        <v>4</v>
      </c>
      <c r="Y416">
        <v>4</v>
      </c>
      <c r="Z416" t="s">
        <v>870</v>
      </c>
      <c r="AA416" t="s">
        <v>871</v>
      </c>
      <c r="AB416" t="s">
        <v>156</v>
      </c>
      <c r="AC416" t="s">
        <v>157</v>
      </c>
      <c r="AD416" t="s">
        <v>158</v>
      </c>
      <c r="AE416" t="s">
        <v>872</v>
      </c>
      <c r="AG416" t="s">
        <v>873</v>
      </c>
      <c r="AH416">
        <v>0</v>
      </c>
      <c r="AI416">
        <v>61</v>
      </c>
      <c r="AJ416">
        <v>0</v>
      </c>
      <c r="AK416">
        <v>41</v>
      </c>
      <c r="AL416">
        <v>1.28</v>
      </c>
    </row>
    <row r="417" spans="1:38" x14ac:dyDescent="0.3">
      <c r="A417" t="s">
        <v>868</v>
      </c>
      <c r="B417">
        <v>121642</v>
      </c>
      <c r="C417">
        <v>1</v>
      </c>
      <c r="D417" t="s">
        <v>874</v>
      </c>
      <c r="E417" t="s">
        <v>202</v>
      </c>
      <c r="F417">
        <v>72</v>
      </c>
      <c r="G417">
        <v>29.53</v>
      </c>
      <c r="H417">
        <v>97.65</v>
      </c>
      <c r="I417">
        <v>25.68</v>
      </c>
      <c r="J417">
        <v>84.9</v>
      </c>
      <c r="K417">
        <v>40</v>
      </c>
      <c r="T417">
        <v>3</v>
      </c>
      <c r="U417">
        <v>2</v>
      </c>
      <c r="V417" t="s">
        <v>153</v>
      </c>
      <c r="W417" t="s">
        <v>649</v>
      </c>
      <c r="X417">
        <v>4</v>
      </c>
      <c r="Y417">
        <v>4</v>
      </c>
      <c r="Z417" t="s">
        <v>875</v>
      </c>
      <c r="AA417" t="s">
        <v>876</v>
      </c>
      <c r="AB417" t="s">
        <v>156</v>
      </c>
      <c r="AC417" t="s">
        <v>157</v>
      </c>
      <c r="AD417" t="s">
        <v>158</v>
      </c>
      <c r="AE417" t="s">
        <v>872</v>
      </c>
      <c r="AG417" t="s">
        <v>877</v>
      </c>
      <c r="AH417">
        <v>0</v>
      </c>
      <c r="AI417">
        <v>0</v>
      </c>
      <c r="AJ417">
        <v>0</v>
      </c>
      <c r="AK417">
        <v>96</v>
      </c>
      <c r="AL417">
        <v>1.33</v>
      </c>
    </row>
    <row r="418" spans="1:38" x14ac:dyDescent="0.3">
      <c r="A418" t="s">
        <v>868</v>
      </c>
      <c r="B418">
        <v>121642</v>
      </c>
      <c r="C418">
        <v>2</v>
      </c>
      <c r="D418" t="s">
        <v>874</v>
      </c>
      <c r="E418" t="s">
        <v>202</v>
      </c>
      <c r="F418">
        <v>72</v>
      </c>
      <c r="G418">
        <v>29.56</v>
      </c>
      <c r="H418">
        <v>97.73</v>
      </c>
      <c r="I418">
        <v>25.7</v>
      </c>
      <c r="J418">
        <v>84.98</v>
      </c>
      <c r="K418">
        <v>32</v>
      </c>
      <c r="T418">
        <v>3</v>
      </c>
      <c r="U418">
        <v>2</v>
      </c>
      <c r="V418" t="s">
        <v>153</v>
      </c>
      <c r="W418" t="s">
        <v>878</v>
      </c>
      <c r="X418">
        <v>4</v>
      </c>
      <c r="Y418">
        <v>4</v>
      </c>
      <c r="Z418" t="s">
        <v>875</v>
      </c>
      <c r="AA418" t="s">
        <v>876</v>
      </c>
      <c r="AB418" t="s">
        <v>156</v>
      </c>
      <c r="AC418" t="s">
        <v>157</v>
      </c>
      <c r="AD418" t="s">
        <v>158</v>
      </c>
      <c r="AE418" t="s">
        <v>872</v>
      </c>
      <c r="AG418" t="s">
        <v>877</v>
      </c>
      <c r="AH418">
        <v>0</v>
      </c>
      <c r="AI418">
        <v>0</v>
      </c>
      <c r="AJ418">
        <v>0</v>
      </c>
      <c r="AK418">
        <v>96</v>
      </c>
      <c r="AL418">
        <v>1.33</v>
      </c>
    </row>
    <row r="419" spans="1:38" x14ac:dyDescent="0.3">
      <c r="A419" t="s">
        <v>868</v>
      </c>
      <c r="B419">
        <v>103963</v>
      </c>
      <c r="C419">
        <v>1</v>
      </c>
      <c r="D419" t="s">
        <v>879</v>
      </c>
      <c r="E419" t="s">
        <v>880</v>
      </c>
      <c r="F419">
        <v>780</v>
      </c>
      <c r="G419">
        <v>33.04</v>
      </c>
      <c r="H419">
        <v>109.24</v>
      </c>
      <c r="I419">
        <v>25.64</v>
      </c>
      <c r="J419">
        <v>84.79</v>
      </c>
      <c r="K419">
        <v>414</v>
      </c>
      <c r="T419">
        <v>3</v>
      </c>
      <c r="U419">
        <v>2</v>
      </c>
      <c r="V419" t="s">
        <v>153</v>
      </c>
      <c r="W419" t="s">
        <v>90</v>
      </c>
      <c r="X419">
        <v>25</v>
      </c>
      <c r="Y419">
        <v>22</v>
      </c>
      <c r="Z419" t="s">
        <v>881</v>
      </c>
      <c r="AA419" t="s">
        <v>882</v>
      </c>
      <c r="AB419" t="s">
        <v>156</v>
      </c>
      <c r="AC419" t="s">
        <v>157</v>
      </c>
      <c r="AD419" t="s">
        <v>158</v>
      </c>
      <c r="AE419" t="s">
        <v>872</v>
      </c>
      <c r="AG419" t="s">
        <v>883</v>
      </c>
      <c r="AH419">
        <v>0</v>
      </c>
      <c r="AI419">
        <v>199</v>
      </c>
      <c r="AJ419">
        <v>12</v>
      </c>
      <c r="AK419">
        <v>1175</v>
      </c>
      <c r="AL419">
        <v>1.51</v>
      </c>
    </row>
    <row r="420" spans="1:38" x14ac:dyDescent="0.3">
      <c r="A420" t="s">
        <v>868</v>
      </c>
      <c r="B420">
        <v>103963</v>
      </c>
      <c r="C420">
        <v>2</v>
      </c>
      <c r="D420" t="s">
        <v>879</v>
      </c>
      <c r="E420" t="s">
        <v>880</v>
      </c>
      <c r="F420">
        <v>780</v>
      </c>
      <c r="G420">
        <v>33.229999999999997</v>
      </c>
      <c r="H420">
        <v>109.86</v>
      </c>
      <c r="I420">
        <v>25.54</v>
      </c>
      <c r="J420">
        <v>84.43</v>
      </c>
      <c r="K420">
        <v>207</v>
      </c>
      <c r="T420">
        <v>3</v>
      </c>
      <c r="U420">
        <v>2</v>
      </c>
      <c r="V420" t="s">
        <v>153</v>
      </c>
      <c r="W420" t="s">
        <v>861</v>
      </c>
      <c r="X420">
        <v>25</v>
      </c>
      <c r="Y420">
        <v>22</v>
      </c>
      <c r="Z420" t="s">
        <v>881</v>
      </c>
      <c r="AA420" t="s">
        <v>882</v>
      </c>
      <c r="AB420" t="s">
        <v>156</v>
      </c>
      <c r="AC420" t="s">
        <v>157</v>
      </c>
      <c r="AD420" t="s">
        <v>158</v>
      </c>
      <c r="AE420" t="s">
        <v>872</v>
      </c>
      <c r="AG420" t="s">
        <v>883</v>
      </c>
      <c r="AH420">
        <v>0</v>
      </c>
      <c r="AI420">
        <v>199</v>
      </c>
      <c r="AJ420">
        <v>12</v>
      </c>
      <c r="AK420">
        <v>1175</v>
      </c>
      <c r="AL420">
        <v>1.51</v>
      </c>
    </row>
    <row r="421" spans="1:38" x14ac:dyDescent="0.3">
      <c r="A421" t="s">
        <v>868</v>
      </c>
      <c r="B421">
        <v>103963</v>
      </c>
      <c r="C421">
        <v>3</v>
      </c>
      <c r="D421" t="s">
        <v>879</v>
      </c>
      <c r="E421" t="s">
        <v>880</v>
      </c>
      <c r="F421">
        <v>780</v>
      </c>
      <c r="G421">
        <v>33.04</v>
      </c>
      <c r="H421">
        <v>109.23</v>
      </c>
      <c r="I421">
        <v>25.54</v>
      </c>
      <c r="J421">
        <v>84.45</v>
      </c>
      <c r="K421">
        <v>159</v>
      </c>
      <c r="T421">
        <v>3</v>
      </c>
      <c r="U421">
        <v>2</v>
      </c>
      <c r="V421" t="s">
        <v>153</v>
      </c>
      <c r="W421" t="s">
        <v>867</v>
      </c>
      <c r="X421">
        <v>25</v>
      </c>
      <c r="Y421">
        <v>22</v>
      </c>
      <c r="Z421" t="s">
        <v>881</v>
      </c>
      <c r="AA421" t="s">
        <v>882</v>
      </c>
      <c r="AB421" t="s">
        <v>156</v>
      </c>
      <c r="AC421" t="s">
        <v>157</v>
      </c>
      <c r="AD421" t="s">
        <v>158</v>
      </c>
      <c r="AE421" t="s">
        <v>872</v>
      </c>
      <c r="AG421" t="s">
        <v>883</v>
      </c>
      <c r="AH421">
        <v>0</v>
      </c>
      <c r="AI421">
        <v>199</v>
      </c>
      <c r="AJ421">
        <v>12</v>
      </c>
      <c r="AK421">
        <v>1175</v>
      </c>
      <c r="AL421">
        <v>1.51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내덕동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130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내덕동 이랜드해가든('09.05.,236^)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9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165</v>
      </c>
      <c r="B6" s="10" t="s">
        <v>886</v>
      </c>
      <c r="C6" s="89">
        <v>236</v>
      </c>
      <c r="D6" s="87">
        <v>112.9</v>
      </c>
      <c r="E6" s="88">
        <v>34</v>
      </c>
      <c r="F6" s="87">
        <v>84.9</v>
      </c>
      <c r="G6" s="17">
        <v>26</v>
      </c>
      <c r="H6" s="89">
        <v>120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 t="s">
        <v>114</v>
      </c>
      <c r="U6" s="9"/>
      <c r="W6" s="87">
        <f>D6</f>
        <v>112.9</v>
      </c>
      <c r="X6" s="88">
        <f>E6</f>
        <v>34</v>
      </c>
      <c r="Y6" s="93">
        <f>H6</f>
        <v>120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이랜드해가든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165</v>
      </c>
      <c r="B7" s="10" t="s">
        <v>886</v>
      </c>
      <c r="C7" s="89">
        <v>236</v>
      </c>
      <c r="D7" s="87">
        <v>113.5</v>
      </c>
      <c r="E7" s="88">
        <v>34</v>
      </c>
      <c r="F7" s="87">
        <v>85</v>
      </c>
      <c r="G7" s="17">
        <v>26</v>
      </c>
      <c r="H7" s="89">
        <v>116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3</v>
      </c>
      <c r="R7" s="80">
        <v>2</v>
      </c>
      <c r="S7" s="80" t="s">
        <v>61</v>
      </c>
      <c r="T7" s="5" t="s">
        <v>76</v>
      </c>
      <c r="U7" s="9"/>
      <c r="W7" s="87">
        <f>D7</f>
        <v>113.5</v>
      </c>
      <c r="X7" s="88">
        <f>E7</f>
        <v>34</v>
      </c>
      <c r="Y7" s="93">
        <f>H7</f>
        <v>116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80" t="str">
        <f>S7</f>
        <v>계</v>
      </c>
      <c r="AF7" s="80" t="str">
        <f>Q7&amp;"/"&amp;R7</f>
        <v>3/2</v>
      </c>
      <c r="AH7" s="20" t="str">
        <f t="shared" si="1"/>
        <v>이랜드해가든</v>
      </c>
      <c r="AI7" s="88">
        <f t="shared" si="0"/>
        <v>34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내덕동 삼일('89.11.,200^)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191</v>
      </c>
      <c r="B9" s="10" t="s">
        <v>887</v>
      </c>
      <c r="C9" s="89">
        <v>200</v>
      </c>
      <c r="D9" s="87">
        <v>109.1</v>
      </c>
      <c r="E9" s="88">
        <v>33</v>
      </c>
      <c r="F9" s="87">
        <v>85</v>
      </c>
      <c r="G9" s="17">
        <v>26</v>
      </c>
      <c r="H9" s="89">
        <v>200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2</v>
      </c>
      <c r="S9" s="80" t="s">
        <v>61</v>
      </c>
      <c r="T9" s="5">
        <v>109</v>
      </c>
      <c r="U9" s="9"/>
      <c r="W9" s="87">
        <f>D9</f>
        <v>109.1</v>
      </c>
      <c r="X9" s="88">
        <f>E9</f>
        <v>33</v>
      </c>
      <c r="Y9" s="93">
        <f>H9</f>
        <v>200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80" t="str">
        <f>S9</f>
        <v>계</v>
      </c>
      <c r="AF9" s="80" t="str">
        <f>Q9&amp;"/"&amp;R9</f>
        <v>3/2</v>
      </c>
      <c r="AH9" s="20" t="str">
        <f t="shared" si="1"/>
        <v>삼일</v>
      </c>
      <c r="AI9" s="88">
        <f t="shared" si="0"/>
        <v>33</v>
      </c>
      <c r="AJ9" s="80" t="str">
        <f>IF(AI9="","",$AJ$2)</f>
        <v>A-</v>
      </c>
      <c r="AK9" s="80" t="s">
        <v>13</v>
      </c>
      <c r="AL9" s="80" t="s">
        <v>62</v>
      </c>
      <c r="AM9" s="80" t="s">
        <v>63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내덕동 율량서희스타힐스('16.06.,508^)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201</v>
      </c>
      <c r="B11" s="10" t="s">
        <v>888</v>
      </c>
      <c r="C11" s="89">
        <v>508</v>
      </c>
      <c r="D11" s="87">
        <v>97.5</v>
      </c>
      <c r="E11" s="88">
        <v>29</v>
      </c>
      <c r="F11" s="87">
        <v>74.7</v>
      </c>
      <c r="G11" s="17">
        <v>23</v>
      </c>
      <c r="H11" s="89">
        <v>154</v>
      </c>
      <c r="I11" s="90">
        <v>36000</v>
      </c>
      <c r="J11" s="90" t="s">
        <v>59</v>
      </c>
      <c r="K11" s="90">
        <v>32000</v>
      </c>
      <c r="L11" s="90" t="s">
        <v>60</v>
      </c>
      <c r="M11" s="91">
        <f>I11-K11</f>
        <v>4000</v>
      </c>
      <c r="N11" s="4">
        <f>IF(ISERROR(K11/I11),"",K11/I11)</f>
        <v>0.88888888888888884</v>
      </c>
      <c r="O11" s="92">
        <f>I11/E11</f>
        <v>1241.3793103448277</v>
      </c>
      <c r="P11" s="92">
        <f>K11/E11</f>
        <v>1103.4482758620691</v>
      </c>
      <c r="Q11" s="80">
        <v>3</v>
      </c>
      <c r="R11" s="80">
        <v>2</v>
      </c>
      <c r="S11" s="80" t="s">
        <v>61</v>
      </c>
      <c r="T11" s="5">
        <v>97</v>
      </c>
      <c r="U11" s="9"/>
      <c r="W11" s="87">
        <f t="shared" ref="W11:X13" si="3">D11</f>
        <v>97.5</v>
      </c>
      <c r="X11" s="88">
        <f t="shared" si="3"/>
        <v>29</v>
      </c>
      <c r="Y11" s="93">
        <f t="shared" ref="Y11:Z13" si="4">H11</f>
        <v>154</v>
      </c>
      <c r="Z11" s="91">
        <f t="shared" si="4"/>
        <v>36000</v>
      </c>
      <c r="AA11" s="91">
        <f>K11</f>
        <v>32000</v>
      </c>
      <c r="AB11" s="91">
        <f t="shared" ref="AB11:AD13" si="5">M11</f>
        <v>4000</v>
      </c>
      <c r="AC11" s="4">
        <f t="shared" si="5"/>
        <v>0.88888888888888884</v>
      </c>
      <c r="AD11" s="92">
        <f t="shared" si="5"/>
        <v>1241.3793103448277</v>
      </c>
      <c r="AE11" s="80" t="str">
        <f>S11</f>
        <v>계</v>
      </c>
      <c r="AF11" s="80" t="str">
        <f>Q11&amp;"/"&amp;R11</f>
        <v>3/2</v>
      </c>
      <c r="AH11" s="20" t="str">
        <f t="shared" si="1"/>
        <v>율량서희스타힐스</v>
      </c>
      <c r="AI11" s="88">
        <f t="shared" si="0"/>
        <v>29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후보</v>
      </c>
    </row>
    <row r="12" spans="1:48" x14ac:dyDescent="0.3">
      <c r="A12" s="9" t="s">
        <v>201</v>
      </c>
      <c r="B12" s="10" t="s">
        <v>888</v>
      </c>
      <c r="C12" s="89">
        <v>508</v>
      </c>
      <c r="D12" s="87">
        <v>100.5</v>
      </c>
      <c r="E12" s="88">
        <v>30</v>
      </c>
      <c r="F12" s="87">
        <v>77.5</v>
      </c>
      <c r="G12" s="17">
        <v>23</v>
      </c>
      <c r="H12" s="89">
        <v>200</v>
      </c>
      <c r="I12" s="90">
        <v>39000</v>
      </c>
      <c r="J12" s="90" t="s">
        <v>68</v>
      </c>
      <c r="K12" s="90">
        <v>30000</v>
      </c>
      <c r="L12" s="90" t="s">
        <v>889</v>
      </c>
      <c r="M12" s="91">
        <f>I12-K12</f>
        <v>9000</v>
      </c>
      <c r="N12" s="4">
        <f>IF(ISERROR(K12/I12),"",K12/I12)</f>
        <v>0.76923076923076927</v>
      </c>
      <c r="O12" s="92">
        <f>I12/E12</f>
        <v>1300</v>
      </c>
      <c r="P12" s="92">
        <f>K12/E12</f>
        <v>1000</v>
      </c>
      <c r="Q12" s="80">
        <v>3</v>
      </c>
      <c r="R12" s="80">
        <v>2</v>
      </c>
      <c r="S12" s="80" t="s">
        <v>61</v>
      </c>
      <c r="T12" s="5">
        <v>100</v>
      </c>
      <c r="U12" s="9"/>
      <c r="W12" s="87">
        <f t="shared" si="3"/>
        <v>100.5</v>
      </c>
      <c r="X12" s="88">
        <f t="shared" si="3"/>
        <v>30</v>
      </c>
      <c r="Y12" s="93">
        <f t="shared" si="4"/>
        <v>200</v>
      </c>
      <c r="Z12" s="91">
        <f t="shared" si="4"/>
        <v>39000</v>
      </c>
      <c r="AA12" s="91">
        <f>K12</f>
        <v>30000</v>
      </c>
      <c r="AB12" s="91">
        <f t="shared" si="5"/>
        <v>9000</v>
      </c>
      <c r="AC12" s="4">
        <f t="shared" si="5"/>
        <v>0.76923076923076927</v>
      </c>
      <c r="AD12" s="92">
        <f t="shared" si="5"/>
        <v>1300</v>
      </c>
      <c r="AE12" s="80" t="str">
        <f>S12</f>
        <v>계</v>
      </c>
      <c r="AF12" s="80" t="str">
        <f>Q12&amp;"/"&amp;R12</f>
        <v>3/2</v>
      </c>
      <c r="AH12" s="20" t="str">
        <f t="shared" si="1"/>
        <v>율량서희스타힐스</v>
      </c>
      <c r="AI12" s="88">
        <f t="shared" si="0"/>
        <v>30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X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 t="s">
        <v>201</v>
      </c>
      <c r="B13" s="10" t="s">
        <v>888</v>
      </c>
      <c r="C13" s="89">
        <v>508</v>
      </c>
      <c r="D13" s="87">
        <v>110.1</v>
      </c>
      <c r="E13" s="88">
        <v>33</v>
      </c>
      <c r="F13" s="87">
        <v>84.9</v>
      </c>
      <c r="G13" s="17">
        <v>26</v>
      </c>
      <c r="H13" s="89">
        <v>154</v>
      </c>
      <c r="I13" s="90">
        <v>47500</v>
      </c>
      <c r="J13" s="90" t="s">
        <v>80</v>
      </c>
      <c r="K13" s="90">
        <v>36000</v>
      </c>
      <c r="L13" s="90" t="s">
        <v>70</v>
      </c>
      <c r="M13" s="91">
        <f>I13-K13</f>
        <v>11500</v>
      </c>
      <c r="N13" s="4">
        <f>IF(ISERROR(K13/I13),"",K13/I13)</f>
        <v>0.75789473684210529</v>
      </c>
      <c r="O13" s="92">
        <f>I13/E13</f>
        <v>1439.3939393939395</v>
      </c>
      <c r="P13" s="92">
        <f>K13/E13</f>
        <v>1090.909090909091</v>
      </c>
      <c r="Q13" s="80">
        <v>3</v>
      </c>
      <c r="R13" s="80">
        <v>2</v>
      </c>
      <c r="S13" s="80" t="s">
        <v>61</v>
      </c>
      <c r="T13" s="5">
        <v>110</v>
      </c>
      <c r="U13" s="9"/>
      <c r="W13" s="87">
        <f t="shared" si="3"/>
        <v>110.1</v>
      </c>
      <c r="X13" s="88">
        <f t="shared" si="3"/>
        <v>33</v>
      </c>
      <c r="Y13" s="93">
        <f t="shared" si="4"/>
        <v>154</v>
      </c>
      <c r="Z13" s="91">
        <f t="shared" si="4"/>
        <v>47500</v>
      </c>
      <c r="AA13" s="91">
        <f>K13</f>
        <v>36000</v>
      </c>
      <c r="AB13" s="91">
        <f t="shared" si="5"/>
        <v>11500</v>
      </c>
      <c r="AC13" s="4">
        <f t="shared" si="5"/>
        <v>0.75789473684210529</v>
      </c>
      <c r="AD13" s="92">
        <f t="shared" si="5"/>
        <v>1439.3939393939395</v>
      </c>
      <c r="AE13" s="80" t="str">
        <f>S13</f>
        <v>계</v>
      </c>
      <c r="AF13" s="80" t="str">
        <f>Q13&amp;"/"&amp;R13</f>
        <v>3/2</v>
      </c>
      <c r="AH13" s="20" t="str">
        <f t="shared" si="1"/>
        <v>율량서희스타힐스</v>
      </c>
      <c r="AI13" s="88">
        <f t="shared" si="0"/>
        <v>33</v>
      </c>
      <c r="AJ13" s="80" t="str">
        <f>IF(AI13="","",$AJ$2)</f>
        <v>A-</v>
      </c>
      <c r="AK13" s="80" t="s">
        <v>13</v>
      </c>
      <c r="AL13" s="80" t="s">
        <v>62</v>
      </c>
      <c r="AM13" s="80" t="s">
        <v>63</v>
      </c>
      <c r="AN13" s="80" t="str">
        <f>IF(AI13="","",$AN$2)</f>
        <v>C</v>
      </c>
      <c r="AO13" s="80" t="str">
        <f>IF(N13="","",IF(N13&gt;=$AO$1/100,"O","X"))</f>
        <v>X</v>
      </c>
      <c r="AP13" s="80" t="str">
        <f>IF(I13="","",IF(I13&lt;=$AP$1,"O","X"))</f>
        <v>X</v>
      </c>
      <c r="AQ13" s="80" t="str">
        <f>IF(O13="","",IF(O13&lt;=$AQ$1,"O","X"))</f>
        <v>X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48" x14ac:dyDescent="0.3">
      <c r="A14" s="9"/>
      <c r="B14" s="80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8" t="str">
        <f>$A$4&amp;" "&amp;A15&amp;"("&amp;B15&amp;","&amp;C15&amp;"^)"</f>
        <v>내덕동 신화('90.10.,432^)</v>
      </c>
      <c r="X14" s="69"/>
      <c r="Y14" s="69"/>
      <c r="Z14" s="69"/>
      <c r="AA14" s="69"/>
      <c r="AB14" s="69"/>
      <c r="AC14" s="69"/>
      <c r="AD14" s="69"/>
      <c r="AE14" s="69"/>
      <c r="AF14" s="70"/>
      <c r="AH14" s="20" t="str">
        <f t="shared" si="1"/>
        <v/>
      </c>
      <c r="AI14" s="112" t="str">
        <f t="shared" si="0"/>
        <v/>
      </c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</row>
    <row r="15" spans="1:48" x14ac:dyDescent="0.3">
      <c r="A15" s="9" t="s">
        <v>211</v>
      </c>
      <c r="B15" s="10" t="s">
        <v>890</v>
      </c>
      <c r="C15" s="89">
        <v>432</v>
      </c>
      <c r="D15" s="87">
        <v>95.5</v>
      </c>
      <c r="E15" s="88">
        <v>29</v>
      </c>
      <c r="F15" s="87">
        <v>73.599999999999994</v>
      </c>
      <c r="G15" s="17">
        <v>22</v>
      </c>
      <c r="H15" s="89">
        <v>69</v>
      </c>
      <c r="I15" s="90">
        <v>14000</v>
      </c>
      <c r="J15" s="90" t="s">
        <v>67</v>
      </c>
      <c r="K15" s="90"/>
      <c r="L15" s="90"/>
      <c r="M15" s="91">
        <f>I15-K15</f>
        <v>14000</v>
      </c>
      <c r="N15" s="4">
        <f>IF(ISERROR(K15/I15),"",K15/I15)</f>
        <v>0</v>
      </c>
      <c r="O15" s="92">
        <f>I15/E15</f>
        <v>482.75862068965517</v>
      </c>
      <c r="P15" s="92">
        <f>K15/E15</f>
        <v>0</v>
      </c>
      <c r="Q15" s="80">
        <v>3</v>
      </c>
      <c r="R15" s="80">
        <v>1</v>
      </c>
      <c r="S15" s="80" t="s">
        <v>61</v>
      </c>
      <c r="T15" s="5">
        <v>95</v>
      </c>
      <c r="U15" s="9"/>
      <c r="W15" s="87">
        <f t="shared" ref="W15:X17" si="6">D15</f>
        <v>95.5</v>
      </c>
      <c r="X15" s="88">
        <f t="shared" si="6"/>
        <v>29</v>
      </c>
      <c r="Y15" s="93">
        <f t="shared" ref="Y15:Z17" si="7">H15</f>
        <v>69</v>
      </c>
      <c r="Z15" s="91">
        <f t="shared" si="7"/>
        <v>14000</v>
      </c>
      <c r="AA15" s="91">
        <f>K15</f>
        <v>0</v>
      </c>
      <c r="AB15" s="91">
        <f t="shared" ref="AB15:AD17" si="8">M15</f>
        <v>14000</v>
      </c>
      <c r="AC15" s="4">
        <f t="shared" si="8"/>
        <v>0</v>
      </c>
      <c r="AD15" s="92">
        <f t="shared" si="8"/>
        <v>482.75862068965517</v>
      </c>
      <c r="AE15" s="80" t="str">
        <f>S15</f>
        <v>계</v>
      </c>
      <c r="AF15" s="80" t="str">
        <f>Q15&amp;"/"&amp;R15</f>
        <v>3/1</v>
      </c>
      <c r="AH15" s="20" t="str">
        <f t="shared" si="1"/>
        <v>신화</v>
      </c>
      <c r="AI15" s="88">
        <f t="shared" si="0"/>
        <v>29</v>
      </c>
      <c r="AJ15" s="80" t="str">
        <f>IF(AI15="","",$AJ$2)</f>
        <v>A-</v>
      </c>
      <c r="AK15" s="80" t="s">
        <v>13</v>
      </c>
      <c r="AL15" s="80" t="s">
        <v>62</v>
      </c>
      <c r="AM15" s="80" t="s">
        <v>63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 t="s">
        <v>211</v>
      </c>
      <c r="B16" s="10" t="s">
        <v>890</v>
      </c>
      <c r="C16" s="89">
        <v>432</v>
      </c>
      <c r="D16" s="87">
        <v>112.4</v>
      </c>
      <c r="E16" s="88">
        <v>34</v>
      </c>
      <c r="F16" s="87">
        <v>85</v>
      </c>
      <c r="G16" s="17">
        <v>26</v>
      </c>
      <c r="H16" s="89">
        <v>283</v>
      </c>
      <c r="I16" s="90">
        <v>16500</v>
      </c>
      <c r="J16" s="90" t="s">
        <v>73</v>
      </c>
      <c r="K16" s="90"/>
      <c r="L16" s="90"/>
      <c r="M16" s="91">
        <f>I16-K16</f>
        <v>16500</v>
      </c>
      <c r="N16" s="4">
        <f>IF(ISERROR(K16/I16),"",K16/I16)</f>
        <v>0</v>
      </c>
      <c r="O16" s="92">
        <f>I16/E16</f>
        <v>485.29411764705884</v>
      </c>
      <c r="P16" s="92">
        <f>K16/E16</f>
        <v>0</v>
      </c>
      <c r="Q16" s="80">
        <v>3</v>
      </c>
      <c r="R16" s="80">
        <v>2</v>
      </c>
      <c r="S16" s="80" t="s">
        <v>61</v>
      </c>
      <c r="T16" s="5">
        <v>112</v>
      </c>
      <c r="U16" s="9"/>
      <c r="W16" s="87">
        <f t="shared" si="6"/>
        <v>112.4</v>
      </c>
      <c r="X16" s="88">
        <f t="shared" si="6"/>
        <v>34</v>
      </c>
      <c r="Y16" s="93">
        <f t="shared" si="7"/>
        <v>283</v>
      </c>
      <c r="Z16" s="91">
        <f t="shared" si="7"/>
        <v>16500</v>
      </c>
      <c r="AA16" s="91">
        <f>K16</f>
        <v>0</v>
      </c>
      <c r="AB16" s="91">
        <f t="shared" si="8"/>
        <v>16500</v>
      </c>
      <c r="AC16" s="4">
        <f t="shared" si="8"/>
        <v>0</v>
      </c>
      <c r="AD16" s="92">
        <f t="shared" si="8"/>
        <v>485.29411764705884</v>
      </c>
      <c r="AE16" s="80" t="str">
        <f>S16</f>
        <v>계</v>
      </c>
      <c r="AF16" s="80" t="str">
        <f>Q16&amp;"/"&amp;R16</f>
        <v>3/2</v>
      </c>
      <c r="AH16" s="20" t="str">
        <f t="shared" si="1"/>
        <v>신화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 t="s">
        <v>211</v>
      </c>
      <c r="B17" s="10" t="s">
        <v>890</v>
      </c>
      <c r="C17" s="89">
        <v>432</v>
      </c>
      <c r="D17" s="87">
        <v>162.1</v>
      </c>
      <c r="E17" s="88">
        <v>49</v>
      </c>
      <c r="F17" s="87">
        <v>133.69999999999999</v>
      </c>
      <c r="G17" s="17">
        <v>40</v>
      </c>
      <c r="H17" s="89">
        <v>80</v>
      </c>
      <c r="I17" s="90">
        <v>20000</v>
      </c>
      <c r="J17" s="90" t="s">
        <v>64</v>
      </c>
      <c r="K17" s="90"/>
      <c r="L17" s="90"/>
      <c r="M17" s="91">
        <f>I17-K17</f>
        <v>20000</v>
      </c>
      <c r="N17" s="4">
        <f>IF(ISERROR(K17/I17),"",K17/I17)</f>
        <v>0</v>
      </c>
      <c r="O17" s="92">
        <f>I17/E17</f>
        <v>408.16326530612247</v>
      </c>
      <c r="P17" s="92">
        <f>K17/E17</f>
        <v>0</v>
      </c>
      <c r="Q17" s="80">
        <v>4</v>
      </c>
      <c r="R17" s="80">
        <v>2</v>
      </c>
      <c r="S17" s="80" t="s">
        <v>61</v>
      </c>
      <c r="T17" s="5">
        <v>162</v>
      </c>
      <c r="U17" s="9"/>
      <c r="W17" s="87">
        <f t="shared" si="6"/>
        <v>162.1</v>
      </c>
      <c r="X17" s="88">
        <f t="shared" si="6"/>
        <v>49</v>
      </c>
      <c r="Y17" s="93">
        <f t="shared" si="7"/>
        <v>80</v>
      </c>
      <c r="Z17" s="91">
        <f t="shared" si="7"/>
        <v>20000</v>
      </c>
      <c r="AA17" s="91">
        <f>K17</f>
        <v>0</v>
      </c>
      <c r="AB17" s="91">
        <f t="shared" si="8"/>
        <v>20000</v>
      </c>
      <c r="AC17" s="4">
        <f t="shared" si="8"/>
        <v>0</v>
      </c>
      <c r="AD17" s="92">
        <f t="shared" si="8"/>
        <v>408.16326530612247</v>
      </c>
      <c r="AE17" s="80" t="str">
        <f>S17</f>
        <v>계</v>
      </c>
      <c r="AF17" s="80" t="str">
        <f>Q17&amp;"/"&amp;R17</f>
        <v>4/2</v>
      </c>
      <c r="AH17" s="20" t="str">
        <f t="shared" si="1"/>
        <v>신화</v>
      </c>
      <c r="AI17" s="88">
        <f t="shared" si="0"/>
        <v>49</v>
      </c>
      <c r="AJ17" s="80" t="str">
        <f>IF(AI17="","",$AJ$2)</f>
        <v>A-</v>
      </c>
      <c r="AK17" s="80" t="s">
        <v>13</v>
      </c>
      <c r="AL17" s="80" t="s">
        <v>62</v>
      </c>
      <c r="AM17" s="80" t="s">
        <v>63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O</v>
      </c>
      <c r="AQ17" s="80" t="str">
        <f>IF(O17="","",IF(O17&lt;=$AQ$1,"O","X"))</f>
        <v>O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X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x14ac:dyDescent="0.3">
      <c r="A18" s="9"/>
      <c r="B18" s="80"/>
      <c r="C18" s="6"/>
      <c r="D18" s="9"/>
      <c r="E18" s="14"/>
      <c r="F18" s="87"/>
      <c r="G18" s="9"/>
      <c r="H18" s="9"/>
      <c r="I18" s="9"/>
      <c r="J18" s="9"/>
      <c r="K18" s="9"/>
      <c r="L18" s="9"/>
      <c r="M18" s="9"/>
      <c r="N18" s="9"/>
      <c r="O18" s="92"/>
      <c r="P18" s="92"/>
      <c r="Q18" s="88"/>
      <c r="R18" s="88"/>
      <c r="S18" s="9"/>
      <c r="T18" s="47"/>
      <c r="U18" s="9"/>
      <c r="W18" s="68" t="str">
        <f>$A$4&amp;" "&amp;A19&amp;"("&amp;B19&amp;","&amp;C19&amp;"^)"</f>
        <v>내덕동 청주힐즈파크푸르지오('20.11.,777^)</v>
      </c>
      <c r="X18" s="69"/>
      <c r="Y18" s="69"/>
      <c r="Z18" s="69"/>
      <c r="AA18" s="69"/>
      <c r="AB18" s="69"/>
      <c r="AC18" s="69"/>
      <c r="AD18" s="69"/>
      <c r="AE18" s="69"/>
      <c r="AF18" s="70"/>
      <c r="AH18" s="20" t="str">
        <f t="shared" si="1"/>
        <v/>
      </c>
      <c r="AI18" s="112" t="str">
        <f t="shared" si="0"/>
        <v/>
      </c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</row>
    <row r="19" spans="1:48" x14ac:dyDescent="0.3">
      <c r="A19" s="9" t="s">
        <v>220</v>
      </c>
      <c r="B19" s="10" t="s">
        <v>891</v>
      </c>
      <c r="C19" s="89">
        <v>777</v>
      </c>
      <c r="D19" s="87">
        <v>98.6</v>
      </c>
      <c r="E19" s="88">
        <v>30</v>
      </c>
      <c r="F19" s="87">
        <v>76</v>
      </c>
      <c r="G19" s="17">
        <v>23</v>
      </c>
      <c r="H19" s="89">
        <v>91</v>
      </c>
      <c r="I19" s="90">
        <v>52000</v>
      </c>
      <c r="J19" s="90" t="s">
        <v>70</v>
      </c>
      <c r="K19" s="90">
        <v>33000</v>
      </c>
      <c r="L19" s="90" t="s">
        <v>64</v>
      </c>
      <c r="M19" s="91">
        <f t="shared" ref="M19:M28" si="9">I19-K19</f>
        <v>19000</v>
      </c>
      <c r="N19" s="4">
        <f t="shared" ref="N19:N28" si="10">IF(ISERROR(K19/I19),"",K19/I19)</f>
        <v>0.63461538461538458</v>
      </c>
      <c r="O19" s="92">
        <f t="shared" ref="O19:O28" si="11">I19/E19</f>
        <v>1733.3333333333333</v>
      </c>
      <c r="P19" s="92">
        <f t="shared" ref="P19:P28" si="12">K19/E19</f>
        <v>1100</v>
      </c>
      <c r="Q19" s="80">
        <v>3</v>
      </c>
      <c r="R19" s="80">
        <v>2</v>
      </c>
      <c r="S19" s="80" t="s">
        <v>61</v>
      </c>
      <c r="T19" s="5" t="s">
        <v>222</v>
      </c>
      <c r="U19" s="9"/>
      <c r="W19" s="87">
        <f t="shared" ref="W19:W28" si="13">D19</f>
        <v>98.6</v>
      </c>
      <c r="X19" s="88">
        <f t="shared" ref="X19:X28" si="14">E19</f>
        <v>30</v>
      </c>
      <c r="Y19" s="93">
        <f t="shared" ref="Y19:Y28" si="15">H19</f>
        <v>91</v>
      </c>
      <c r="Z19" s="91">
        <f t="shared" ref="Z19:Z28" si="16">I19</f>
        <v>52000</v>
      </c>
      <c r="AA19" s="91">
        <f t="shared" ref="AA19:AA28" si="17">K19</f>
        <v>33000</v>
      </c>
      <c r="AB19" s="91">
        <f t="shared" ref="AB19:AB28" si="18">M19</f>
        <v>19000</v>
      </c>
      <c r="AC19" s="4">
        <f t="shared" ref="AC19:AC28" si="19">N19</f>
        <v>0.63461538461538458</v>
      </c>
      <c r="AD19" s="92">
        <f t="shared" ref="AD19:AD28" si="20">O19</f>
        <v>1733.3333333333333</v>
      </c>
      <c r="AE19" s="80" t="str">
        <f t="shared" ref="AE19:AE28" si="21">S19</f>
        <v>계</v>
      </c>
      <c r="AF19" s="80" t="str">
        <f t="shared" ref="AF19:AF28" si="22">Q19&amp;"/"&amp;R19</f>
        <v>3/2</v>
      </c>
      <c r="AH19" s="20" t="str">
        <f t="shared" si="1"/>
        <v>청주힐즈파크푸르지오</v>
      </c>
      <c r="AI19" s="88">
        <f t="shared" si="0"/>
        <v>30</v>
      </c>
      <c r="AJ19" s="80" t="str">
        <f t="shared" ref="AJ19:AJ28" si="23">IF(AI19="","",$AJ$2)</f>
        <v>A-</v>
      </c>
      <c r="AK19" s="80" t="s">
        <v>13</v>
      </c>
      <c r="AL19" s="80" t="s">
        <v>62</v>
      </c>
      <c r="AM19" s="80" t="s">
        <v>63</v>
      </c>
      <c r="AN19" s="80" t="str">
        <f t="shared" ref="AN19:AN28" si="24">IF(AI19="","",$AN$2)</f>
        <v>C</v>
      </c>
      <c r="AO19" s="80" t="str">
        <f t="shared" ref="AO19:AO28" si="25">IF(N19="","",IF(N19&gt;=$AO$1/100,"O","X"))</f>
        <v>X</v>
      </c>
      <c r="AP19" s="80" t="str">
        <f t="shared" ref="AP19:AP28" si="26">IF(I19="","",IF(I19&lt;=$AP$1,"O","X"))</f>
        <v>X</v>
      </c>
      <c r="AQ19" s="80" t="str">
        <f t="shared" ref="AQ19:AQ28" si="27">IF(O19="","",IF(O19&lt;=$AQ$1,"O","X"))</f>
        <v>X</v>
      </c>
      <c r="AR19" s="80" t="str">
        <f t="shared" ref="AR19:AR28" si="28">IF(M19="","",IF(M19&lt;=$AR$1,"O","X"))</f>
        <v>X</v>
      </c>
      <c r="AS19" s="80" t="s">
        <v>2</v>
      </c>
      <c r="AT19" s="80" t="str">
        <f t="shared" ref="AT19:AT28" si="29">IF(OR(F19="",AI19=""),"",IF(AND((F19&lt;=85),(AI19&gt;=15)),"O","X"))</f>
        <v>O</v>
      </c>
      <c r="AU19" s="80" t="str">
        <f t="shared" ref="AU19:AU28" si="30">IF(C19="","",IF(C19&gt;=$AU$1,"O","X"))</f>
        <v>O</v>
      </c>
      <c r="AV19" s="80" t="str">
        <f t="shared" ref="AV19:AV28" si="31">IF(AO19="","",IF(AND(AO19="O",AP19="O",AR19="O",AT19="O",AU19="O"),"후보","X"))</f>
        <v>X</v>
      </c>
    </row>
    <row r="20" spans="1:48" x14ac:dyDescent="0.3">
      <c r="A20" s="9" t="s">
        <v>220</v>
      </c>
      <c r="B20" s="10" t="s">
        <v>891</v>
      </c>
      <c r="C20" s="89">
        <v>777</v>
      </c>
      <c r="D20" s="87">
        <v>99.7</v>
      </c>
      <c r="E20" s="88">
        <v>30</v>
      </c>
      <c r="F20" s="87">
        <v>76</v>
      </c>
      <c r="G20" s="17">
        <v>23</v>
      </c>
      <c r="H20" s="89">
        <v>98</v>
      </c>
      <c r="I20" s="90"/>
      <c r="J20" s="90"/>
      <c r="K20" s="90"/>
      <c r="L20" s="90"/>
      <c r="M20" s="91">
        <f t="shared" si="9"/>
        <v>0</v>
      </c>
      <c r="N20" s="4" t="str">
        <f t="shared" si="10"/>
        <v/>
      </c>
      <c r="O20" s="92">
        <f t="shared" si="11"/>
        <v>0</v>
      </c>
      <c r="P20" s="92">
        <f t="shared" si="12"/>
        <v>0</v>
      </c>
      <c r="Q20" s="80">
        <v>3</v>
      </c>
      <c r="R20" s="80">
        <v>2</v>
      </c>
      <c r="S20" s="80" t="s">
        <v>61</v>
      </c>
      <c r="T20" s="5" t="s">
        <v>115</v>
      </c>
      <c r="U20" s="9"/>
      <c r="W20" s="87">
        <f t="shared" si="13"/>
        <v>99.7</v>
      </c>
      <c r="X20" s="88">
        <f t="shared" si="14"/>
        <v>30</v>
      </c>
      <c r="Y20" s="93">
        <f t="shared" si="15"/>
        <v>98</v>
      </c>
      <c r="Z20" s="91">
        <f t="shared" si="16"/>
        <v>0</v>
      </c>
      <c r="AA20" s="91">
        <f t="shared" si="17"/>
        <v>0</v>
      </c>
      <c r="AB20" s="91">
        <f t="shared" si="18"/>
        <v>0</v>
      </c>
      <c r="AC20" s="4" t="str">
        <f t="shared" si="19"/>
        <v/>
      </c>
      <c r="AD20" s="92">
        <f t="shared" si="20"/>
        <v>0</v>
      </c>
      <c r="AE20" s="80" t="str">
        <f t="shared" si="21"/>
        <v>계</v>
      </c>
      <c r="AF20" s="80" t="str">
        <f t="shared" si="22"/>
        <v>3/2</v>
      </c>
      <c r="AH20" s="20" t="str">
        <f t="shared" si="1"/>
        <v>청주힐즈파크푸르지오</v>
      </c>
      <c r="AI20" s="88">
        <f t="shared" si="0"/>
        <v>30</v>
      </c>
      <c r="AJ20" s="80" t="str">
        <f t="shared" si="23"/>
        <v>A-</v>
      </c>
      <c r="AK20" s="80" t="s">
        <v>13</v>
      </c>
      <c r="AL20" s="80" t="s">
        <v>62</v>
      </c>
      <c r="AM20" s="80" t="s">
        <v>63</v>
      </c>
      <c r="AN20" s="80" t="str">
        <f t="shared" si="24"/>
        <v>C</v>
      </c>
      <c r="AO20" s="80" t="str">
        <f t="shared" si="25"/>
        <v/>
      </c>
      <c r="AP20" s="80" t="str">
        <f t="shared" si="26"/>
        <v/>
      </c>
      <c r="AQ20" s="80" t="str">
        <f t="shared" si="27"/>
        <v>O</v>
      </c>
      <c r="AR20" s="80" t="str">
        <f t="shared" si="28"/>
        <v>O</v>
      </c>
      <c r="AS20" s="80" t="s">
        <v>2</v>
      </c>
      <c r="AT20" s="80" t="str">
        <f t="shared" si="29"/>
        <v>O</v>
      </c>
      <c r="AU20" s="80" t="str">
        <f t="shared" si="30"/>
        <v>O</v>
      </c>
      <c r="AV20" s="80" t="str">
        <f t="shared" si="31"/>
        <v/>
      </c>
    </row>
    <row r="21" spans="1:48" x14ac:dyDescent="0.3">
      <c r="A21" s="9" t="s">
        <v>220</v>
      </c>
      <c r="B21" s="10" t="s">
        <v>891</v>
      </c>
      <c r="C21" s="89">
        <v>777</v>
      </c>
      <c r="D21" s="87">
        <v>110.4</v>
      </c>
      <c r="E21" s="88">
        <v>33</v>
      </c>
      <c r="F21" s="87">
        <v>85</v>
      </c>
      <c r="G21" s="17">
        <v>26</v>
      </c>
      <c r="H21" s="89">
        <v>304</v>
      </c>
      <c r="I21" s="90"/>
      <c r="J21" s="90"/>
      <c r="K21" s="90"/>
      <c r="L21" s="90"/>
      <c r="M21" s="91">
        <f t="shared" si="9"/>
        <v>0</v>
      </c>
      <c r="N21" s="4" t="str">
        <f t="shared" si="10"/>
        <v/>
      </c>
      <c r="O21" s="92">
        <f t="shared" si="11"/>
        <v>0</v>
      </c>
      <c r="P21" s="92">
        <f t="shared" si="12"/>
        <v>0</v>
      </c>
      <c r="Q21" s="80">
        <v>3</v>
      </c>
      <c r="R21" s="80">
        <v>2</v>
      </c>
      <c r="S21" s="80" t="s">
        <v>61</v>
      </c>
      <c r="T21" s="5" t="s">
        <v>107</v>
      </c>
      <c r="U21" s="9"/>
      <c r="W21" s="87">
        <f t="shared" si="13"/>
        <v>110.4</v>
      </c>
      <c r="X21" s="88">
        <f t="shared" si="14"/>
        <v>33</v>
      </c>
      <c r="Y21" s="93">
        <f t="shared" si="15"/>
        <v>304</v>
      </c>
      <c r="Z21" s="91">
        <f t="shared" si="16"/>
        <v>0</v>
      </c>
      <c r="AA21" s="91">
        <f t="shared" si="17"/>
        <v>0</v>
      </c>
      <c r="AB21" s="91">
        <f t="shared" si="18"/>
        <v>0</v>
      </c>
      <c r="AC21" s="4" t="str">
        <f t="shared" si="19"/>
        <v/>
      </c>
      <c r="AD21" s="92">
        <f t="shared" si="20"/>
        <v>0</v>
      </c>
      <c r="AE21" s="80" t="str">
        <f t="shared" si="21"/>
        <v>계</v>
      </c>
      <c r="AF21" s="80" t="str">
        <f t="shared" si="22"/>
        <v>3/2</v>
      </c>
      <c r="AH21" s="20" t="str">
        <f t="shared" si="1"/>
        <v>청주힐즈파크푸르지오</v>
      </c>
      <c r="AI21" s="88">
        <f t="shared" si="0"/>
        <v>33</v>
      </c>
      <c r="AJ21" s="80" t="str">
        <f t="shared" si="23"/>
        <v>A-</v>
      </c>
      <c r="AK21" s="80" t="s">
        <v>13</v>
      </c>
      <c r="AL21" s="80" t="s">
        <v>62</v>
      </c>
      <c r="AM21" s="80" t="s">
        <v>63</v>
      </c>
      <c r="AN21" s="80" t="str">
        <f t="shared" si="24"/>
        <v>C</v>
      </c>
      <c r="AO21" s="80" t="str">
        <f t="shared" si="25"/>
        <v/>
      </c>
      <c r="AP21" s="80" t="str">
        <f t="shared" si="26"/>
        <v/>
      </c>
      <c r="AQ21" s="80" t="str">
        <f t="shared" si="27"/>
        <v>O</v>
      </c>
      <c r="AR21" s="80" t="str">
        <f t="shared" si="28"/>
        <v>O</v>
      </c>
      <c r="AS21" s="80" t="s">
        <v>2</v>
      </c>
      <c r="AT21" s="80" t="str">
        <f t="shared" si="29"/>
        <v>O</v>
      </c>
      <c r="AU21" s="80" t="str">
        <f t="shared" si="30"/>
        <v>O</v>
      </c>
      <c r="AV21" s="80" t="str">
        <f t="shared" si="31"/>
        <v/>
      </c>
    </row>
    <row r="22" spans="1:48" x14ac:dyDescent="0.3">
      <c r="A22" s="9" t="s">
        <v>220</v>
      </c>
      <c r="B22" s="10" t="s">
        <v>891</v>
      </c>
      <c r="C22" s="89">
        <v>777</v>
      </c>
      <c r="D22" s="87">
        <v>110.6</v>
      </c>
      <c r="E22" s="88">
        <v>33</v>
      </c>
      <c r="F22" s="87">
        <v>85</v>
      </c>
      <c r="G22" s="17">
        <v>26</v>
      </c>
      <c r="H22" s="89">
        <v>98</v>
      </c>
      <c r="I22" s="90"/>
      <c r="J22" s="90"/>
      <c r="K22" s="90">
        <v>37000</v>
      </c>
      <c r="L22" s="90" t="s">
        <v>69</v>
      </c>
      <c r="M22" s="91">
        <f t="shared" si="9"/>
        <v>-37000</v>
      </c>
      <c r="N22" s="4" t="str">
        <f t="shared" si="10"/>
        <v/>
      </c>
      <c r="O22" s="92">
        <f t="shared" si="11"/>
        <v>0</v>
      </c>
      <c r="P22" s="92">
        <f t="shared" si="12"/>
        <v>1121.2121212121212</v>
      </c>
      <c r="Q22" s="80">
        <v>3</v>
      </c>
      <c r="R22" s="80">
        <v>2</v>
      </c>
      <c r="S22" s="80" t="s">
        <v>61</v>
      </c>
      <c r="T22" s="5" t="s">
        <v>226</v>
      </c>
      <c r="U22" s="9"/>
      <c r="W22" s="87">
        <f t="shared" si="13"/>
        <v>110.6</v>
      </c>
      <c r="X22" s="88">
        <f t="shared" si="14"/>
        <v>33</v>
      </c>
      <c r="Y22" s="93">
        <f t="shared" si="15"/>
        <v>98</v>
      </c>
      <c r="Z22" s="91">
        <f t="shared" si="16"/>
        <v>0</v>
      </c>
      <c r="AA22" s="91">
        <f t="shared" si="17"/>
        <v>37000</v>
      </c>
      <c r="AB22" s="91">
        <f t="shared" si="18"/>
        <v>-37000</v>
      </c>
      <c r="AC22" s="4" t="str">
        <f t="shared" si="19"/>
        <v/>
      </c>
      <c r="AD22" s="92">
        <f t="shared" si="20"/>
        <v>0</v>
      </c>
      <c r="AE22" s="80" t="str">
        <f t="shared" si="21"/>
        <v>계</v>
      </c>
      <c r="AF22" s="80" t="str">
        <f t="shared" si="22"/>
        <v>3/2</v>
      </c>
      <c r="AH22" s="20" t="str">
        <f t="shared" si="1"/>
        <v>청주힐즈파크푸르지오</v>
      </c>
      <c r="AI22" s="88">
        <f t="shared" si="0"/>
        <v>33</v>
      </c>
      <c r="AJ22" s="80" t="str">
        <f t="shared" si="23"/>
        <v>A-</v>
      </c>
      <c r="AK22" s="80" t="s">
        <v>13</v>
      </c>
      <c r="AL22" s="80" t="s">
        <v>62</v>
      </c>
      <c r="AM22" s="80" t="s">
        <v>63</v>
      </c>
      <c r="AN22" s="80" t="str">
        <f t="shared" si="24"/>
        <v>C</v>
      </c>
      <c r="AO22" s="80" t="str">
        <f t="shared" si="25"/>
        <v/>
      </c>
      <c r="AP22" s="80" t="str">
        <f t="shared" si="26"/>
        <v/>
      </c>
      <c r="AQ22" s="80" t="str">
        <f t="shared" si="27"/>
        <v>O</v>
      </c>
      <c r="AR22" s="80" t="str">
        <f t="shared" si="28"/>
        <v>O</v>
      </c>
      <c r="AS22" s="80" t="s">
        <v>2</v>
      </c>
      <c r="AT22" s="80" t="str">
        <f t="shared" si="29"/>
        <v>O</v>
      </c>
      <c r="AU22" s="80" t="str">
        <f t="shared" si="30"/>
        <v>O</v>
      </c>
      <c r="AV22" s="80" t="str">
        <f t="shared" si="31"/>
        <v/>
      </c>
    </row>
    <row r="23" spans="1:48" x14ac:dyDescent="0.3">
      <c r="A23" s="9" t="s">
        <v>220</v>
      </c>
      <c r="B23" s="10" t="s">
        <v>891</v>
      </c>
      <c r="C23" s="89">
        <v>777</v>
      </c>
      <c r="D23" s="87">
        <v>110.2</v>
      </c>
      <c r="E23" s="88">
        <v>33</v>
      </c>
      <c r="F23" s="87">
        <v>85</v>
      </c>
      <c r="G23" s="17">
        <v>26</v>
      </c>
      <c r="H23" s="89">
        <v>68</v>
      </c>
      <c r="I23" s="90"/>
      <c r="J23" s="90"/>
      <c r="K23" s="90"/>
      <c r="L23" s="90"/>
      <c r="M23" s="91">
        <f t="shared" si="9"/>
        <v>0</v>
      </c>
      <c r="N23" s="4" t="str">
        <f t="shared" si="10"/>
        <v/>
      </c>
      <c r="O23" s="92">
        <f t="shared" si="11"/>
        <v>0</v>
      </c>
      <c r="P23" s="92">
        <f t="shared" si="12"/>
        <v>0</v>
      </c>
      <c r="Q23" s="80">
        <v>3</v>
      </c>
      <c r="R23" s="80">
        <v>2</v>
      </c>
      <c r="S23" s="80" t="s">
        <v>61</v>
      </c>
      <c r="T23" s="5" t="s">
        <v>227</v>
      </c>
      <c r="U23" s="9"/>
      <c r="W23" s="87">
        <f t="shared" si="13"/>
        <v>110.2</v>
      </c>
      <c r="X23" s="88">
        <f t="shared" si="14"/>
        <v>33</v>
      </c>
      <c r="Y23" s="93">
        <f t="shared" si="15"/>
        <v>68</v>
      </c>
      <c r="Z23" s="91">
        <f t="shared" si="16"/>
        <v>0</v>
      </c>
      <c r="AA23" s="91">
        <f t="shared" si="17"/>
        <v>0</v>
      </c>
      <c r="AB23" s="91">
        <f t="shared" si="18"/>
        <v>0</v>
      </c>
      <c r="AC23" s="4" t="str">
        <f t="shared" si="19"/>
        <v/>
      </c>
      <c r="AD23" s="92">
        <f t="shared" si="20"/>
        <v>0</v>
      </c>
      <c r="AE23" s="80" t="str">
        <f t="shared" si="21"/>
        <v>계</v>
      </c>
      <c r="AF23" s="80" t="str">
        <f t="shared" si="22"/>
        <v>3/2</v>
      </c>
      <c r="AH23" s="20" t="str">
        <f t="shared" si="1"/>
        <v>청주힐즈파크푸르지오</v>
      </c>
      <c r="AI23" s="88">
        <f t="shared" si="0"/>
        <v>33</v>
      </c>
      <c r="AJ23" s="80" t="str">
        <f t="shared" si="23"/>
        <v>A-</v>
      </c>
      <c r="AK23" s="80" t="s">
        <v>13</v>
      </c>
      <c r="AL23" s="80" t="s">
        <v>62</v>
      </c>
      <c r="AM23" s="80" t="s">
        <v>63</v>
      </c>
      <c r="AN23" s="80" t="str">
        <f t="shared" si="24"/>
        <v>C</v>
      </c>
      <c r="AO23" s="80" t="str">
        <f t="shared" si="25"/>
        <v/>
      </c>
      <c r="AP23" s="80" t="str">
        <f t="shared" si="26"/>
        <v/>
      </c>
      <c r="AQ23" s="80" t="str">
        <f t="shared" si="27"/>
        <v>O</v>
      </c>
      <c r="AR23" s="80" t="str">
        <f t="shared" si="28"/>
        <v>O</v>
      </c>
      <c r="AS23" s="80" t="s">
        <v>2</v>
      </c>
      <c r="AT23" s="80" t="str">
        <f t="shared" si="29"/>
        <v>O</v>
      </c>
      <c r="AU23" s="80" t="str">
        <f t="shared" si="30"/>
        <v>O</v>
      </c>
      <c r="AV23" s="80" t="str">
        <f t="shared" si="31"/>
        <v/>
      </c>
    </row>
    <row r="24" spans="1:48" x14ac:dyDescent="0.3">
      <c r="A24" s="9" t="s">
        <v>220</v>
      </c>
      <c r="B24" s="10" t="s">
        <v>891</v>
      </c>
      <c r="C24" s="89">
        <v>777</v>
      </c>
      <c r="D24" s="87">
        <v>111.5</v>
      </c>
      <c r="E24" s="88">
        <v>34</v>
      </c>
      <c r="F24" s="87">
        <v>85</v>
      </c>
      <c r="G24" s="17">
        <v>26</v>
      </c>
      <c r="H24" s="89">
        <v>68</v>
      </c>
      <c r="I24" s="90"/>
      <c r="J24" s="90"/>
      <c r="K24" s="90"/>
      <c r="L24" s="90"/>
      <c r="M24" s="91">
        <f t="shared" si="9"/>
        <v>0</v>
      </c>
      <c r="N24" s="4" t="str">
        <f t="shared" si="10"/>
        <v/>
      </c>
      <c r="O24" s="92">
        <f t="shared" si="11"/>
        <v>0</v>
      </c>
      <c r="P24" s="92">
        <f t="shared" si="12"/>
        <v>0</v>
      </c>
      <c r="Q24" s="80">
        <v>3</v>
      </c>
      <c r="R24" s="80">
        <v>2</v>
      </c>
      <c r="S24" s="80" t="s">
        <v>61</v>
      </c>
      <c r="T24" s="5" t="s">
        <v>228</v>
      </c>
      <c r="U24" s="9"/>
      <c r="W24" s="87">
        <f t="shared" si="13"/>
        <v>111.5</v>
      </c>
      <c r="X24" s="88">
        <f t="shared" si="14"/>
        <v>34</v>
      </c>
      <c r="Y24" s="93">
        <f t="shared" si="15"/>
        <v>68</v>
      </c>
      <c r="Z24" s="91">
        <f t="shared" si="16"/>
        <v>0</v>
      </c>
      <c r="AA24" s="91">
        <f t="shared" si="17"/>
        <v>0</v>
      </c>
      <c r="AB24" s="91">
        <f t="shared" si="18"/>
        <v>0</v>
      </c>
      <c r="AC24" s="4" t="str">
        <f t="shared" si="19"/>
        <v/>
      </c>
      <c r="AD24" s="92">
        <f t="shared" si="20"/>
        <v>0</v>
      </c>
      <c r="AE24" s="80" t="str">
        <f t="shared" si="21"/>
        <v>계</v>
      </c>
      <c r="AF24" s="80" t="str">
        <f t="shared" si="22"/>
        <v>3/2</v>
      </c>
      <c r="AH24" s="20" t="str">
        <f t="shared" si="1"/>
        <v>청주힐즈파크푸르지오</v>
      </c>
      <c r="AI24" s="88">
        <f t="shared" si="0"/>
        <v>34</v>
      </c>
      <c r="AJ24" s="80" t="str">
        <f t="shared" si="23"/>
        <v>A-</v>
      </c>
      <c r="AK24" s="80" t="s">
        <v>13</v>
      </c>
      <c r="AL24" s="80" t="s">
        <v>62</v>
      </c>
      <c r="AM24" s="80" t="s">
        <v>63</v>
      </c>
      <c r="AN24" s="80" t="str">
        <f t="shared" si="24"/>
        <v>C</v>
      </c>
      <c r="AO24" s="80" t="str">
        <f t="shared" si="25"/>
        <v/>
      </c>
      <c r="AP24" s="80" t="str">
        <f t="shared" si="26"/>
        <v/>
      </c>
      <c r="AQ24" s="80" t="str">
        <f t="shared" si="27"/>
        <v>O</v>
      </c>
      <c r="AR24" s="80" t="str">
        <f t="shared" si="28"/>
        <v>O</v>
      </c>
      <c r="AS24" s="80" t="s">
        <v>2</v>
      </c>
      <c r="AT24" s="80" t="str">
        <f t="shared" si="29"/>
        <v>O</v>
      </c>
      <c r="AU24" s="80" t="str">
        <f t="shared" si="30"/>
        <v>O</v>
      </c>
      <c r="AV24" s="80" t="str">
        <f t="shared" si="31"/>
        <v/>
      </c>
    </row>
    <row r="25" spans="1:48" x14ac:dyDescent="0.3">
      <c r="A25" s="9" t="s">
        <v>220</v>
      </c>
      <c r="B25" s="10" t="s">
        <v>891</v>
      </c>
      <c r="C25" s="89">
        <v>777</v>
      </c>
      <c r="D25" s="87">
        <v>132</v>
      </c>
      <c r="E25" s="88">
        <v>40</v>
      </c>
      <c r="F25" s="87">
        <v>101.9</v>
      </c>
      <c r="G25" s="17">
        <v>31</v>
      </c>
      <c r="H25" s="89">
        <v>46</v>
      </c>
      <c r="I25" s="90"/>
      <c r="J25" s="90"/>
      <c r="K25" s="90"/>
      <c r="L25" s="90"/>
      <c r="M25" s="91">
        <f t="shared" si="9"/>
        <v>0</v>
      </c>
      <c r="N25" s="4" t="str">
        <f t="shared" si="10"/>
        <v/>
      </c>
      <c r="O25" s="92">
        <f t="shared" si="11"/>
        <v>0</v>
      </c>
      <c r="P25" s="92">
        <f t="shared" si="12"/>
        <v>0</v>
      </c>
      <c r="Q25" s="80">
        <v>4</v>
      </c>
      <c r="R25" s="80">
        <v>2</v>
      </c>
      <c r="S25" s="80" t="s">
        <v>61</v>
      </c>
      <c r="T25" s="5">
        <v>132</v>
      </c>
      <c r="U25" s="9"/>
      <c r="W25" s="87">
        <f t="shared" si="13"/>
        <v>132</v>
      </c>
      <c r="X25" s="88">
        <f t="shared" si="14"/>
        <v>40</v>
      </c>
      <c r="Y25" s="93">
        <f t="shared" si="15"/>
        <v>46</v>
      </c>
      <c r="Z25" s="91">
        <f t="shared" si="16"/>
        <v>0</v>
      </c>
      <c r="AA25" s="91">
        <f t="shared" si="17"/>
        <v>0</v>
      </c>
      <c r="AB25" s="91">
        <f t="shared" si="18"/>
        <v>0</v>
      </c>
      <c r="AC25" s="4" t="str">
        <f t="shared" si="19"/>
        <v/>
      </c>
      <c r="AD25" s="92">
        <f t="shared" si="20"/>
        <v>0</v>
      </c>
      <c r="AE25" s="80" t="str">
        <f t="shared" si="21"/>
        <v>계</v>
      </c>
      <c r="AF25" s="80" t="str">
        <f t="shared" si="22"/>
        <v>4/2</v>
      </c>
      <c r="AH25" s="20" t="str">
        <f t="shared" si="1"/>
        <v>청주힐즈파크푸르지오</v>
      </c>
      <c r="AI25" s="88">
        <f t="shared" si="0"/>
        <v>40</v>
      </c>
      <c r="AJ25" s="80" t="str">
        <f t="shared" si="23"/>
        <v>A-</v>
      </c>
      <c r="AK25" s="80" t="s">
        <v>13</v>
      </c>
      <c r="AL25" s="80" t="s">
        <v>62</v>
      </c>
      <c r="AM25" s="80" t="s">
        <v>63</v>
      </c>
      <c r="AN25" s="80" t="str">
        <f t="shared" si="24"/>
        <v>C</v>
      </c>
      <c r="AO25" s="80" t="str">
        <f t="shared" si="25"/>
        <v/>
      </c>
      <c r="AP25" s="80" t="str">
        <f t="shared" si="26"/>
        <v/>
      </c>
      <c r="AQ25" s="80" t="str">
        <f t="shared" si="27"/>
        <v>O</v>
      </c>
      <c r="AR25" s="80" t="str">
        <f t="shared" si="28"/>
        <v>O</v>
      </c>
      <c r="AS25" s="80" t="s">
        <v>2</v>
      </c>
      <c r="AT25" s="80" t="str">
        <f t="shared" si="29"/>
        <v>X</v>
      </c>
      <c r="AU25" s="80" t="str">
        <f t="shared" si="30"/>
        <v>O</v>
      </c>
      <c r="AV25" s="80" t="str">
        <f t="shared" si="31"/>
        <v/>
      </c>
    </row>
    <row r="26" spans="1:48" x14ac:dyDescent="0.3">
      <c r="A26" s="9" t="s">
        <v>220</v>
      </c>
      <c r="B26" s="10" t="s">
        <v>891</v>
      </c>
      <c r="C26" s="89">
        <v>777</v>
      </c>
      <c r="D26" s="87">
        <v>148</v>
      </c>
      <c r="E26" s="88">
        <v>45</v>
      </c>
      <c r="F26" s="87">
        <v>118.8</v>
      </c>
      <c r="G26" s="17">
        <v>36</v>
      </c>
      <c r="H26" s="89">
        <v>2</v>
      </c>
      <c r="I26" s="90"/>
      <c r="J26" s="90"/>
      <c r="K26" s="90"/>
      <c r="L26" s="90"/>
      <c r="M26" s="91">
        <f t="shared" si="9"/>
        <v>0</v>
      </c>
      <c r="N26" s="4" t="str">
        <f t="shared" si="10"/>
        <v/>
      </c>
      <c r="O26" s="92">
        <f t="shared" si="11"/>
        <v>0</v>
      </c>
      <c r="P26" s="92">
        <f t="shared" si="12"/>
        <v>0</v>
      </c>
      <c r="Q26" s="80">
        <v>4</v>
      </c>
      <c r="R26" s="80">
        <v>2</v>
      </c>
      <c r="S26" s="80" t="s">
        <v>61</v>
      </c>
      <c r="T26" s="5">
        <v>147</v>
      </c>
      <c r="U26" s="9"/>
      <c r="W26" s="87">
        <f t="shared" si="13"/>
        <v>148</v>
      </c>
      <c r="X26" s="88">
        <f t="shared" si="14"/>
        <v>45</v>
      </c>
      <c r="Y26" s="93">
        <f t="shared" si="15"/>
        <v>2</v>
      </c>
      <c r="Z26" s="91">
        <f t="shared" si="16"/>
        <v>0</v>
      </c>
      <c r="AA26" s="91">
        <f t="shared" si="17"/>
        <v>0</v>
      </c>
      <c r="AB26" s="91">
        <f t="shared" si="18"/>
        <v>0</v>
      </c>
      <c r="AC26" s="4" t="str">
        <f t="shared" si="19"/>
        <v/>
      </c>
      <c r="AD26" s="92">
        <f t="shared" si="20"/>
        <v>0</v>
      </c>
      <c r="AE26" s="80" t="str">
        <f t="shared" si="21"/>
        <v>계</v>
      </c>
      <c r="AF26" s="80" t="str">
        <f t="shared" si="22"/>
        <v>4/2</v>
      </c>
      <c r="AH26" s="20" t="str">
        <f t="shared" si="1"/>
        <v>청주힐즈파크푸르지오</v>
      </c>
      <c r="AI26" s="88">
        <f t="shared" si="0"/>
        <v>45</v>
      </c>
      <c r="AJ26" s="80" t="str">
        <f t="shared" si="23"/>
        <v>A-</v>
      </c>
      <c r="AK26" s="80" t="s">
        <v>13</v>
      </c>
      <c r="AL26" s="80" t="s">
        <v>62</v>
      </c>
      <c r="AM26" s="80" t="s">
        <v>63</v>
      </c>
      <c r="AN26" s="80" t="str">
        <f t="shared" si="24"/>
        <v>C</v>
      </c>
      <c r="AO26" s="80" t="str">
        <f t="shared" si="25"/>
        <v/>
      </c>
      <c r="AP26" s="80" t="str">
        <f t="shared" si="26"/>
        <v/>
      </c>
      <c r="AQ26" s="80" t="str">
        <f t="shared" si="27"/>
        <v>O</v>
      </c>
      <c r="AR26" s="80" t="str">
        <f t="shared" si="28"/>
        <v>O</v>
      </c>
      <c r="AS26" s="80" t="s">
        <v>2</v>
      </c>
      <c r="AT26" s="80" t="str">
        <f t="shared" si="29"/>
        <v>X</v>
      </c>
      <c r="AU26" s="80" t="str">
        <f t="shared" si="30"/>
        <v>O</v>
      </c>
      <c r="AV26" s="80" t="str">
        <f t="shared" si="31"/>
        <v/>
      </c>
    </row>
    <row r="27" spans="1:48" x14ac:dyDescent="0.3">
      <c r="A27" s="9" t="s">
        <v>220</v>
      </c>
      <c r="B27" s="10" t="s">
        <v>891</v>
      </c>
      <c r="C27" s="89">
        <v>777</v>
      </c>
      <c r="D27" s="87">
        <v>151.9</v>
      </c>
      <c r="E27" s="88">
        <v>46</v>
      </c>
      <c r="F27" s="87">
        <v>114.2</v>
      </c>
      <c r="G27" s="17">
        <v>35</v>
      </c>
      <c r="H27" s="89">
        <v>1</v>
      </c>
      <c r="I27" s="90"/>
      <c r="J27" s="90"/>
      <c r="K27" s="90"/>
      <c r="L27" s="90"/>
      <c r="M27" s="91">
        <f t="shared" si="9"/>
        <v>0</v>
      </c>
      <c r="N27" s="4" t="str">
        <f t="shared" si="10"/>
        <v/>
      </c>
      <c r="O27" s="92">
        <f t="shared" si="11"/>
        <v>0</v>
      </c>
      <c r="P27" s="92">
        <f t="shared" si="12"/>
        <v>0</v>
      </c>
      <c r="Q27" s="80">
        <v>3</v>
      </c>
      <c r="R27" s="80">
        <v>2</v>
      </c>
      <c r="S27" s="80" t="s">
        <v>61</v>
      </c>
      <c r="T27" s="5">
        <v>151</v>
      </c>
      <c r="U27" s="9"/>
      <c r="W27" s="87">
        <f t="shared" si="13"/>
        <v>151.9</v>
      </c>
      <c r="X27" s="88">
        <f t="shared" si="14"/>
        <v>46</v>
      </c>
      <c r="Y27" s="93">
        <f t="shared" si="15"/>
        <v>1</v>
      </c>
      <c r="Z27" s="91">
        <f t="shared" si="16"/>
        <v>0</v>
      </c>
      <c r="AA27" s="91">
        <f t="shared" si="17"/>
        <v>0</v>
      </c>
      <c r="AB27" s="91">
        <f t="shared" si="18"/>
        <v>0</v>
      </c>
      <c r="AC27" s="4" t="str">
        <f t="shared" si="19"/>
        <v/>
      </c>
      <c r="AD27" s="92">
        <f t="shared" si="20"/>
        <v>0</v>
      </c>
      <c r="AE27" s="80" t="str">
        <f t="shared" si="21"/>
        <v>계</v>
      </c>
      <c r="AF27" s="80" t="str">
        <f t="shared" si="22"/>
        <v>3/2</v>
      </c>
      <c r="AH27" s="20" t="str">
        <f t="shared" si="1"/>
        <v>청주힐즈파크푸르지오</v>
      </c>
      <c r="AI27" s="88">
        <f t="shared" si="0"/>
        <v>46</v>
      </c>
      <c r="AJ27" s="80" t="str">
        <f t="shared" si="23"/>
        <v>A-</v>
      </c>
      <c r="AK27" s="80" t="s">
        <v>13</v>
      </c>
      <c r="AL27" s="80" t="s">
        <v>62</v>
      </c>
      <c r="AM27" s="80" t="s">
        <v>63</v>
      </c>
      <c r="AN27" s="80" t="str">
        <f t="shared" si="24"/>
        <v>C</v>
      </c>
      <c r="AO27" s="80" t="str">
        <f t="shared" si="25"/>
        <v/>
      </c>
      <c r="AP27" s="80" t="str">
        <f t="shared" si="26"/>
        <v/>
      </c>
      <c r="AQ27" s="80" t="str">
        <f t="shared" si="27"/>
        <v>O</v>
      </c>
      <c r="AR27" s="80" t="str">
        <f t="shared" si="28"/>
        <v>O</v>
      </c>
      <c r="AS27" s="80" t="s">
        <v>2</v>
      </c>
      <c r="AT27" s="80" t="str">
        <f t="shared" si="29"/>
        <v>X</v>
      </c>
      <c r="AU27" s="80" t="str">
        <f t="shared" si="30"/>
        <v>O</v>
      </c>
      <c r="AV27" s="80" t="str">
        <f t="shared" si="31"/>
        <v/>
      </c>
    </row>
    <row r="28" spans="1:48" x14ac:dyDescent="0.3">
      <c r="A28" s="9" t="s">
        <v>220</v>
      </c>
      <c r="B28" s="10" t="s">
        <v>891</v>
      </c>
      <c r="C28" s="89">
        <v>777</v>
      </c>
      <c r="D28" s="87">
        <v>161.19999999999999</v>
      </c>
      <c r="E28" s="88">
        <v>49</v>
      </c>
      <c r="F28" s="87">
        <v>121.4</v>
      </c>
      <c r="G28" s="17">
        <v>37</v>
      </c>
      <c r="H28" s="89">
        <v>1</v>
      </c>
      <c r="I28" s="90"/>
      <c r="J28" s="90"/>
      <c r="K28" s="90"/>
      <c r="L28" s="90"/>
      <c r="M28" s="91">
        <f t="shared" si="9"/>
        <v>0</v>
      </c>
      <c r="N28" s="4" t="str">
        <f t="shared" si="10"/>
        <v/>
      </c>
      <c r="O28" s="92">
        <f t="shared" si="11"/>
        <v>0</v>
      </c>
      <c r="P28" s="92">
        <f t="shared" si="12"/>
        <v>0</v>
      </c>
      <c r="Q28" s="80">
        <v>3</v>
      </c>
      <c r="R28" s="80">
        <v>2</v>
      </c>
      <c r="S28" s="80" t="s">
        <v>61</v>
      </c>
      <c r="T28" s="5">
        <v>161</v>
      </c>
      <c r="U28" s="9"/>
      <c r="W28" s="87">
        <f t="shared" si="13"/>
        <v>161.19999999999999</v>
      </c>
      <c r="X28" s="88">
        <f t="shared" si="14"/>
        <v>49</v>
      </c>
      <c r="Y28" s="93">
        <f t="shared" si="15"/>
        <v>1</v>
      </c>
      <c r="Z28" s="91">
        <f t="shared" si="16"/>
        <v>0</v>
      </c>
      <c r="AA28" s="91">
        <f t="shared" si="17"/>
        <v>0</v>
      </c>
      <c r="AB28" s="91">
        <f t="shared" si="18"/>
        <v>0</v>
      </c>
      <c r="AC28" s="4" t="str">
        <f t="shared" si="19"/>
        <v/>
      </c>
      <c r="AD28" s="92">
        <f t="shared" si="20"/>
        <v>0</v>
      </c>
      <c r="AE28" s="80" t="str">
        <f t="shared" si="21"/>
        <v>계</v>
      </c>
      <c r="AF28" s="80" t="str">
        <f t="shared" si="22"/>
        <v>3/2</v>
      </c>
      <c r="AH28" s="20" t="str">
        <f t="shared" si="1"/>
        <v>청주힐즈파크푸르지오</v>
      </c>
      <c r="AI28" s="88">
        <f t="shared" si="0"/>
        <v>49</v>
      </c>
      <c r="AJ28" s="80" t="str">
        <f t="shared" si="23"/>
        <v>A-</v>
      </c>
      <c r="AK28" s="80" t="s">
        <v>13</v>
      </c>
      <c r="AL28" s="80" t="s">
        <v>62</v>
      </c>
      <c r="AM28" s="80" t="s">
        <v>63</v>
      </c>
      <c r="AN28" s="80" t="str">
        <f t="shared" si="24"/>
        <v>C</v>
      </c>
      <c r="AO28" s="80" t="str">
        <f t="shared" si="25"/>
        <v/>
      </c>
      <c r="AP28" s="80" t="str">
        <f t="shared" si="26"/>
        <v/>
      </c>
      <c r="AQ28" s="80" t="str">
        <f t="shared" si="27"/>
        <v>O</v>
      </c>
      <c r="AR28" s="80" t="str">
        <f t="shared" si="28"/>
        <v>O</v>
      </c>
      <c r="AS28" s="80" t="s">
        <v>2</v>
      </c>
      <c r="AT28" s="80" t="str">
        <f t="shared" si="29"/>
        <v>X</v>
      </c>
      <c r="AU28" s="80" t="str">
        <f t="shared" si="30"/>
        <v>O</v>
      </c>
      <c r="AV28" s="80" t="str">
        <f t="shared" si="31"/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내덕동 영우예인촌('97.04.,280^)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251</v>
      </c>
      <c r="B30" s="10" t="s">
        <v>892</v>
      </c>
      <c r="C30" s="89">
        <v>280</v>
      </c>
      <c r="D30" s="87">
        <v>41</v>
      </c>
      <c r="E30" s="88">
        <v>12</v>
      </c>
      <c r="F30" s="87">
        <v>30.3</v>
      </c>
      <c r="G30" s="17">
        <v>9</v>
      </c>
      <c r="H30" s="89">
        <v>250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2</v>
      </c>
      <c r="R30" s="80">
        <v>1</v>
      </c>
      <c r="S30" s="80" t="s">
        <v>61</v>
      </c>
      <c r="T30" s="5">
        <v>40</v>
      </c>
      <c r="U30" s="9"/>
      <c r="W30" s="87">
        <f>D30</f>
        <v>41</v>
      </c>
      <c r="X30" s="88">
        <f>E30</f>
        <v>12</v>
      </c>
      <c r="Y30" s="93">
        <f>H30</f>
        <v>250</v>
      </c>
      <c r="Z30" s="91">
        <f>I30</f>
        <v>0</v>
      </c>
      <c r="AA30" s="91">
        <f>K30</f>
        <v>0</v>
      </c>
      <c r="AB30" s="91">
        <f t="shared" ref="AB30:AD31" si="32">M30</f>
        <v>0</v>
      </c>
      <c r="AC30" s="4" t="str">
        <f t="shared" si="32"/>
        <v/>
      </c>
      <c r="AD30" s="92">
        <f t="shared" si="32"/>
        <v>0</v>
      </c>
      <c r="AE30" s="80" t="str">
        <f>S30</f>
        <v>계</v>
      </c>
      <c r="AF30" s="80" t="str">
        <f>Q30&amp;"/"&amp;R30</f>
        <v>2/1</v>
      </c>
      <c r="AH30" s="20" t="str">
        <f t="shared" si="1"/>
        <v>영우예인촌</v>
      </c>
      <c r="AI30" s="88">
        <f t="shared" si="0"/>
        <v>12</v>
      </c>
      <c r="AJ30" s="80" t="str">
        <f>IF(AI30="","",$AJ$2)</f>
        <v>A-</v>
      </c>
      <c r="AK30" s="80" t="s">
        <v>13</v>
      </c>
      <c r="AL30" s="80" t="s">
        <v>62</v>
      </c>
      <c r="AM30" s="80" t="s">
        <v>63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X</v>
      </c>
      <c r="AU30" s="80" t="str">
        <f>IF(C30="","",IF(C30&gt;=$AU$1,"O","X"))</f>
        <v>X</v>
      </c>
      <c r="AV30" s="80" t="str">
        <f>IF(AO30="","",IF(AND(AO30="O",AP30="O",AR30="O",AT30="O",AU30="O"),"후보","X"))</f>
        <v/>
      </c>
    </row>
    <row r="31" spans="1:48" x14ac:dyDescent="0.3">
      <c r="A31" s="9" t="s">
        <v>251</v>
      </c>
      <c r="B31" s="10" t="s">
        <v>892</v>
      </c>
      <c r="C31" s="89">
        <v>280</v>
      </c>
      <c r="D31" s="87">
        <v>57.1</v>
      </c>
      <c r="E31" s="88">
        <v>17</v>
      </c>
      <c r="F31" s="87">
        <v>43.3</v>
      </c>
      <c r="G31" s="17">
        <v>13</v>
      </c>
      <c r="H31" s="89">
        <v>30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2</v>
      </c>
      <c r="R31" s="80">
        <v>1</v>
      </c>
      <c r="S31" s="80" t="s">
        <v>61</v>
      </c>
      <c r="T31" s="5">
        <v>57</v>
      </c>
      <c r="U31" s="9"/>
      <c r="W31" s="87">
        <f>D31</f>
        <v>57.1</v>
      </c>
      <c r="X31" s="88">
        <f>E31</f>
        <v>17</v>
      </c>
      <c r="Y31" s="93">
        <f>H31</f>
        <v>30</v>
      </c>
      <c r="Z31" s="91">
        <f>I31</f>
        <v>0</v>
      </c>
      <c r="AA31" s="91">
        <f>K31</f>
        <v>0</v>
      </c>
      <c r="AB31" s="91">
        <f t="shared" si="32"/>
        <v>0</v>
      </c>
      <c r="AC31" s="4" t="str">
        <f t="shared" si="32"/>
        <v/>
      </c>
      <c r="AD31" s="92">
        <f t="shared" si="32"/>
        <v>0</v>
      </c>
      <c r="AE31" s="80" t="str">
        <f>S31</f>
        <v>계</v>
      </c>
      <c r="AF31" s="80" t="str">
        <f>Q31&amp;"/"&amp;R31</f>
        <v>2/1</v>
      </c>
      <c r="AH31" s="20" t="str">
        <f t="shared" si="1"/>
        <v>영우예인촌</v>
      </c>
      <c r="AI31" s="88">
        <f t="shared" si="0"/>
        <v>17</v>
      </c>
      <c r="AJ31" s="80" t="str">
        <f>IF(AI31="","",$AJ$2)</f>
        <v>A-</v>
      </c>
      <c r="AK31" s="80" t="s">
        <v>13</v>
      </c>
      <c r="AL31" s="80" t="s">
        <v>62</v>
      </c>
      <c r="AM31" s="80" t="s">
        <v>63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X</v>
      </c>
      <c r="AV31" s="80" t="str">
        <f>IF(AO31="","",IF(AND(AO31="O",AP31="O",AR31="O",AT31="O",AU31="O"),"후보","X"))</f>
        <v/>
      </c>
    </row>
    <row r="32" spans="1:48" x14ac:dyDescent="0.3">
      <c r="A32" s="9"/>
      <c r="B32" s="80"/>
      <c r="C32" s="6"/>
      <c r="D32" s="9"/>
      <c r="E32" s="14"/>
      <c r="F32" s="87"/>
      <c r="G32" s="9"/>
      <c r="H32" s="9"/>
      <c r="I32" s="9"/>
      <c r="J32" s="9"/>
      <c r="K32" s="9"/>
      <c r="L32" s="9"/>
      <c r="M32" s="9"/>
      <c r="N32" s="9"/>
      <c r="O32" s="92"/>
      <c r="P32" s="92"/>
      <c r="Q32" s="88"/>
      <c r="R32" s="88"/>
      <c r="S32" s="9"/>
      <c r="T32" s="47"/>
      <c r="U32" s="9"/>
      <c r="W32" s="68" t="str">
        <f>$A$4&amp;" "&amp;A33&amp;"("&amp;B33&amp;","&amp;C33&amp;"^)"</f>
        <v>내덕동 롯데삼성('86.11.,252^)</v>
      </c>
      <c r="X32" s="69"/>
      <c r="Y32" s="69"/>
      <c r="Z32" s="69"/>
      <c r="AA32" s="69"/>
      <c r="AB32" s="69"/>
      <c r="AC32" s="69"/>
      <c r="AD32" s="69"/>
      <c r="AE32" s="69"/>
      <c r="AF32" s="70"/>
      <c r="AH32" s="20" t="str">
        <f t="shared" si="1"/>
        <v/>
      </c>
      <c r="AI32" s="112" t="str">
        <f t="shared" si="0"/>
        <v/>
      </c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</row>
    <row r="33" spans="1:48" x14ac:dyDescent="0.3">
      <c r="A33" s="9" t="s">
        <v>256</v>
      </c>
      <c r="B33" s="10" t="s">
        <v>893</v>
      </c>
      <c r="C33" s="89">
        <v>252</v>
      </c>
      <c r="D33" s="87">
        <v>55.1</v>
      </c>
      <c r="E33" s="88">
        <v>17</v>
      </c>
      <c r="F33" s="87">
        <v>43.9</v>
      </c>
      <c r="G33" s="17">
        <v>13</v>
      </c>
      <c r="H33" s="89">
        <v>156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1</v>
      </c>
      <c r="S33" s="80" t="s">
        <v>61</v>
      </c>
      <c r="T33" s="5">
        <v>55</v>
      </c>
      <c r="U33" s="9"/>
      <c r="W33" s="87">
        <f>D33</f>
        <v>55.1</v>
      </c>
      <c r="X33" s="88">
        <f>E33</f>
        <v>17</v>
      </c>
      <c r="Y33" s="93">
        <f>H33</f>
        <v>156</v>
      </c>
      <c r="Z33" s="91">
        <f>I33</f>
        <v>0</v>
      </c>
      <c r="AA33" s="91">
        <f>K33</f>
        <v>0</v>
      </c>
      <c r="AB33" s="91">
        <f t="shared" ref="AB33:AD34" si="33">M33</f>
        <v>0</v>
      </c>
      <c r="AC33" s="4" t="str">
        <f t="shared" si="33"/>
        <v/>
      </c>
      <c r="AD33" s="92">
        <f t="shared" si="33"/>
        <v>0</v>
      </c>
      <c r="AE33" s="80" t="str">
        <f>S33</f>
        <v>계</v>
      </c>
      <c r="AF33" s="80" t="str">
        <f>Q33&amp;"/"&amp;R33</f>
        <v>3/1</v>
      </c>
      <c r="AH33" s="20" t="str">
        <f t="shared" si="1"/>
        <v>롯데삼성</v>
      </c>
      <c r="AI33" s="88">
        <f t="shared" si="0"/>
        <v>17</v>
      </c>
      <c r="AJ33" s="80" t="str">
        <f>IF(AI33="","",$AJ$2)</f>
        <v>A-</v>
      </c>
      <c r="AK33" s="80" t="s">
        <v>13</v>
      </c>
      <c r="AL33" s="80" t="s">
        <v>62</v>
      </c>
      <c r="AM33" s="80" t="s">
        <v>63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  <row r="34" spans="1:48" x14ac:dyDescent="0.3">
      <c r="A34" s="9" t="s">
        <v>256</v>
      </c>
      <c r="B34" s="10" t="s">
        <v>893</v>
      </c>
      <c r="C34" s="89">
        <v>252</v>
      </c>
      <c r="D34" s="87">
        <v>68.400000000000006</v>
      </c>
      <c r="E34" s="88">
        <v>21</v>
      </c>
      <c r="F34" s="87">
        <v>55.4</v>
      </c>
      <c r="G34" s="17">
        <v>17</v>
      </c>
      <c r="H34" s="89">
        <v>96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80">
        <v>3</v>
      </c>
      <c r="R34" s="80">
        <v>1</v>
      </c>
      <c r="S34" s="80" t="s">
        <v>61</v>
      </c>
      <c r="T34" s="5">
        <v>68</v>
      </c>
      <c r="U34" s="9"/>
      <c r="W34" s="87">
        <f>D34</f>
        <v>68.400000000000006</v>
      </c>
      <c r="X34" s="88">
        <f>E34</f>
        <v>21</v>
      </c>
      <c r="Y34" s="93">
        <f>H34</f>
        <v>96</v>
      </c>
      <c r="Z34" s="91">
        <f>I34</f>
        <v>0</v>
      </c>
      <c r="AA34" s="91">
        <f>K34</f>
        <v>0</v>
      </c>
      <c r="AB34" s="91">
        <f t="shared" si="33"/>
        <v>0</v>
      </c>
      <c r="AC34" s="4" t="str">
        <f t="shared" si="33"/>
        <v/>
      </c>
      <c r="AD34" s="92">
        <f t="shared" si="33"/>
        <v>0</v>
      </c>
      <c r="AE34" s="80" t="str">
        <f>S34</f>
        <v>계</v>
      </c>
      <c r="AF34" s="80" t="str">
        <f>Q34&amp;"/"&amp;R34</f>
        <v>3/1</v>
      </c>
      <c r="AH34" s="20" t="str">
        <f t="shared" si="1"/>
        <v>롯데삼성</v>
      </c>
      <c r="AI34" s="88">
        <f t="shared" si="0"/>
        <v>21</v>
      </c>
      <c r="AJ34" s="80" t="str">
        <f>IF(AI34="","",$AJ$2)</f>
        <v>A-</v>
      </c>
      <c r="AK34" s="80" t="s">
        <v>13</v>
      </c>
      <c r="AL34" s="80" t="s">
        <v>62</v>
      </c>
      <c r="AM34" s="80" t="s">
        <v>63</v>
      </c>
      <c r="AN34" s="80" t="str">
        <f>IF(AI34="","",$AN$2)</f>
        <v>C</v>
      </c>
      <c r="AO34" s="80" t="str">
        <f>IF(N34="","",IF(N34&gt;=$AO$1/100,"O","X"))</f>
        <v/>
      </c>
      <c r="AP34" s="80" t="str">
        <f>IF(I34="","",IF(I34&lt;=$AP$1,"O","X"))</f>
        <v/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X</v>
      </c>
      <c r="AV34" s="80" t="str">
        <f>IF(AO34="","",IF(AND(AO34="O",AP34="O",AR34="O",AT34="O",AU34="O"),"후보","X"))</f>
        <v/>
      </c>
    </row>
    <row r="35" spans="1:48" x14ac:dyDescent="0.3">
      <c r="A35" s="9"/>
      <c r="B35" s="80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8" t="str">
        <f>$A$4&amp;" "&amp;A36&amp;"("&amp;B36&amp;","&amp;C36&amp;"^)"</f>
        <v>내덕동 시영('82.06.,300^)</v>
      </c>
      <c r="X35" s="69"/>
      <c r="Y35" s="69"/>
      <c r="Z35" s="69"/>
      <c r="AA35" s="69"/>
      <c r="AB35" s="69"/>
      <c r="AC35" s="69"/>
      <c r="AD35" s="69"/>
      <c r="AE35" s="69"/>
      <c r="AF35" s="70"/>
      <c r="AH35" s="20" t="str">
        <f t="shared" si="1"/>
        <v/>
      </c>
      <c r="AI35" s="112" t="str">
        <f t="shared" si="0"/>
        <v/>
      </c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</row>
    <row r="36" spans="1:48" x14ac:dyDescent="0.3">
      <c r="A36" s="9" t="s">
        <v>261</v>
      </c>
      <c r="B36" s="10" t="s">
        <v>894</v>
      </c>
      <c r="C36" s="89">
        <v>300</v>
      </c>
      <c r="D36" s="87">
        <v>51.8</v>
      </c>
      <c r="E36" s="88">
        <v>16</v>
      </c>
      <c r="F36" s="87">
        <v>45.1</v>
      </c>
      <c r="G36" s="17">
        <v>14</v>
      </c>
      <c r="H36" s="89">
        <v>60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2</v>
      </c>
      <c r="R36" s="80">
        <v>1</v>
      </c>
      <c r="S36" s="80" t="s">
        <v>61</v>
      </c>
      <c r="T36" s="5" t="s">
        <v>116</v>
      </c>
      <c r="U36" s="9"/>
      <c r="W36" s="87">
        <f t="shared" ref="W36:X39" si="34">D36</f>
        <v>51.8</v>
      </c>
      <c r="X36" s="88">
        <f t="shared" si="34"/>
        <v>16</v>
      </c>
      <c r="Y36" s="93">
        <f t="shared" ref="Y36:Z39" si="35">H36</f>
        <v>60</v>
      </c>
      <c r="Z36" s="91">
        <f t="shared" si="35"/>
        <v>0</v>
      </c>
      <c r="AA36" s="91">
        <f>K36</f>
        <v>0</v>
      </c>
      <c r="AB36" s="91">
        <f t="shared" ref="AB36:AD39" si="36">M36</f>
        <v>0</v>
      </c>
      <c r="AC36" s="4" t="str">
        <f t="shared" si="36"/>
        <v/>
      </c>
      <c r="AD36" s="92">
        <f t="shared" si="36"/>
        <v>0</v>
      </c>
      <c r="AE36" s="80" t="str">
        <f>S36</f>
        <v>계</v>
      </c>
      <c r="AF36" s="80" t="str">
        <f>Q36&amp;"/"&amp;R36</f>
        <v>2/1</v>
      </c>
      <c r="AH36" s="20" t="str">
        <f t="shared" si="1"/>
        <v>시영</v>
      </c>
      <c r="AI36" s="88">
        <f t="shared" si="0"/>
        <v>16</v>
      </c>
      <c r="AJ36" s="80" t="str">
        <f>IF(AI36="","",$AJ$2)</f>
        <v>A-</v>
      </c>
      <c r="AK36" s="80" t="s">
        <v>13</v>
      </c>
      <c r="AL36" s="80" t="s">
        <v>62</v>
      </c>
      <c r="AM36" s="80" t="s">
        <v>63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x14ac:dyDescent="0.3">
      <c r="A37" s="9" t="s">
        <v>261</v>
      </c>
      <c r="B37" s="10" t="s">
        <v>894</v>
      </c>
      <c r="C37" s="89">
        <v>300</v>
      </c>
      <c r="D37" s="87">
        <v>53</v>
      </c>
      <c r="E37" s="88">
        <v>16</v>
      </c>
      <c r="F37" s="87">
        <v>45.5</v>
      </c>
      <c r="G37" s="17">
        <v>14</v>
      </c>
      <c r="H37" s="89">
        <v>50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2</v>
      </c>
      <c r="R37" s="80">
        <v>1</v>
      </c>
      <c r="S37" s="80" t="s">
        <v>61</v>
      </c>
      <c r="T37" s="5" t="s">
        <v>266</v>
      </c>
      <c r="U37" s="9"/>
      <c r="W37" s="87">
        <f t="shared" si="34"/>
        <v>53</v>
      </c>
      <c r="X37" s="88">
        <f t="shared" si="34"/>
        <v>16</v>
      </c>
      <c r="Y37" s="93">
        <f t="shared" si="35"/>
        <v>50</v>
      </c>
      <c r="Z37" s="91">
        <f t="shared" si="35"/>
        <v>0</v>
      </c>
      <c r="AA37" s="91">
        <f>K37</f>
        <v>0</v>
      </c>
      <c r="AB37" s="91">
        <f t="shared" si="36"/>
        <v>0</v>
      </c>
      <c r="AC37" s="4" t="str">
        <f t="shared" si="36"/>
        <v/>
      </c>
      <c r="AD37" s="92">
        <f t="shared" si="36"/>
        <v>0</v>
      </c>
      <c r="AE37" s="80" t="str">
        <f>S37</f>
        <v>계</v>
      </c>
      <c r="AF37" s="80" t="str">
        <f>Q37&amp;"/"&amp;R37</f>
        <v>2/1</v>
      </c>
      <c r="AH37" s="20" t="str">
        <f t="shared" si="1"/>
        <v>시영</v>
      </c>
      <c r="AI37" s="88">
        <f t="shared" si="0"/>
        <v>16</v>
      </c>
      <c r="AJ37" s="80" t="str">
        <f>IF(AI37="","",$AJ$2)</f>
        <v>A-</v>
      </c>
      <c r="AK37" s="80" t="s">
        <v>13</v>
      </c>
      <c r="AL37" s="80" t="s">
        <v>62</v>
      </c>
      <c r="AM37" s="80" t="s">
        <v>63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/>
      </c>
    </row>
    <row r="38" spans="1:48" x14ac:dyDescent="0.3">
      <c r="A38" s="9" t="s">
        <v>261</v>
      </c>
      <c r="B38" s="10" t="s">
        <v>894</v>
      </c>
      <c r="C38" s="89">
        <v>300</v>
      </c>
      <c r="D38" s="87">
        <v>59.4</v>
      </c>
      <c r="E38" s="88">
        <v>18</v>
      </c>
      <c r="F38" s="87">
        <v>52.4</v>
      </c>
      <c r="G38" s="17">
        <v>16</v>
      </c>
      <c r="H38" s="89">
        <v>90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3</v>
      </c>
      <c r="R38" s="80">
        <v>1</v>
      </c>
      <c r="S38" s="80" t="s">
        <v>61</v>
      </c>
      <c r="T38" s="5">
        <v>59</v>
      </c>
      <c r="U38" s="9"/>
      <c r="W38" s="87">
        <f t="shared" si="34"/>
        <v>59.4</v>
      </c>
      <c r="X38" s="88">
        <f t="shared" si="34"/>
        <v>18</v>
      </c>
      <c r="Y38" s="93">
        <f t="shared" si="35"/>
        <v>90</v>
      </c>
      <c r="Z38" s="91">
        <f t="shared" si="35"/>
        <v>0</v>
      </c>
      <c r="AA38" s="91">
        <f>K38</f>
        <v>0</v>
      </c>
      <c r="AB38" s="91">
        <f t="shared" si="36"/>
        <v>0</v>
      </c>
      <c r="AC38" s="4" t="str">
        <f t="shared" si="36"/>
        <v/>
      </c>
      <c r="AD38" s="92">
        <f t="shared" si="36"/>
        <v>0</v>
      </c>
      <c r="AE38" s="80" t="str">
        <f>S38</f>
        <v>계</v>
      </c>
      <c r="AF38" s="80" t="str">
        <f>Q38&amp;"/"&amp;R38</f>
        <v>3/1</v>
      </c>
      <c r="AH38" s="20" t="str">
        <f t="shared" si="1"/>
        <v>시영</v>
      </c>
      <c r="AI38" s="88">
        <f t="shared" si="0"/>
        <v>18</v>
      </c>
      <c r="AJ38" s="80" t="str">
        <f>IF(AI38="","",$AJ$2)</f>
        <v>A-</v>
      </c>
      <c r="AK38" s="80" t="s">
        <v>13</v>
      </c>
      <c r="AL38" s="80" t="s">
        <v>62</v>
      </c>
      <c r="AM38" s="80" t="s">
        <v>63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/>
      </c>
    </row>
    <row r="39" spans="1:48" x14ac:dyDescent="0.3">
      <c r="A39" s="9" t="s">
        <v>261</v>
      </c>
      <c r="B39" s="10" t="s">
        <v>894</v>
      </c>
      <c r="C39" s="89">
        <v>300</v>
      </c>
      <c r="D39" s="87">
        <v>61.7</v>
      </c>
      <c r="E39" s="88">
        <v>19</v>
      </c>
      <c r="F39" s="87">
        <v>54.2</v>
      </c>
      <c r="G39" s="17">
        <v>16</v>
      </c>
      <c r="H39" s="89">
        <v>100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80">
        <v>3</v>
      </c>
      <c r="R39" s="80">
        <v>1</v>
      </c>
      <c r="S39" s="80" t="s">
        <v>61</v>
      </c>
      <c r="T39" s="5">
        <v>61</v>
      </c>
      <c r="U39" s="9"/>
      <c r="W39" s="87">
        <f t="shared" si="34"/>
        <v>61.7</v>
      </c>
      <c r="X39" s="88">
        <f t="shared" si="34"/>
        <v>19</v>
      </c>
      <c r="Y39" s="93">
        <f t="shared" si="35"/>
        <v>100</v>
      </c>
      <c r="Z39" s="91">
        <f t="shared" si="35"/>
        <v>0</v>
      </c>
      <c r="AA39" s="91">
        <f>K39</f>
        <v>0</v>
      </c>
      <c r="AB39" s="91">
        <f t="shared" si="36"/>
        <v>0</v>
      </c>
      <c r="AC39" s="4" t="str">
        <f t="shared" si="36"/>
        <v/>
      </c>
      <c r="AD39" s="92">
        <f t="shared" si="36"/>
        <v>0</v>
      </c>
      <c r="AE39" s="80" t="str">
        <f>S39</f>
        <v>계</v>
      </c>
      <c r="AF39" s="80" t="str">
        <f>Q39&amp;"/"&amp;R39</f>
        <v>3/1</v>
      </c>
      <c r="AH39" s="20" t="str">
        <f t="shared" si="1"/>
        <v>시영</v>
      </c>
      <c r="AI39" s="88">
        <f t="shared" si="0"/>
        <v>19</v>
      </c>
      <c r="AJ39" s="80" t="str">
        <f>IF(AI39="","",$AJ$2)</f>
        <v>A-</v>
      </c>
      <c r="AK39" s="80" t="s">
        <v>13</v>
      </c>
      <c r="AL39" s="80" t="s">
        <v>62</v>
      </c>
      <c r="AM39" s="80" t="s">
        <v>63</v>
      </c>
      <c r="AN39" s="80" t="str">
        <f>IF(AI39="","",$AN$2)</f>
        <v>C</v>
      </c>
      <c r="AO39" s="80" t="str">
        <f>IF(N39="","",IF(N39&gt;=$AO$1/100,"O","X"))</f>
        <v/>
      </c>
      <c r="AP39" s="80" t="str">
        <f>IF(I39="","",IF(I39&lt;=$AP$1,"O","X"))</f>
        <v/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/>
      </c>
    </row>
  </sheetData>
  <mergeCells count="1">
    <mergeCell ref="AJ1:AN1"/>
  </mergeCells>
  <phoneticPr fontId="2" type="noConversion"/>
  <conditionalFormatting sqref="AV4:AV6">
    <cfRule type="expression" dxfId="4603" priority="549">
      <formula>AV4="X"</formula>
    </cfRule>
    <cfRule type="expression" dxfId="4602" priority="550">
      <formula>AV4="후보"</formula>
    </cfRule>
  </conditionalFormatting>
  <conditionalFormatting sqref="AC1:AC2 AC4:AC6 N4:N5">
    <cfRule type="cellIs" dxfId="4601" priority="546" operator="greaterThan">
      <formula>0.9</formula>
    </cfRule>
    <cfRule type="cellIs" dxfId="4600" priority="547" operator="greaterThan">
      <formula>0.85</formula>
    </cfRule>
  </conditionalFormatting>
  <conditionalFormatting sqref="N1:N2">
    <cfRule type="cellIs" dxfId="4599" priority="544" operator="greaterThan">
      <formula>0.9</formula>
    </cfRule>
    <cfRule type="cellIs" dxfId="4598" priority="545" operator="greaterThan">
      <formula>0.85</formula>
    </cfRule>
  </conditionalFormatting>
  <conditionalFormatting sqref="N6">
    <cfRule type="cellIs" dxfId="4597" priority="542" operator="greaterThan">
      <formula>0.9</formula>
    </cfRule>
    <cfRule type="cellIs" dxfId="4596" priority="543" operator="greaterThan">
      <formula>0.85</formula>
    </cfRule>
  </conditionalFormatting>
  <conditionalFormatting sqref="E6">
    <cfRule type="expression" dxfId="4595" priority="538">
      <formula>AND(IF(OR($Q6=1,$Q6=2),1,0),IF($X6&lt;=20,1,0))</formula>
    </cfRule>
    <cfRule type="expression" dxfId="4594" priority="539">
      <formula>AND(IF($Q6=2,1,0),IF($X6&lt;30,1,0))</formula>
    </cfRule>
    <cfRule type="expression" dxfId="4593" priority="540">
      <formula>AND(IF($Q6=3,1,0),IF($X6&lt;30,1,0))</formula>
    </cfRule>
    <cfRule type="expression" dxfId="4592" priority="541">
      <formula>AND(IF($Q6=3,1,IF($Q6=4,1,0)),IF($F6&lt;=85,1,0))</formula>
    </cfRule>
  </conditionalFormatting>
  <conditionalFormatting sqref="X6">
    <cfRule type="expression" dxfId="4591" priority="534">
      <formula>AND(IF(OR($Q6=1,$Q6=2),1,0),IF($X6&lt;=20,1,0))</formula>
    </cfRule>
    <cfRule type="expression" dxfId="4590" priority="535">
      <formula>AND(IF($Q6=2,1,0),IF($X6&lt;30,1,0))</formula>
    </cfRule>
    <cfRule type="expression" dxfId="4589" priority="536">
      <formula>AND(IF($Q6=3,1,0),IF($X6&lt;30,1,0))</formula>
    </cfRule>
    <cfRule type="expression" dxfId="4588" priority="537">
      <formula>AND(IF($Q6=3,1,IF($Q6=4,1,0)),IF($F6&lt;=85,1,0))</formula>
    </cfRule>
  </conditionalFormatting>
  <conditionalFormatting sqref="AI6">
    <cfRule type="expression" dxfId="4587" priority="530">
      <formula>AND(IF(OR($Q6=1,$Q6=2),1,0),IF($X6&lt;=20,1,0))</formula>
    </cfRule>
    <cfRule type="expression" dxfId="4586" priority="531">
      <formula>AND(IF($Q6=2,1,0),IF($X6&lt;30,1,0))</formula>
    </cfRule>
    <cfRule type="expression" dxfId="4585" priority="532">
      <formula>AND(IF($Q6=3,1,0),IF($X6&lt;30,1,0))</formula>
    </cfRule>
    <cfRule type="expression" dxfId="4584" priority="533">
      <formula>AND(IF($Q6=3,1,IF($Q6=4,1,0)),IF($F6&lt;=85,1,0))</formula>
    </cfRule>
  </conditionalFormatting>
  <conditionalFormatting sqref="AV7">
    <cfRule type="expression" dxfId="4583" priority="528">
      <formula>AV7="X"</formula>
    </cfRule>
    <cfRule type="expression" dxfId="4582" priority="529">
      <formula>AV7="후보"</formula>
    </cfRule>
  </conditionalFormatting>
  <conditionalFormatting sqref="AC7">
    <cfRule type="cellIs" dxfId="4581" priority="525" operator="greaterThan">
      <formula>0.9</formula>
    </cfRule>
    <cfRule type="cellIs" dxfId="4580" priority="526" operator="greaterThan">
      <formula>0.85</formula>
    </cfRule>
  </conditionalFormatting>
  <conditionalFormatting sqref="N7">
    <cfRule type="cellIs" dxfId="4579" priority="523" operator="greaterThan">
      <formula>0.9</formula>
    </cfRule>
    <cfRule type="cellIs" dxfId="4578" priority="524" operator="greaterThan">
      <formula>0.85</formula>
    </cfRule>
  </conditionalFormatting>
  <conditionalFormatting sqref="E7">
    <cfRule type="expression" dxfId="4577" priority="519">
      <formula>AND(IF(OR($Q7=1,$Q7=2),1,0),IF($X7&lt;=20,1,0))</formula>
    </cfRule>
    <cfRule type="expression" dxfId="4576" priority="520">
      <formula>AND(IF($Q7=2,1,0),IF($X7&lt;30,1,0))</formula>
    </cfRule>
    <cfRule type="expression" dxfId="4575" priority="521">
      <formula>AND(IF($Q7=3,1,0),IF($X7&lt;30,1,0))</formula>
    </cfRule>
    <cfRule type="expression" dxfId="4574" priority="522">
      <formula>AND(IF($Q7=3,1,IF($Q7=4,1,0)),IF($F7&lt;=85,1,0))</formula>
    </cfRule>
  </conditionalFormatting>
  <conditionalFormatting sqref="X7">
    <cfRule type="expression" dxfId="4573" priority="515">
      <formula>AND(IF(OR($Q7=1,$Q7=2),1,0),IF($X7&lt;=20,1,0))</formula>
    </cfRule>
    <cfRule type="expression" dxfId="4572" priority="516">
      <formula>AND(IF($Q7=2,1,0),IF($X7&lt;30,1,0))</formula>
    </cfRule>
    <cfRule type="expression" dxfId="4571" priority="517">
      <formula>AND(IF($Q7=3,1,0),IF($X7&lt;30,1,0))</formula>
    </cfRule>
    <cfRule type="expression" dxfId="4570" priority="518">
      <formula>AND(IF($Q7=3,1,IF($Q7=4,1,0)),IF($F7&lt;=85,1,0))</formula>
    </cfRule>
  </conditionalFormatting>
  <conditionalFormatting sqref="AI7">
    <cfRule type="expression" dxfId="4569" priority="511">
      <formula>AND(IF(OR($Q7=1,$Q7=2),1,0),IF($X7&lt;=20,1,0))</formula>
    </cfRule>
    <cfRule type="expression" dxfId="4568" priority="512">
      <formula>AND(IF($Q7=2,1,0),IF($X7&lt;30,1,0))</formula>
    </cfRule>
    <cfRule type="expression" dxfId="4567" priority="513">
      <formula>AND(IF($Q7=3,1,0),IF($X7&lt;30,1,0))</formula>
    </cfRule>
    <cfRule type="expression" dxfId="4566" priority="514">
      <formula>AND(IF($Q7=3,1,IF($Q7=4,1,0)),IF($F7&lt;=85,1,0))</formula>
    </cfRule>
  </conditionalFormatting>
  <conditionalFormatting sqref="AV8">
    <cfRule type="expression" dxfId="4565" priority="509">
      <formula>AV8="X"</formula>
    </cfRule>
    <cfRule type="expression" dxfId="4564" priority="510">
      <formula>AV8="후보"</formula>
    </cfRule>
  </conditionalFormatting>
  <conditionalFormatting sqref="AC8 N8">
    <cfRule type="cellIs" dxfId="4563" priority="506" operator="greaterThan">
      <formula>0.9</formula>
    </cfRule>
    <cfRule type="cellIs" dxfId="4562" priority="507" operator="greaterThan">
      <formula>0.85</formula>
    </cfRule>
  </conditionalFormatting>
  <conditionalFormatting sqref="AV9">
    <cfRule type="expression" dxfId="4561" priority="504">
      <formula>AV9="X"</formula>
    </cfRule>
    <cfRule type="expression" dxfId="4560" priority="505">
      <formula>AV9="후보"</formula>
    </cfRule>
  </conditionalFormatting>
  <conditionalFormatting sqref="AC9">
    <cfRule type="cellIs" dxfId="4559" priority="501" operator="greaterThan">
      <formula>0.9</formula>
    </cfRule>
    <cfRule type="cellIs" dxfId="4558" priority="502" operator="greaterThan">
      <formula>0.85</formula>
    </cfRule>
  </conditionalFormatting>
  <conditionalFormatting sqref="N9">
    <cfRule type="cellIs" dxfId="4557" priority="499" operator="greaterThan">
      <formula>0.9</formula>
    </cfRule>
    <cfRule type="cellIs" dxfId="4556" priority="500" operator="greaterThan">
      <formula>0.85</formula>
    </cfRule>
  </conditionalFormatting>
  <conditionalFormatting sqref="E9">
    <cfRule type="expression" dxfId="4555" priority="495">
      <formula>AND(IF(OR($Q9=1,$Q9=2),1,0),IF($X9&lt;=20,1,0))</formula>
    </cfRule>
    <cfRule type="expression" dxfId="4554" priority="496">
      <formula>AND(IF($Q9=2,1,0),IF($X9&lt;30,1,0))</formula>
    </cfRule>
    <cfRule type="expression" dxfId="4553" priority="497">
      <formula>AND(IF($Q9=3,1,0),IF($X9&lt;30,1,0))</formula>
    </cfRule>
    <cfRule type="expression" dxfId="4552" priority="498">
      <formula>AND(IF($Q9=3,1,IF($Q9=4,1,0)),IF($F9&lt;=85,1,0))</formula>
    </cfRule>
  </conditionalFormatting>
  <conditionalFormatting sqref="X9">
    <cfRule type="expression" dxfId="4551" priority="491">
      <formula>AND(IF(OR($Q9=1,$Q9=2),1,0),IF($X9&lt;=20,1,0))</formula>
    </cfRule>
    <cfRule type="expression" dxfId="4550" priority="492">
      <formula>AND(IF($Q9=2,1,0),IF($X9&lt;30,1,0))</formula>
    </cfRule>
    <cfRule type="expression" dxfId="4549" priority="493">
      <formula>AND(IF($Q9=3,1,0),IF($X9&lt;30,1,0))</formula>
    </cfRule>
    <cfRule type="expression" dxfId="4548" priority="494">
      <formula>AND(IF($Q9=3,1,IF($Q9=4,1,0)),IF($F9&lt;=85,1,0))</formula>
    </cfRule>
  </conditionalFormatting>
  <conditionalFormatting sqref="AI9">
    <cfRule type="expression" dxfId="4547" priority="487">
      <formula>AND(IF(OR($Q9=1,$Q9=2),1,0),IF($X9&lt;=20,1,0))</formula>
    </cfRule>
    <cfRule type="expression" dxfId="4546" priority="488">
      <formula>AND(IF($Q9=2,1,0),IF($X9&lt;30,1,0))</formula>
    </cfRule>
    <cfRule type="expression" dxfId="4545" priority="489">
      <formula>AND(IF($Q9=3,1,0),IF($X9&lt;30,1,0))</formula>
    </cfRule>
    <cfRule type="expression" dxfId="4544" priority="490">
      <formula>AND(IF($Q9=3,1,IF($Q9=4,1,0)),IF($F9&lt;=85,1,0))</formula>
    </cfRule>
  </conditionalFormatting>
  <conditionalFormatting sqref="AV10">
    <cfRule type="expression" dxfId="4543" priority="485">
      <formula>AV10="X"</formula>
    </cfRule>
    <cfRule type="expression" dxfId="4542" priority="486">
      <formula>AV10="후보"</formula>
    </cfRule>
  </conditionalFormatting>
  <conditionalFormatting sqref="AC10 N10">
    <cfRule type="cellIs" dxfId="4541" priority="482" operator="greaterThan">
      <formula>0.9</formula>
    </cfRule>
    <cfRule type="cellIs" dxfId="4540" priority="483" operator="greaterThan">
      <formula>0.85</formula>
    </cfRule>
  </conditionalFormatting>
  <conditionalFormatting sqref="AV11">
    <cfRule type="expression" dxfId="4539" priority="480">
      <formula>AV11="X"</formula>
    </cfRule>
    <cfRule type="expression" dxfId="4538" priority="481">
      <formula>AV11="후보"</formula>
    </cfRule>
  </conditionalFormatting>
  <conditionalFormatting sqref="AC11">
    <cfRule type="cellIs" dxfId="4537" priority="477" operator="greaterThan">
      <formula>0.9</formula>
    </cfRule>
    <cfRule type="cellIs" dxfId="4536" priority="478" operator="greaterThan">
      <formula>0.85</formula>
    </cfRule>
  </conditionalFormatting>
  <conditionalFormatting sqref="N11">
    <cfRule type="cellIs" dxfId="4535" priority="475" operator="greaterThan">
      <formula>0.9</formula>
    </cfRule>
    <cfRule type="cellIs" dxfId="4534" priority="476" operator="greaterThan">
      <formula>0.85</formula>
    </cfRule>
  </conditionalFormatting>
  <conditionalFormatting sqref="E11">
    <cfRule type="expression" dxfId="4533" priority="471">
      <formula>AND(IF(OR($Q11=1,$Q11=2),1,0),IF($X11&lt;=20,1,0))</formula>
    </cfRule>
    <cfRule type="expression" dxfId="4532" priority="472">
      <formula>AND(IF($Q11=2,1,0),IF($X11&lt;30,1,0))</formula>
    </cfRule>
    <cfRule type="expression" dxfId="4531" priority="473">
      <formula>AND(IF($Q11=3,1,0),IF($X11&lt;30,1,0))</formula>
    </cfRule>
    <cfRule type="expression" dxfId="4530" priority="474">
      <formula>AND(IF($Q11=3,1,IF($Q11=4,1,0)),IF($F11&lt;=85,1,0))</formula>
    </cfRule>
  </conditionalFormatting>
  <conditionalFormatting sqref="X11">
    <cfRule type="expression" dxfId="4529" priority="467">
      <formula>AND(IF(OR($Q11=1,$Q11=2),1,0),IF($X11&lt;=20,1,0))</formula>
    </cfRule>
    <cfRule type="expression" dxfId="4528" priority="468">
      <formula>AND(IF($Q11=2,1,0),IF($X11&lt;30,1,0))</formula>
    </cfRule>
    <cfRule type="expression" dxfId="4527" priority="469">
      <formula>AND(IF($Q11=3,1,0),IF($X11&lt;30,1,0))</formula>
    </cfRule>
    <cfRule type="expression" dxfId="4526" priority="470">
      <formula>AND(IF($Q11=3,1,IF($Q11=4,1,0)),IF($F11&lt;=85,1,0))</formula>
    </cfRule>
  </conditionalFormatting>
  <conditionalFormatting sqref="AI11">
    <cfRule type="expression" dxfId="4525" priority="463">
      <formula>AND(IF(OR($Q11=1,$Q11=2),1,0),IF($X11&lt;=20,1,0))</formula>
    </cfRule>
    <cfRule type="expression" dxfId="4524" priority="464">
      <formula>AND(IF($Q11=2,1,0),IF($X11&lt;30,1,0))</formula>
    </cfRule>
    <cfRule type="expression" dxfId="4523" priority="465">
      <formula>AND(IF($Q11=3,1,0),IF($X11&lt;30,1,0))</formula>
    </cfRule>
    <cfRule type="expression" dxfId="4522" priority="466">
      <formula>AND(IF($Q11=3,1,IF($Q11=4,1,0)),IF($F11&lt;=85,1,0))</formula>
    </cfRule>
  </conditionalFormatting>
  <conditionalFormatting sqref="AV12">
    <cfRule type="expression" dxfId="4521" priority="461">
      <formula>AV12="X"</formula>
    </cfRule>
    <cfRule type="expression" dxfId="4520" priority="462">
      <formula>AV12="후보"</formula>
    </cfRule>
  </conditionalFormatting>
  <conditionalFormatting sqref="AC12">
    <cfRule type="cellIs" dxfId="4519" priority="458" operator="greaterThan">
      <formula>0.9</formula>
    </cfRule>
    <cfRule type="cellIs" dxfId="4518" priority="459" operator="greaterThan">
      <formula>0.85</formula>
    </cfRule>
  </conditionalFormatting>
  <conditionalFormatting sqref="N12">
    <cfRule type="cellIs" dxfId="4517" priority="456" operator="greaterThan">
      <formula>0.9</formula>
    </cfRule>
    <cfRule type="cellIs" dxfId="4516" priority="457" operator="greaterThan">
      <formula>0.85</formula>
    </cfRule>
  </conditionalFormatting>
  <conditionalFormatting sqref="E12">
    <cfRule type="expression" dxfId="4515" priority="452">
      <formula>AND(IF(OR($Q12=1,$Q12=2),1,0),IF($X12&lt;=20,1,0))</formula>
    </cfRule>
    <cfRule type="expression" dxfId="4514" priority="453">
      <formula>AND(IF($Q12=2,1,0),IF($X12&lt;30,1,0))</formula>
    </cfRule>
    <cfRule type="expression" dxfId="4513" priority="454">
      <formula>AND(IF($Q12=3,1,0),IF($X12&lt;30,1,0))</formula>
    </cfRule>
    <cfRule type="expression" dxfId="4512" priority="455">
      <formula>AND(IF($Q12=3,1,IF($Q12=4,1,0)),IF($F12&lt;=85,1,0))</formula>
    </cfRule>
  </conditionalFormatting>
  <conditionalFormatting sqref="X12">
    <cfRule type="expression" dxfId="4511" priority="448">
      <formula>AND(IF(OR($Q12=1,$Q12=2),1,0),IF($X12&lt;=20,1,0))</formula>
    </cfRule>
    <cfRule type="expression" dxfId="4510" priority="449">
      <formula>AND(IF($Q12=2,1,0),IF($X12&lt;30,1,0))</formula>
    </cfRule>
    <cfRule type="expression" dxfId="4509" priority="450">
      <formula>AND(IF($Q12=3,1,0),IF($X12&lt;30,1,0))</formula>
    </cfRule>
    <cfRule type="expression" dxfId="4508" priority="451">
      <formula>AND(IF($Q12=3,1,IF($Q12=4,1,0)),IF($F12&lt;=85,1,0))</formula>
    </cfRule>
  </conditionalFormatting>
  <conditionalFormatting sqref="AI12">
    <cfRule type="expression" dxfId="4507" priority="444">
      <formula>AND(IF(OR($Q12=1,$Q12=2),1,0),IF($X12&lt;=20,1,0))</formula>
    </cfRule>
    <cfRule type="expression" dxfId="4506" priority="445">
      <formula>AND(IF($Q12=2,1,0),IF($X12&lt;30,1,0))</formula>
    </cfRule>
    <cfRule type="expression" dxfId="4505" priority="446">
      <formula>AND(IF($Q12=3,1,0),IF($X12&lt;30,1,0))</formula>
    </cfRule>
    <cfRule type="expression" dxfId="4504" priority="447">
      <formula>AND(IF($Q12=3,1,IF($Q12=4,1,0)),IF($F12&lt;=85,1,0))</formula>
    </cfRule>
  </conditionalFormatting>
  <conditionalFormatting sqref="AV13">
    <cfRule type="expression" dxfId="4503" priority="442">
      <formula>AV13="X"</formula>
    </cfRule>
    <cfRule type="expression" dxfId="4502" priority="443">
      <formula>AV13="후보"</formula>
    </cfRule>
  </conditionalFormatting>
  <conditionalFormatting sqref="AC13">
    <cfRule type="cellIs" dxfId="4501" priority="439" operator="greaterThan">
      <formula>0.9</formula>
    </cfRule>
    <cfRule type="cellIs" dxfId="4500" priority="440" operator="greaterThan">
      <formula>0.85</formula>
    </cfRule>
  </conditionalFormatting>
  <conditionalFormatting sqref="N13">
    <cfRule type="cellIs" dxfId="4499" priority="437" operator="greaterThan">
      <formula>0.9</formula>
    </cfRule>
    <cfRule type="cellIs" dxfId="4498" priority="438" operator="greaterThan">
      <formula>0.85</formula>
    </cfRule>
  </conditionalFormatting>
  <conditionalFormatting sqref="E13">
    <cfRule type="expression" dxfId="4497" priority="433">
      <formula>AND(IF(OR($Q13=1,$Q13=2),1,0),IF($X13&lt;=20,1,0))</formula>
    </cfRule>
    <cfRule type="expression" dxfId="4496" priority="434">
      <formula>AND(IF($Q13=2,1,0),IF($X13&lt;30,1,0))</formula>
    </cfRule>
    <cfRule type="expression" dxfId="4495" priority="435">
      <formula>AND(IF($Q13=3,1,0),IF($X13&lt;30,1,0))</formula>
    </cfRule>
    <cfRule type="expression" dxfId="4494" priority="436">
      <formula>AND(IF($Q13=3,1,IF($Q13=4,1,0)),IF($F13&lt;=85,1,0))</formula>
    </cfRule>
  </conditionalFormatting>
  <conditionalFormatting sqref="X13">
    <cfRule type="expression" dxfId="4493" priority="429">
      <formula>AND(IF(OR($Q13=1,$Q13=2),1,0),IF($X13&lt;=20,1,0))</formula>
    </cfRule>
    <cfRule type="expression" dxfId="4492" priority="430">
      <formula>AND(IF($Q13=2,1,0),IF($X13&lt;30,1,0))</formula>
    </cfRule>
    <cfRule type="expression" dxfId="4491" priority="431">
      <formula>AND(IF($Q13=3,1,0),IF($X13&lt;30,1,0))</formula>
    </cfRule>
    <cfRule type="expression" dxfId="4490" priority="432">
      <formula>AND(IF($Q13=3,1,IF($Q13=4,1,0)),IF($F13&lt;=85,1,0))</formula>
    </cfRule>
  </conditionalFormatting>
  <conditionalFormatting sqref="AI13">
    <cfRule type="expression" dxfId="4489" priority="425">
      <formula>AND(IF(OR($Q13=1,$Q13=2),1,0),IF($X13&lt;=20,1,0))</formula>
    </cfRule>
    <cfRule type="expression" dxfId="4488" priority="426">
      <formula>AND(IF($Q13=2,1,0),IF($X13&lt;30,1,0))</formula>
    </cfRule>
    <cfRule type="expression" dxfId="4487" priority="427">
      <formula>AND(IF($Q13=3,1,0),IF($X13&lt;30,1,0))</formula>
    </cfRule>
    <cfRule type="expression" dxfId="4486" priority="428">
      <formula>AND(IF($Q13=3,1,IF($Q13=4,1,0)),IF($F13&lt;=85,1,0))</formula>
    </cfRule>
  </conditionalFormatting>
  <conditionalFormatting sqref="AV14">
    <cfRule type="expression" dxfId="4485" priority="423">
      <formula>AV14="X"</formula>
    </cfRule>
    <cfRule type="expression" dxfId="4484" priority="424">
      <formula>AV14="후보"</formula>
    </cfRule>
  </conditionalFormatting>
  <conditionalFormatting sqref="AC14 N14">
    <cfRule type="cellIs" dxfId="4483" priority="420" operator="greaterThan">
      <formula>0.9</formula>
    </cfRule>
    <cfRule type="cellIs" dxfId="4482" priority="421" operator="greaterThan">
      <formula>0.85</formula>
    </cfRule>
  </conditionalFormatting>
  <conditionalFormatting sqref="AV15">
    <cfRule type="expression" dxfId="4481" priority="418">
      <formula>AV15="X"</formula>
    </cfRule>
    <cfRule type="expression" dxfId="4480" priority="419">
      <formula>AV15="후보"</formula>
    </cfRule>
  </conditionalFormatting>
  <conditionalFormatting sqref="AC15">
    <cfRule type="cellIs" dxfId="4479" priority="415" operator="greaterThan">
      <formula>0.9</formula>
    </cfRule>
    <cfRule type="cellIs" dxfId="4478" priority="416" operator="greaterThan">
      <formula>0.85</formula>
    </cfRule>
  </conditionalFormatting>
  <conditionalFormatting sqref="N15">
    <cfRule type="cellIs" dxfId="4477" priority="413" operator="greaterThan">
      <formula>0.9</formula>
    </cfRule>
    <cfRule type="cellIs" dxfId="4476" priority="414" operator="greaterThan">
      <formula>0.85</formula>
    </cfRule>
  </conditionalFormatting>
  <conditionalFormatting sqref="E15">
    <cfRule type="expression" dxfId="4475" priority="409">
      <formula>AND(IF(OR($Q15=1,$Q15=2),1,0),IF($X15&lt;=20,1,0))</formula>
    </cfRule>
    <cfRule type="expression" dxfId="4474" priority="410">
      <formula>AND(IF($Q15=2,1,0),IF($X15&lt;30,1,0))</formula>
    </cfRule>
    <cfRule type="expression" dxfId="4473" priority="411">
      <formula>AND(IF($Q15=3,1,0),IF($X15&lt;30,1,0))</formula>
    </cfRule>
    <cfRule type="expression" dxfId="4472" priority="412">
      <formula>AND(IF($Q15=3,1,IF($Q15=4,1,0)),IF($F15&lt;=85,1,0))</formula>
    </cfRule>
  </conditionalFormatting>
  <conditionalFormatting sqref="X15">
    <cfRule type="expression" dxfId="4471" priority="405">
      <formula>AND(IF(OR($Q15=1,$Q15=2),1,0),IF($X15&lt;=20,1,0))</formula>
    </cfRule>
    <cfRule type="expression" dxfId="4470" priority="406">
      <formula>AND(IF($Q15=2,1,0),IF($X15&lt;30,1,0))</formula>
    </cfRule>
    <cfRule type="expression" dxfId="4469" priority="407">
      <formula>AND(IF($Q15=3,1,0),IF($X15&lt;30,1,0))</formula>
    </cfRule>
    <cfRule type="expression" dxfId="4468" priority="408">
      <formula>AND(IF($Q15=3,1,IF($Q15=4,1,0)),IF($F15&lt;=85,1,0))</formula>
    </cfRule>
  </conditionalFormatting>
  <conditionalFormatting sqref="AI15">
    <cfRule type="expression" dxfId="4467" priority="401">
      <formula>AND(IF(OR($Q15=1,$Q15=2),1,0),IF($X15&lt;=20,1,0))</formula>
    </cfRule>
    <cfRule type="expression" dxfId="4466" priority="402">
      <formula>AND(IF($Q15=2,1,0),IF($X15&lt;30,1,0))</formula>
    </cfRule>
    <cfRule type="expression" dxfId="4465" priority="403">
      <formula>AND(IF($Q15=3,1,0),IF($X15&lt;30,1,0))</formula>
    </cfRule>
    <cfRule type="expression" dxfId="4464" priority="404">
      <formula>AND(IF($Q15=3,1,IF($Q15=4,1,0)),IF($F15&lt;=85,1,0))</formula>
    </cfRule>
  </conditionalFormatting>
  <conditionalFormatting sqref="AV16">
    <cfRule type="expression" dxfId="4463" priority="399">
      <formula>AV16="X"</formula>
    </cfRule>
    <cfRule type="expression" dxfId="4462" priority="400">
      <formula>AV16="후보"</formula>
    </cfRule>
  </conditionalFormatting>
  <conditionalFormatting sqref="AC16">
    <cfRule type="cellIs" dxfId="4461" priority="396" operator="greaterThan">
      <formula>0.9</formula>
    </cfRule>
    <cfRule type="cellIs" dxfId="4460" priority="397" operator="greaterThan">
      <formula>0.85</formula>
    </cfRule>
  </conditionalFormatting>
  <conditionalFormatting sqref="N16">
    <cfRule type="cellIs" dxfId="4459" priority="394" operator="greaterThan">
      <formula>0.9</formula>
    </cfRule>
    <cfRule type="cellIs" dxfId="4458" priority="395" operator="greaterThan">
      <formula>0.85</formula>
    </cfRule>
  </conditionalFormatting>
  <conditionalFormatting sqref="E16">
    <cfRule type="expression" dxfId="4457" priority="390">
      <formula>AND(IF(OR($Q16=1,$Q16=2),1,0),IF($X16&lt;=20,1,0))</formula>
    </cfRule>
    <cfRule type="expression" dxfId="4456" priority="391">
      <formula>AND(IF($Q16=2,1,0),IF($X16&lt;30,1,0))</formula>
    </cfRule>
    <cfRule type="expression" dxfId="4455" priority="392">
      <formula>AND(IF($Q16=3,1,0),IF($X16&lt;30,1,0))</formula>
    </cfRule>
    <cfRule type="expression" dxfId="4454" priority="393">
      <formula>AND(IF($Q16=3,1,IF($Q16=4,1,0)),IF($F16&lt;=85,1,0))</formula>
    </cfRule>
  </conditionalFormatting>
  <conditionalFormatting sqref="X16">
    <cfRule type="expression" dxfId="4453" priority="386">
      <formula>AND(IF(OR($Q16=1,$Q16=2),1,0),IF($X16&lt;=20,1,0))</formula>
    </cfRule>
    <cfRule type="expression" dxfId="4452" priority="387">
      <formula>AND(IF($Q16=2,1,0),IF($X16&lt;30,1,0))</formula>
    </cfRule>
    <cfRule type="expression" dxfId="4451" priority="388">
      <formula>AND(IF($Q16=3,1,0),IF($X16&lt;30,1,0))</formula>
    </cfRule>
    <cfRule type="expression" dxfId="4450" priority="389">
      <formula>AND(IF($Q16=3,1,IF($Q16=4,1,0)),IF($F16&lt;=85,1,0))</formula>
    </cfRule>
  </conditionalFormatting>
  <conditionalFormatting sqref="AI16">
    <cfRule type="expression" dxfId="4449" priority="382">
      <formula>AND(IF(OR($Q16=1,$Q16=2),1,0),IF($X16&lt;=20,1,0))</formula>
    </cfRule>
    <cfRule type="expression" dxfId="4448" priority="383">
      <formula>AND(IF($Q16=2,1,0),IF($X16&lt;30,1,0))</formula>
    </cfRule>
    <cfRule type="expression" dxfId="4447" priority="384">
      <formula>AND(IF($Q16=3,1,0),IF($X16&lt;30,1,0))</formula>
    </cfRule>
    <cfRule type="expression" dxfId="4446" priority="385">
      <formula>AND(IF($Q16=3,1,IF($Q16=4,1,0)),IF($F16&lt;=85,1,0))</formula>
    </cfRule>
  </conditionalFormatting>
  <conditionalFormatting sqref="AV17">
    <cfRule type="expression" dxfId="4445" priority="380">
      <formula>AV17="X"</formula>
    </cfRule>
    <cfRule type="expression" dxfId="4444" priority="381">
      <formula>AV17="후보"</formula>
    </cfRule>
  </conditionalFormatting>
  <conditionalFormatting sqref="AC17">
    <cfRule type="cellIs" dxfId="4443" priority="377" operator="greaterThan">
      <formula>0.9</formula>
    </cfRule>
    <cfRule type="cellIs" dxfId="4442" priority="378" operator="greaterThan">
      <formula>0.85</formula>
    </cfRule>
  </conditionalFormatting>
  <conditionalFormatting sqref="N17">
    <cfRule type="cellIs" dxfId="4441" priority="375" operator="greaterThan">
      <formula>0.9</formula>
    </cfRule>
    <cfRule type="cellIs" dxfId="4440" priority="376" operator="greaterThan">
      <formula>0.85</formula>
    </cfRule>
  </conditionalFormatting>
  <conditionalFormatting sqref="E17">
    <cfRule type="expression" dxfId="4439" priority="371">
      <formula>AND(IF(OR($Q17=1,$Q17=2),1,0),IF($X17&lt;=20,1,0))</formula>
    </cfRule>
    <cfRule type="expression" dxfId="4438" priority="372">
      <formula>AND(IF($Q17=2,1,0),IF($X17&lt;30,1,0))</formula>
    </cfRule>
    <cfRule type="expression" dxfId="4437" priority="373">
      <formula>AND(IF($Q17=3,1,0),IF($X17&lt;30,1,0))</formula>
    </cfRule>
    <cfRule type="expression" dxfId="4436" priority="374">
      <formula>AND(IF($Q17=3,1,IF($Q17=4,1,0)),IF($F17&lt;=85,1,0))</formula>
    </cfRule>
  </conditionalFormatting>
  <conditionalFormatting sqref="X17">
    <cfRule type="expression" dxfId="4435" priority="367">
      <formula>AND(IF(OR($Q17=1,$Q17=2),1,0),IF($X17&lt;=20,1,0))</formula>
    </cfRule>
    <cfRule type="expression" dxfId="4434" priority="368">
      <formula>AND(IF($Q17=2,1,0),IF($X17&lt;30,1,0))</formula>
    </cfRule>
    <cfRule type="expression" dxfId="4433" priority="369">
      <formula>AND(IF($Q17=3,1,0),IF($X17&lt;30,1,0))</formula>
    </cfRule>
    <cfRule type="expression" dxfId="4432" priority="370">
      <formula>AND(IF($Q17=3,1,IF($Q17=4,1,0)),IF($F17&lt;=85,1,0))</formula>
    </cfRule>
  </conditionalFormatting>
  <conditionalFormatting sqref="AI17">
    <cfRule type="expression" dxfId="4431" priority="363">
      <formula>AND(IF(OR($Q17=1,$Q17=2),1,0),IF($X17&lt;=20,1,0))</formula>
    </cfRule>
    <cfRule type="expression" dxfId="4430" priority="364">
      <formula>AND(IF($Q17=2,1,0),IF($X17&lt;30,1,0))</formula>
    </cfRule>
    <cfRule type="expression" dxfId="4429" priority="365">
      <formula>AND(IF($Q17=3,1,0),IF($X17&lt;30,1,0))</formula>
    </cfRule>
    <cfRule type="expression" dxfId="4428" priority="366">
      <formula>AND(IF($Q17=3,1,IF($Q17=4,1,0)),IF($F17&lt;=85,1,0))</formula>
    </cfRule>
  </conditionalFormatting>
  <conditionalFormatting sqref="AV18">
    <cfRule type="expression" dxfId="4427" priority="361">
      <formula>AV18="X"</formula>
    </cfRule>
    <cfRule type="expression" dxfId="4426" priority="362">
      <formula>AV18="후보"</formula>
    </cfRule>
  </conditionalFormatting>
  <conditionalFormatting sqref="AC18 N18">
    <cfRule type="cellIs" dxfId="4425" priority="358" operator="greaterThan">
      <formula>0.9</formula>
    </cfRule>
    <cfRule type="cellIs" dxfId="4424" priority="359" operator="greaterThan">
      <formula>0.85</formula>
    </cfRule>
  </conditionalFormatting>
  <conditionalFormatting sqref="AV19">
    <cfRule type="expression" dxfId="4423" priority="356">
      <formula>AV19="X"</formula>
    </cfRule>
    <cfRule type="expression" dxfId="4422" priority="357">
      <formula>AV19="후보"</formula>
    </cfRule>
  </conditionalFormatting>
  <conditionalFormatting sqref="AC19">
    <cfRule type="cellIs" dxfId="4421" priority="353" operator="greaterThan">
      <formula>0.9</formula>
    </cfRule>
    <cfRule type="cellIs" dxfId="4420" priority="354" operator="greaterThan">
      <formula>0.85</formula>
    </cfRule>
  </conditionalFormatting>
  <conditionalFormatting sqref="N19">
    <cfRule type="cellIs" dxfId="4419" priority="351" operator="greaterThan">
      <formula>0.9</formula>
    </cfRule>
    <cfRule type="cellIs" dxfId="4418" priority="352" operator="greaterThan">
      <formula>0.85</formula>
    </cfRule>
  </conditionalFormatting>
  <conditionalFormatting sqref="E19">
    <cfRule type="expression" dxfId="4417" priority="347">
      <formula>AND(IF(OR($Q19=1,$Q19=2),1,0),IF($X19&lt;=20,1,0))</formula>
    </cfRule>
    <cfRule type="expression" dxfId="4416" priority="348">
      <formula>AND(IF($Q19=2,1,0),IF($X19&lt;30,1,0))</formula>
    </cfRule>
    <cfRule type="expression" dxfId="4415" priority="349">
      <formula>AND(IF($Q19=3,1,0),IF($X19&lt;30,1,0))</formula>
    </cfRule>
    <cfRule type="expression" dxfId="4414" priority="350">
      <formula>AND(IF($Q19=3,1,IF($Q19=4,1,0)),IF($F19&lt;=85,1,0))</formula>
    </cfRule>
  </conditionalFormatting>
  <conditionalFormatting sqref="X19">
    <cfRule type="expression" dxfId="4413" priority="343">
      <formula>AND(IF(OR($Q19=1,$Q19=2),1,0),IF($X19&lt;=20,1,0))</formula>
    </cfRule>
    <cfRule type="expression" dxfId="4412" priority="344">
      <formula>AND(IF($Q19=2,1,0),IF($X19&lt;30,1,0))</formula>
    </cfRule>
    <cfRule type="expression" dxfId="4411" priority="345">
      <formula>AND(IF($Q19=3,1,0),IF($X19&lt;30,1,0))</formula>
    </cfRule>
    <cfRule type="expression" dxfId="4410" priority="346">
      <formula>AND(IF($Q19=3,1,IF($Q19=4,1,0)),IF($F19&lt;=85,1,0))</formula>
    </cfRule>
  </conditionalFormatting>
  <conditionalFormatting sqref="AI19">
    <cfRule type="expression" dxfId="4409" priority="339">
      <formula>AND(IF(OR($Q19=1,$Q19=2),1,0),IF($X19&lt;=20,1,0))</formula>
    </cfRule>
    <cfRule type="expression" dxfId="4408" priority="340">
      <formula>AND(IF($Q19=2,1,0),IF($X19&lt;30,1,0))</formula>
    </cfRule>
    <cfRule type="expression" dxfId="4407" priority="341">
      <formula>AND(IF($Q19=3,1,0),IF($X19&lt;30,1,0))</formula>
    </cfRule>
    <cfRule type="expression" dxfId="4406" priority="342">
      <formula>AND(IF($Q19=3,1,IF($Q19=4,1,0)),IF($F19&lt;=85,1,0))</formula>
    </cfRule>
  </conditionalFormatting>
  <conditionalFormatting sqref="AV20">
    <cfRule type="expression" dxfId="4405" priority="337">
      <formula>AV20="X"</formula>
    </cfRule>
    <cfRule type="expression" dxfId="4404" priority="338">
      <formula>AV20="후보"</formula>
    </cfRule>
  </conditionalFormatting>
  <conditionalFormatting sqref="AC20">
    <cfRule type="cellIs" dxfId="4403" priority="334" operator="greaterThan">
      <formula>0.9</formula>
    </cfRule>
    <cfRule type="cellIs" dxfId="4402" priority="335" operator="greaterThan">
      <formula>0.85</formula>
    </cfRule>
  </conditionalFormatting>
  <conditionalFormatting sqref="N20">
    <cfRule type="cellIs" dxfId="4401" priority="332" operator="greaterThan">
      <formula>0.9</formula>
    </cfRule>
    <cfRule type="cellIs" dxfId="4400" priority="333" operator="greaterThan">
      <formula>0.85</formula>
    </cfRule>
  </conditionalFormatting>
  <conditionalFormatting sqref="E20">
    <cfRule type="expression" dxfId="4399" priority="328">
      <formula>AND(IF(OR($Q20=1,$Q20=2),1,0),IF($X20&lt;=20,1,0))</formula>
    </cfRule>
    <cfRule type="expression" dxfId="4398" priority="329">
      <formula>AND(IF($Q20=2,1,0),IF($X20&lt;30,1,0))</formula>
    </cfRule>
    <cfRule type="expression" dxfId="4397" priority="330">
      <formula>AND(IF($Q20=3,1,0),IF($X20&lt;30,1,0))</formula>
    </cfRule>
    <cfRule type="expression" dxfId="4396" priority="331">
      <formula>AND(IF($Q20=3,1,IF($Q20=4,1,0)),IF($F20&lt;=85,1,0))</formula>
    </cfRule>
  </conditionalFormatting>
  <conditionalFormatting sqref="X20">
    <cfRule type="expression" dxfId="4395" priority="324">
      <formula>AND(IF(OR($Q20=1,$Q20=2),1,0),IF($X20&lt;=20,1,0))</formula>
    </cfRule>
    <cfRule type="expression" dxfId="4394" priority="325">
      <formula>AND(IF($Q20=2,1,0),IF($X20&lt;30,1,0))</formula>
    </cfRule>
    <cfRule type="expression" dxfId="4393" priority="326">
      <formula>AND(IF($Q20=3,1,0),IF($X20&lt;30,1,0))</formula>
    </cfRule>
    <cfRule type="expression" dxfId="4392" priority="327">
      <formula>AND(IF($Q20=3,1,IF($Q20=4,1,0)),IF($F20&lt;=85,1,0))</formula>
    </cfRule>
  </conditionalFormatting>
  <conditionalFormatting sqref="AI20">
    <cfRule type="expression" dxfId="4391" priority="320">
      <formula>AND(IF(OR($Q20=1,$Q20=2),1,0),IF($X20&lt;=20,1,0))</formula>
    </cfRule>
    <cfRule type="expression" dxfId="4390" priority="321">
      <formula>AND(IF($Q20=2,1,0),IF($X20&lt;30,1,0))</formula>
    </cfRule>
    <cfRule type="expression" dxfId="4389" priority="322">
      <formula>AND(IF($Q20=3,1,0),IF($X20&lt;30,1,0))</formula>
    </cfRule>
    <cfRule type="expression" dxfId="4388" priority="323">
      <formula>AND(IF($Q20=3,1,IF($Q20=4,1,0)),IF($F20&lt;=85,1,0))</formula>
    </cfRule>
  </conditionalFormatting>
  <conditionalFormatting sqref="AV21">
    <cfRule type="expression" dxfId="4387" priority="318">
      <formula>AV21="X"</formula>
    </cfRule>
    <cfRule type="expression" dxfId="4386" priority="319">
      <formula>AV21="후보"</formula>
    </cfRule>
  </conditionalFormatting>
  <conditionalFormatting sqref="AC21">
    <cfRule type="cellIs" dxfId="4385" priority="315" operator="greaterThan">
      <formula>0.9</formula>
    </cfRule>
    <cfRule type="cellIs" dxfId="4384" priority="316" operator="greaterThan">
      <formula>0.85</formula>
    </cfRule>
  </conditionalFormatting>
  <conditionalFormatting sqref="N21">
    <cfRule type="cellIs" dxfId="4383" priority="313" operator="greaterThan">
      <formula>0.9</formula>
    </cfRule>
    <cfRule type="cellIs" dxfId="4382" priority="314" operator="greaterThan">
      <formula>0.85</formula>
    </cfRule>
  </conditionalFormatting>
  <conditionalFormatting sqref="E21">
    <cfRule type="expression" dxfId="4381" priority="309">
      <formula>AND(IF(OR($Q21=1,$Q21=2),1,0),IF($X21&lt;=20,1,0))</formula>
    </cfRule>
    <cfRule type="expression" dxfId="4380" priority="310">
      <formula>AND(IF($Q21=2,1,0),IF($X21&lt;30,1,0))</formula>
    </cfRule>
    <cfRule type="expression" dxfId="4379" priority="311">
      <formula>AND(IF($Q21=3,1,0),IF($X21&lt;30,1,0))</formula>
    </cfRule>
    <cfRule type="expression" dxfId="4378" priority="312">
      <formula>AND(IF($Q21=3,1,IF($Q21=4,1,0)),IF($F21&lt;=85,1,0))</formula>
    </cfRule>
  </conditionalFormatting>
  <conditionalFormatting sqref="X21">
    <cfRule type="expression" dxfId="4377" priority="305">
      <formula>AND(IF(OR($Q21=1,$Q21=2),1,0),IF($X21&lt;=20,1,0))</formula>
    </cfRule>
    <cfRule type="expression" dxfId="4376" priority="306">
      <formula>AND(IF($Q21=2,1,0),IF($X21&lt;30,1,0))</formula>
    </cfRule>
    <cfRule type="expression" dxfId="4375" priority="307">
      <formula>AND(IF($Q21=3,1,0),IF($X21&lt;30,1,0))</formula>
    </cfRule>
    <cfRule type="expression" dxfId="4374" priority="308">
      <formula>AND(IF($Q21=3,1,IF($Q21=4,1,0)),IF($F21&lt;=85,1,0))</formula>
    </cfRule>
  </conditionalFormatting>
  <conditionalFormatting sqref="AI21">
    <cfRule type="expression" dxfId="4373" priority="301">
      <formula>AND(IF(OR($Q21=1,$Q21=2),1,0),IF($X21&lt;=20,1,0))</formula>
    </cfRule>
    <cfRule type="expression" dxfId="4372" priority="302">
      <formula>AND(IF($Q21=2,1,0),IF($X21&lt;30,1,0))</formula>
    </cfRule>
    <cfRule type="expression" dxfId="4371" priority="303">
      <formula>AND(IF($Q21=3,1,0),IF($X21&lt;30,1,0))</formula>
    </cfRule>
    <cfRule type="expression" dxfId="4370" priority="304">
      <formula>AND(IF($Q21=3,1,IF($Q21=4,1,0)),IF($F21&lt;=85,1,0))</formula>
    </cfRule>
  </conditionalFormatting>
  <conditionalFormatting sqref="AV22">
    <cfRule type="expression" dxfId="4369" priority="299">
      <formula>AV22="X"</formula>
    </cfRule>
    <cfRule type="expression" dxfId="4368" priority="300">
      <formula>AV22="후보"</formula>
    </cfRule>
  </conditionalFormatting>
  <conditionalFormatting sqref="AC22">
    <cfRule type="cellIs" dxfId="4367" priority="296" operator="greaterThan">
      <formula>0.9</formula>
    </cfRule>
    <cfRule type="cellIs" dxfId="4366" priority="297" operator="greaterThan">
      <formula>0.85</formula>
    </cfRule>
  </conditionalFormatting>
  <conditionalFormatting sqref="N22">
    <cfRule type="cellIs" dxfId="4365" priority="294" operator="greaterThan">
      <formula>0.9</formula>
    </cfRule>
    <cfRule type="cellIs" dxfId="4364" priority="295" operator="greaterThan">
      <formula>0.85</formula>
    </cfRule>
  </conditionalFormatting>
  <conditionalFormatting sqref="E22">
    <cfRule type="expression" dxfId="4363" priority="290">
      <formula>AND(IF(OR($Q22=1,$Q22=2),1,0),IF($X22&lt;=20,1,0))</formula>
    </cfRule>
    <cfRule type="expression" dxfId="4362" priority="291">
      <formula>AND(IF($Q22=2,1,0),IF($X22&lt;30,1,0))</formula>
    </cfRule>
    <cfRule type="expression" dxfId="4361" priority="292">
      <formula>AND(IF($Q22=3,1,0),IF($X22&lt;30,1,0))</formula>
    </cfRule>
    <cfRule type="expression" dxfId="4360" priority="293">
      <formula>AND(IF($Q22=3,1,IF($Q22=4,1,0)),IF($F22&lt;=85,1,0))</formula>
    </cfRule>
  </conditionalFormatting>
  <conditionalFormatting sqref="X22">
    <cfRule type="expression" dxfId="4359" priority="286">
      <formula>AND(IF(OR($Q22=1,$Q22=2),1,0),IF($X22&lt;=20,1,0))</formula>
    </cfRule>
    <cfRule type="expression" dxfId="4358" priority="287">
      <formula>AND(IF($Q22=2,1,0),IF($X22&lt;30,1,0))</formula>
    </cfRule>
    <cfRule type="expression" dxfId="4357" priority="288">
      <formula>AND(IF($Q22=3,1,0),IF($X22&lt;30,1,0))</formula>
    </cfRule>
    <cfRule type="expression" dxfId="4356" priority="289">
      <formula>AND(IF($Q22=3,1,IF($Q22=4,1,0)),IF($F22&lt;=85,1,0))</formula>
    </cfRule>
  </conditionalFormatting>
  <conditionalFormatting sqref="AI22">
    <cfRule type="expression" dxfId="4355" priority="282">
      <formula>AND(IF(OR($Q22=1,$Q22=2),1,0),IF($X22&lt;=20,1,0))</formula>
    </cfRule>
    <cfRule type="expression" dxfId="4354" priority="283">
      <formula>AND(IF($Q22=2,1,0),IF($X22&lt;30,1,0))</formula>
    </cfRule>
    <cfRule type="expression" dxfId="4353" priority="284">
      <formula>AND(IF($Q22=3,1,0),IF($X22&lt;30,1,0))</formula>
    </cfRule>
    <cfRule type="expression" dxfId="4352" priority="285">
      <formula>AND(IF($Q22=3,1,IF($Q22=4,1,0)),IF($F22&lt;=85,1,0))</formula>
    </cfRule>
  </conditionalFormatting>
  <conditionalFormatting sqref="AV23">
    <cfRule type="expression" dxfId="4351" priority="280">
      <formula>AV23="X"</formula>
    </cfRule>
    <cfRule type="expression" dxfId="4350" priority="281">
      <formula>AV23="후보"</formula>
    </cfRule>
  </conditionalFormatting>
  <conditionalFormatting sqref="AC23">
    <cfRule type="cellIs" dxfId="4349" priority="277" operator="greaterThan">
      <formula>0.9</formula>
    </cfRule>
    <cfRule type="cellIs" dxfId="4348" priority="278" operator="greaterThan">
      <formula>0.85</formula>
    </cfRule>
  </conditionalFormatting>
  <conditionalFormatting sqref="N23">
    <cfRule type="cellIs" dxfId="4347" priority="275" operator="greaterThan">
      <formula>0.9</formula>
    </cfRule>
    <cfRule type="cellIs" dxfId="4346" priority="276" operator="greaterThan">
      <formula>0.85</formula>
    </cfRule>
  </conditionalFormatting>
  <conditionalFormatting sqref="E23">
    <cfRule type="expression" dxfId="4345" priority="271">
      <formula>AND(IF(OR($Q23=1,$Q23=2),1,0),IF($X23&lt;=20,1,0))</formula>
    </cfRule>
    <cfRule type="expression" dxfId="4344" priority="272">
      <formula>AND(IF($Q23=2,1,0),IF($X23&lt;30,1,0))</formula>
    </cfRule>
    <cfRule type="expression" dxfId="4343" priority="273">
      <formula>AND(IF($Q23=3,1,0),IF($X23&lt;30,1,0))</formula>
    </cfRule>
    <cfRule type="expression" dxfId="4342" priority="274">
      <formula>AND(IF($Q23=3,1,IF($Q23=4,1,0)),IF($F23&lt;=85,1,0))</formula>
    </cfRule>
  </conditionalFormatting>
  <conditionalFormatting sqref="X23">
    <cfRule type="expression" dxfId="4341" priority="267">
      <formula>AND(IF(OR($Q23=1,$Q23=2),1,0),IF($X23&lt;=20,1,0))</formula>
    </cfRule>
    <cfRule type="expression" dxfId="4340" priority="268">
      <formula>AND(IF($Q23=2,1,0),IF($X23&lt;30,1,0))</formula>
    </cfRule>
    <cfRule type="expression" dxfId="4339" priority="269">
      <formula>AND(IF($Q23=3,1,0),IF($X23&lt;30,1,0))</formula>
    </cfRule>
    <cfRule type="expression" dxfId="4338" priority="270">
      <formula>AND(IF($Q23=3,1,IF($Q23=4,1,0)),IF($F23&lt;=85,1,0))</formula>
    </cfRule>
  </conditionalFormatting>
  <conditionalFormatting sqref="AI23">
    <cfRule type="expression" dxfId="4337" priority="263">
      <formula>AND(IF(OR($Q23=1,$Q23=2),1,0),IF($X23&lt;=20,1,0))</formula>
    </cfRule>
    <cfRule type="expression" dxfId="4336" priority="264">
      <formula>AND(IF($Q23=2,1,0),IF($X23&lt;30,1,0))</formula>
    </cfRule>
    <cfRule type="expression" dxfId="4335" priority="265">
      <formula>AND(IF($Q23=3,1,0),IF($X23&lt;30,1,0))</formula>
    </cfRule>
    <cfRule type="expression" dxfId="4334" priority="266">
      <formula>AND(IF($Q23=3,1,IF($Q23=4,1,0)),IF($F23&lt;=85,1,0))</formula>
    </cfRule>
  </conditionalFormatting>
  <conditionalFormatting sqref="AV24">
    <cfRule type="expression" dxfId="4333" priority="261">
      <formula>AV24="X"</formula>
    </cfRule>
    <cfRule type="expression" dxfId="4332" priority="262">
      <formula>AV24="후보"</formula>
    </cfRule>
  </conditionalFormatting>
  <conditionalFormatting sqref="AC24">
    <cfRule type="cellIs" dxfId="4331" priority="258" operator="greaterThan">
      <formula>0.9</formula>
    </cfRule>
    <cfRule type="cellIs" dxfId="4330" priority="259" operator="greaterThan">
      <formula>0.85</formula>
    </cfRule>
  </conditionalFormatting>
  <conditionalFormatting sqref="N24">
    <cfRule type="cellIs" dxfId="4329" priority="256" operator="greaterThan">
      <formula>0.9</formula>
    </cfRule>
    <cfRule type="cellIs" dxfId="4328" priority="257" operator="greaterThan">
      <formula>0.85</formula>
    </cfRule>
  </conditionalFormatting>
  <conditionalFormatting sqref="E24">
    <cfRule type="expression" dxfId="4327" priority="252">
      <formula>AND(IF(OR($Q24=1,$Q24=2),1,0),IF($X24&lt;=20,1,0))</formula>
    </cfRule>
    <cfRule type="expression" dxfId="4326" priority="253">
      <formula>AND(IF($Q24=2,1,0),IF($X24&lt;30,1,0))</formula>
    </cfRule>
    <cfRule type="expression" dxfId="4325" priority="254">
      <formula>AND(IF($Q24=3,1,0),IF($X24&lt;30,1,0))</formula>
    </cfRule>
    <cfRule type="expression" dxfId="4324" priority="255">
      <formula>AND(IF($Q24=3,1,IF($Q24=4,1,0)),IF($F24&lt;=85,1,0))</formula>
    </cfRule>
  </conditionalFormatting>
  <conditionalFormatting sqref="X24">
    <cfRule type="expression" dxfId="4323" priority="248">
      <formula>AND(IF(OR($Q24=1,$Q24=2),1,0),IF($X24&lt;=20,1,0))</formula>
    </cfRule>
    <cfRule type="expression" dxfId="4322" priority="249">
      <formula>AND(IF($Q24=2,1,0),IF($X24&lt;30,1,0))</formula>
    </cfRule>
    <cfRule type="expression" dxfId="4321" priority="250">
      <formula>AND(IF($Q24=3,1,0),IF($X24&lt;30,1,0))</formula>
    </cfRule>
    <cfRule type="expression" dxfId="4320" priority="251">
      <formula>AND(IF($Q24=3,1,IF($Q24=4,1,0)),IF($F24&lt;=85,1,0))</formula>
    </cfRule>
  </conditionalFormatting>
  <conditionalFormatting sqref="AI24">
    <cfRule type="expression" dxfId="4319" priority="244">
      <formula>AND(IF(OR($Q24=1,$Q24=2),1,0),IF($X24&lt;=20,1,0))</formula>
    </cfRule>
    <cfRule type="expression" dxfId="4318" priority="245">
      <formula>AND(IF($Q24=2,1,0),IF($X24&lt;30,1,0))</formula>
    </cfRule>
    <cfRule type="expression" dxfId="4317" priority="246">
      <formula>AND(IF($Q24=3,1,0),IF($X24&lt;30,1,0))</formula>
    </cfRule>
    <cfRule type="expression" dxfId="4316" priority="247">
      <formula>AND(IF($Q24=3,1,IF($Q24=4,1,0)),IF($F24&lt;=85,1,0))</formula>
    </cfRule>
  </conditionalFormatting>
  <conditionalFormatting sqref="AV25">
    <cfRule type="expression" dxfId="4315" priority="242">
      <formula>AV25="X"</formula>
    </cfRule>
    <cfRule type="expression" dxfId="4314" priority="243">
      <formula>AV25="후보"</formula>
    </cfRule>
  </conditionalFormatting>
  <conditionalFormatting sqref="AC25">
    <cfRule type="cellIs" dxfId="4313" priority="239" operator="greaterThan">
      <formula>0.9</formula>
    </cfRule>
    <cfRule type="cellIs" dxfId="4312" priority="240" operator="greaterThan">
      <formula>0.85</formula>
    </cfRule>
  </conditionalFormatting>
  <conditionalFormatting sqref="N25">
    <cfRule type="cellIs" dxfId="4311" priority="237" operator="greaterThan">
      <formula>0.9</formula>
    </cfRule>
    <cfRule type="cellIs" dxfId="4310" priority="238" operator="greaterThan">
      <formula>0.85</formula>
    </cfRule>
  </conditionalFormatting>
  <conditionalFormatting sqref="E25">
    <cfRule type="expression" dxfId="4309" priority="233">
      <formula>AND(IF(OR($Q25=1,$Q25=2),1,0),IF($X25&lt;=20,1,0))</formula>
    </cfRule>
    <cfRule type="expression" dxfId="4308" priority="234">
      <formula>AND(IF($Q25=2,1,0),IF($X25&lt;30,1,0))</formula>
    </cfRule>
    <cfRule type="expression" dxfId="4307" priority="235">
      <formula>AND(IF($Q25=3,1,0),IF($X25&lt;30,1,0))</formula>
    </cfRule>
    <cfRule type="expression" dxfId="4306" priority="236">
      <formula>AND(IF($Q25=3,1,IF($Q25=4,1,0)),IF($F25&lt;=85,1,0))</formula>
    </cfRule>
  </conditionalFormatting>
  <conditionalFormatting sqref="X25">
    <cfRule type="expression" dxfId="4305" priority="229">
      <formula>AND(IF(OR($Q25=1,$Q25=2),1,0),IF($X25&lt;=20,1,0))</formula>
    </cfRule>
    <cfRule type="expression" dxfId="4304" priority="230">
      <formula>AND(IF($Q25=2,1,0),IF($X25&lt;30,1,0))</formula>
    </cfRule>
    <cfRule type="expression" dxfId="4303" priority="231">
      <formula>AND(IF($Q25=3,1,0),IF($X25&lt;30,1,0))</formula>
    </cfRule>
    <cfRule type="expression" dxfId="4302" priority="232">
      <formula>AND(IF($Q25=3,1,IF($Q25=4,1,0)),IF($F25&lt;=85,1,0))</formula>
    </cfRule>
  </conditionalFormatting>
  <conditionalFormatting sqref="AI25">
    <cfRule type="expression" dxfId="4301" priority="225">
      <formula>AND(IF(OR($Q25=1,$Q25=2),1,0),IF($X25&lt;=20,1,0))</formula>
    </cfRule>
    <cfRule type="expression" dxfId="4300" priority="226">
      <formula>AND(IF($Q25=2,1,0),IF($X25&lt;30,1,0))</formula>
    </cfRule>
    <cfRule type="expression" dxfId="4299" priority="227">
      <formula>AND(IF($Q25=3,1,0),IF($X25&lt;30,1,0))</formula>
    </cfRule>
    <cfRule type="expression" dxfId="4298" priority="228">
      <formula>AND(IF($Q25=3,1,IF($Q25=4,1,0)),IF($F25&lt;=85,1,0))</formula>
    </cfRule>
  </conditionalFormatting>
  <conditionalFormatting sqref="AV26">
    <cfRule type="expression" dxfId="4297" priority="223">
      <formula>AV26="X"</formula>
    </cfRule>
    <cfRule type="expression" dxfId="4296" priority="224">
      <formula>AV26="후보"</formula>
    </cfRule>
  </conditionalFormatting>
  <conditionalFormatting sqref="AC26">
    <cfRule type="cellIs" dxfId="4295" priority="220" operator="greaterThan">
      <formula>0.9</formula>
    </cfRule>
    <cfRule type="cellIs" dxfId="4294" priority="221" operator="greaterThan">
      <formula>0.85</formula>
    </cfRule>
  </conditionalFormatting>
  <conditionalFormatting sqref="N26">
    <cfRule type="cellIs" dxfId="4293" priority="218" operator="greaterThan">
      <formula>0.9</formula>
    </cfRule>
    <cfRule type="cellIs" dxfId="4292" priority="219" operator="greaterThan">
      <formula>0.85</formula>
    </cfRule>
  </conditionalFormatting>
  <conditionalFormatting sqref="E26">
    <cfRule type="expression" dxfId="4291" priority="214">
      <formula>AND(IF(OR($Q26=1,$Q26=2),1,0),IF($X26&lt;=20,1,0))</formula>
    </cfRule>
    <cfRule type="expression" dxfId="4290" priority="215">
      <formula>AND(IF($Q26=2,1,0),IF($X26&lt;30,1,0))</formula>
    </cfRule>
    <cfRule type="expression" dxfId="4289" priority="216">
      <formula>AND(IF($Q26=3,1,0),IF($X26&lt;30,1,0))</formula>
    </cfRule>
    <cfRule type="expression" dxfId="4288" priority="217">
      <formula>AND(IF($Q26=3,1,IF($Q26=4,1,0)),IF($F26&lt;=85,1,0))</formula>
    </cfRule>
  </conditionalFormatting>
  <conditionalFormatting sqref="X26">
    <cfRule type="expression" dxfId="4287" priority="210">
      <formula>AND(IF(OR($Q26=1,$Q26=2),1,0),IF($X26&lt;=20,1,0))</formula>
    </cfRule>
    <cfRule type="expression" dxfId="4286" priority="211">
      <formula>AND(IF($Q26=2,1,0),IF($X26&lt;30,1,0))</formula>
    </cfRule>
    <cfRule type="expression" dxfId="4285" priority="212">
      <formula>AND(IF($Q26=3,1,0),IF($X26&lt;30,1,0))</formula>
    </cfRule>
    <cfRule type="expression" dxfId="4284" priority="213">
      <formula>AND(IF($Q26=3,1,IF($Q26=4,1,0)),IF($F26&lt;=85,1,0))</formula>
    </cfRule>
  </conditionalFormatting>
  <conditionalFormatting sqref="AI26">
    <cfRule type="expression" dxfId="4283" priority="206">
      <formula>AND(IF(OR($Q26=1,$Q26=2),1,0),IF($X26&lt;=20,1,0))</formula>
    </cfRule>
    <cfRule type="expression" dxfId="4282" priority="207">
      <formula>AND(IF($Q26=2,1,0),IF($X26&lt;30,1,0))</formula>
    </cfRule>
    <cfRule type="expression" dxfId="4281" priority="208">
      <formula>AND(IF($Q26=3,1,0),IF($X26&lt;30,1,0))</formula>
    </cfRule>
    <cfRule type="expression" dxfId="4280" priority="209">
      <formula>AND(IF($Q26=3,1,IF($Q26=4,1,0)),IF($F26&lt;=85,1,0))</formula>
    </cfRule>
  </conditionalFormatting>
  <conditionalFormatting sqref="AV27">
    <cfRule type="expression" dxfId="4279" priority="204">
      <formula>AV27="X"</formula>
    </cfRule>
    <cfRule type="expression" dxfId="4278" priority="205">
      <formula>AV27="후보"</formula>
    </cfRule>
  </conditionalFormatting>
  <conditionalFormatting sqref="AC27">
    <cfRule type="cellIs" dxfId="4277" priority="201" operator="greaterThan">
      <formula>0.9</formula>
    </cfRule>
    <cfRule type="cellIs" dxfId="4276" priority="202" operator="greaterThan">
      <formula>0.85</formula>
    </cfRule>
  </conditionalFormatting>
  <conditionalFormatting sqref="N27">
    <cfRule type="cellIs" dxfId="4275" priority="199" operator="greaterThan">
      <formula>0.9</formula>
    </cfRule>
    <cfRule type="cellIs" dxfId="4274" priority="200" operator="greaterThan">
      <formula>0.85</formula>
    </cfRule>
  </conditionalFormatting>
  <conditionalFormatting sqref="E27">
    <cfRule type="expression" dxfId="4273" priority="195">
      <formula>AND(IF(OR($Q27=1,$Q27=2),1,0),IF($X27&lt;=20,1,0))</formula>
    </cfRule>
    <cfRule type="expression" dxfId="4272" priority="196">
      <formula>AND(IF($Q27=2,1,0),IF($X27&lt;30,1,0))</formula>
    </cfRule>
    <cfRule type="expression" dxfId="4271" priority="197">
      <formula>AND(IF($Q27=3,1,0),IF($X27&lt;30,1,0))</formula>
    </cfRule>
    <cfRule type="expression" dxfId="4270" priority="198">
      <formula>AND(IF($Q27=3,1,IF($Q27=4,1,0)),IF($F27&lt;=85,1,0))</formula>
    </cfRule>
  </conditionalFormatting>
  <conditionalFormatting sqref="X27">
    <cfRule type="expression" dxfId="4269" priority="191">
      <formula>AND(IF(OR($Q27=1,$Q27=2),1,0),IF($X27&lt;=20,1,0))</formula>
    </cfRule>
    <cfRule type="expression" dxfId="4268" priority="192">
      <formula>AND(IF($Q27=2,1,0),IF($X27&lt;30,1,0))</formula>
    </cfRule>
    <cfRule type="expression" dxfId="4267" priority="193">
      <formula>AND(IF($Q27=3,1,0),IF($X27&lt;30,1,0))</formula>
    </cfRule>
    <cfRule type="expression" dxfId="4266" priority="194">
      <formula>AND(IF($Q27=3,1,IF($Q27=4,1,0)),IF($F27&lt;=85,1,0))</formula>
    </cfRule>
  </conditionalFormatting>
  <conditionalFormatting sqref="AI27">
    <cfRule type="expression" dxfId="4265" priority="187">
      <formula>AND(IF(OR($Q27=1,$Q27=2),1,0),IF($X27&lt;=20,1,0))</formula>
    </cfRule>
    <cfRule type="expression" dxfId="4264" priority="188">
      <formula>AND(IF($Q27=2,1,0),IF($X27&lt;30,1,0))</formula>
    </cfRule>
    <cfRule type="expression" dxfId="4263" priority="189">
      <formula>AND(IF($Q27=3,1,0),IF($X27&lt;30,1,0))</formula>
    </cfRule>
    <cfRule type="expression" dxfId="4262" priority="190">
      <formula>AND(IF($Q27=3,1,IF($Q27=4,1,0)),IF($F27&lt;=85,1,0))</formula>
    </cfRule>
  </conditionalFormatting>
  <conditionalFormatting sqref="AV28">
    <cfRule type="expression" dxfId="4261" priority="185">
      <formula>AV28="X"</formula>
    </cfRule>
    <cfRule type="expression" dxfId="4260" priority="186">
      <formula>AV28="후보"</formula>
    </cfRule>
  </conditionalFormatting>
  <conditionalFormatting sqref="AC28">
    <cfRule type="cellIs" dxfId="4259" priority="182" operator="greaterThan">
      <formula>0.9</formula>
    </cfRule>
    <cfRule type="cellIs" dxfId="4258" priority="183" operator="greaterThan">
      <formula>0.85</formula>
    </cfRule>
  </conditionalFormatting>
  <conditionalFormatting sqref="N28">
    <cfRule type="cellIs" dxfId="4257" priority="180" operator="greaterThan">
      <formula>0.9</formula>
    </cfRule>
    <cfRule type="cellIs" dxfId="4256" priority="181" operator="greaterThan">
      <formula>0.85</formula>
    </cfRule>
  </conditionalFormatting>
  <conditionalFormatting sqref="E28">
    <cfRule type="expression" dxfId="4255" priority="176">
      <formula>AND(IF(OR($Q28=1,$Q28=2),1,0),IF($X28&lt;=20,1,0))</formula>
    </cfRule>
    <cfRule type="expression" dxfId="4254" priority="177">
      <formula>AND(IF($Q28=2,1,0),IF($X28&lt;30,1,0))</formula>
    </cfRule>
    <cfRule type="expression" dxfId="4253" priority="178">
      <formula>AND(IF($Q28=3,1,0),IF($X28&lt;30,1,0))</formula>
    </cfRule>
    <cfRule type="expression" dxfId="4252" priority="179">
      <formula>AND(IF($Q28=3,1,IF($Q28=4,1,0)),IF($F28&lt;=85,1,0))</formula>
    </cfRule>
  </conditionalFormatting>
  <conditionalFormatting sqref="X28">
    <cfRule type="expression" dxfId="4251" priority="172">
      <formula>AND(IF(OR($Q28=1,$Q28=2),1,0),IF($X28&lt;=20,1,0))</formula>
    </cfRule>
    <cfRule type="expression" dxfId="4250" priority="173">
      <formula>AND(IF($Q28=2,1,0),IF($X28&lt;30,1,0))</formula>
    </cfRule>
    <cfRule type="expression" dxfId="4249" priority="174">
      <formula>AND(IF($Q28=3,1,0),IF($X28&lt;30,1,0))</formula>
    </cfRule>
    <cfRule type="expression" dxfId="4248" priority="175">
      <formula>AND(IF($Q28=3,1,IF($Q28=4,1,0)),IF($F28&lt;=85,1,0))</formula>
    </cfRule>
  </conditionalFormatting>
  <conditionalFormatting sqref="AI28">
    <cfRule type="expression" dxfId="4247" priority="168">
      <formula>AND(IF(OR($Q28=1,$Q28=2),1,0),IF($X28&lt;=20,1,0))</formula>
    </cfRule>
    <cfRule type="expression" dxfId="4246" priority="169">
      <formula>AND(IF($Q28=2,1,0),IF($X28&lt;30,1,0))</formula>
    </cfRule>
    <cfRule type="expression" dxfId="4245" priority="170">
      <formula>AND(IF($Q28=3,1,0),IF($X28&lt;30,1,0))</formula>
    </cfRule>
    <cfRule type="expression" dxfId="4244" priority="171">
      <formula>AND(IF($Q28=3,1,IF($Q28=4,1,0)),IF($F28&lt;=85,1,0))</formula>
    </cfRule>
  </conditionalFormatting>
  <conditionalFormatting sqref="AV29">
    <cfRule type="expression" dxfId="4243" priority="166">
      <formula>AV29="X"</formula>
    </cfRule>
    <cfRule type="expression" dxfId="4242" priority="167">
      <formula>AV29="후보"</formula>
    </cfRule>
  </conditionalFormatting>
  <conditionalFormatting sqref="AC29 N29">
    <cfRule type="cellIs" dxfId="4241" priority="163" operator="greaterThan">
      <formula>0.9</formula>
    </cfRule>
    <cfRule type="cellIs" dxfId="4240" priority="164" operator="greaterThan">
      <formula>0.85</formula>
    </cfRule>
  </conditionalFormatting>
  <conditionalFormatting sqref="AV30">
    <cfRule type="expression" dxfId="4239" priority="161">
      <formula>AV30="X"</formula>
    </cfRule>
    <cfRule type="expression" dxfId="4238" priority="162">
      <formula>AV30="후보"</formula>
    </cfRule>
  </conditionalFormatting>
  <conditionalFormatting sqref="AC30">
    <cfRule type="cellIs" dxfId="4237" priority="158" operator="greaterThan">
      <formula>0.9</formula>
    </cfRule>
    <cfRule type="cellIs" dxfId="4236" priority="159" operator="greaterThan">
      <formula>0.85</formula>
    </cfRule>
  </conditionalFormatting>
  <conditionalFormatting sqref="N30">
    <cfRule type="cellIs" dxfId="4235" priority="156" operator="greaterThan">
      <formula>0.9</formula>
    </cfRule>
    <cfRule type="cellIs" dxfId="4234" priority="157" operator="greaterThan">
      <formula>0.85</formula>
    </cfRule>
  </conditionalFormatting>
  <conditionalFormatting sqref="E30">
    <cfRule type="expression" dxfId="4233" priority="152">
      <formula>AND(IF(OR($Q30=1,$Q30=2),1,0),IF($X30&lt;=20,1,0))</formula>
    </cfRule>
    <cfRule type="expression" dxfId="4232" priority="153">
      <formula>AND(IF($Q30=2,1,0),IF($X30&lt;30,1,0))</formula>
    </cfRule>
    <cfRule type="expression" dxfId="4231" priority="154">
      <formula>AND(IF($Q30=3,1,0),IF($X30&lt;30,1,0))</formula>
    </cfRule>
    <cfRule type="expression" dxfId="4230" priority="155">
      <formula>AND(IF($Q30=3,1,IF($Q30=4,1,0)),IF($F30&lt;=85,1,0))</formula>
    </cfRule>
  </conditionalFormatting>
  <conditionalFormatting sqref="X30">
    <cfRule type="expression" dxfId="4229" priority="148">
      <formula>AND(IF(OR($Q30=1,$Q30=2),1,0),IF($X30&lt;=20,1,0))</formula>
    </cfRule>
    <cfRule type="expression" dxfId="4228" priority="149">
      <formula>AND(IF($Q30=2,1,0),IF($X30&lt;30,1,0))</formula>
    </cfRule>
    <cfRule type="expression" dxfId="4227" priority="150">
      <formula>AND(IF($Q30=3,1,0),IF($X30&lt;30,1,0))</formula>
    </cfRule>
    <cfRule type="expression" dxfId="4226" priority="151">
      <formula>AND(IF($Q30=3,1,IF($Q30=4,1,0)),IF($F30&lt;=85,1,0))</formula>
    </cfRule>
  </conditionalFormatting>
  <conditionalFormatting sqref="AI30">
    <cfRule type="expression" dxfId="4225" priority="144">
      <formula>AND(IF(OR($Q30=1,$Q30=2),1,0),IF($X30&lt;=20,1,0))</formula>
    </cfRule>
    <cfRule type="expression" dxfId="4224" priority="145">
      <formula>AND(IF($Q30=2,1,0),IF($X30&lt;30,1,0))</formula>
    </cfRule>
    <cfRule type="expression" dxfId="4223" priority="146">
      <formula>AND(IF($Q30=3,1,0),IF($X30&lt;30,1,0))</formula>
    </cfRule>
    <cfRule type="expression" dxfId="4222" priority="147">
      <formula>AND(IF($Q30=3,1,IF($Q30=4,1,0)),IF($F30&lt;=85,1,0))</formula>
    </cfRule>
  </conditionalFormatting>
  <conditionalFormatting sqref="AV31">
    <cfRule type="expression" dxfId="4221" priority="142">
      <formula>AV31="X"</formula>
    </cfRule>
    <cfRule type="expression" dxfId="4220" priority="143">
      <formula>AV31="후보"</formula>
    </cfRule>
  </conditionalFormatting>
  <conditionalFormatting sqref="AC31">
    <cfRule type="cellIs" dxfId="4219" priority="139" operator="greaterThan">
      <formula>0.9</formula>
    </cfRule>
    <cfRule type="cellIs" dxfId="4218" priority="140" operator="greaterThan">
      <formula>0.85</formula>
    </cfRule>
  </conditionalFormatting>
  <conditionalFormatting sqref="N31">
    <cfRule type="cellIs" dxfId="4217" priority="137" operator="greaterThan">
      <formula>0.9</formula>
    </cfRule>
    <cfRule type="cellIs" dxfId="4216" priority="138" operator="greaterThan">
      <formula>0.85</formula>
    </cfRule>
  </conditionalFormatting>
  <conditionalFormatting sqref="E31">
    <cfRule type="expression" dxfId="4215" priority="133">
      <formula>AND(IF(OR($Q31=1,$Q31=2),1,0),IF($X31&lt;=20,1,0))</formula>
    </cfRule>
    <cfRule type="expression" dxfId="4214" priority="134">
      <formula>AND(IF($Q31=2,1,0),IF($X31&lt;30,1,0))</formula>
    </cfRule>
    <cfRule type="expression" dxfId="4213" priority="135">
      <formula>AND(IF($Q31=3,1,0),IF($X31&lt;30,1,0))</formula>
    </cfRule>
    <cfRule type="expression" dxfId="4212" priority="136">
      <formula>AND(IF($Q31=3,1,IF($Q31=4,1,0)),IF($F31&lt;=85,1,0))</formula>
    </cfRule>
  </conditionalFormatting>
  <conditionalFormatting sqref="X31">
    <cfRule type="expression" dxfId="4211" priority="129">
      <formula>AND(IF(OR($Q31=1,$Q31=2),1,0),IF($X31&lt;=20,1,0))</formula>
    </cfRule>
    <cfRule type="expression" dxfId="4210" priority="130">
      <formula>AND(IF($Q31=2,1,0),IF($X31&lt;30,1,0))</formula>
    </cfRule>
    <cfRule type="expression" dxfId="4209" priority="131">
      <formula>AND(IF($Q31=3,1,0),IF($X31&lt;30,1,0))</formula>
    </cfRule>
    <cfRule type="expression" dxfId="4208" priority="132">
      <formula>AND(IF($Q31=3,1,IF($Q31=4,1,0)),IF($F31&lt;=85,1,0))</formula>
    </cfRule>
  </conditionalFormatting>
  <conditionalFormatting sqref="AI31">
    <cfRule type="expression" dxfId="4207" priority="125">
      <formula>AND(IF(OR($Q31=1,$Q31=2),1,0),IF($X31&lt;=20,1,0))</formula>
    </cfRule>
    <cfRule type="expression" dxfId="4206" priority="126">
      <formula>AND(IF($Q31=2,1,0),IF($X31&lt;30,1,0))</formula>
    </cfRule>
    <cfRule type="expression" dxfId="4205" priority="127">
      <formula>AND(IF($Q31=3,1,0),IF($X31&lt;30,1,0))</formula>
    </cfRule>
    <cfRule type="expression" dxfId="4204" priority="128">
      <formula>AND(IF($Q31=3,1,IF($Q31=4,1,0)),IF($F31&lt;=85,1,0))</formula>
    </cfRule>
  </conditionalFormatting>
  <conditionalFormatting sqref="AV32">
    <cfRule type="expression" dxfId="4203" priority="123">
      <formula>AV32="X"</formula>
    </cfRule>
    <cfRule type="expression" dxfId="4202" priority="124">
      <formula>AV32="후보"</formula>
    </cfRule>
  </conditionalFormatting>
  <conditionalFormatting sqref="AC32 N32">
    <cfRule type="cellIs" dxfId="4201" priority="120" operator="greaterThan">
      <formula>0.9</formula>
    </cfRule>
    <cfRule type="cellIs" dxfId="4200" priority="121" operator="greaterThan">
      <formula>0.85</formula>
    </cfRule>
  </conditionalFormatting>
  <conditionalFormatting sqref="AV33">
    <cfRule type="expression" dxfId="4199" priority="118">
      <formula>AV33="X"</formula>
    </cfRule>
    <cfRule type="expression" dxfId="4198" priority="119">
      <formula>AV33="후보"</formula>
    </cfRule>
  </conditionalFormatting>
  <conditionalFormatting sqref="AC33">
    <cfRule type="cellIs" dxfId="4197" priority="115" operator="greaterThan">
      <formula>0.9</formula>
    </cfRule>
    <cfRule type="cellIs" dxfId="4196" priority="116" operator="greaterThan">
      <formula>0.85</formula>
    </cfRule>
  </conditionalFormatting>
  <conditionalFormatting sqref="N33">
    <cfRule type="cellIs" dxfId="4195" priority="113" operator="greaterThan">
      <formula>0.9</formula>
    </cfRule>
    <cfRule type="cellIs" dxfId="4194" priority="114" operator="greaterThan">
      <formula>0.85</formula>
    </cfRule>
  </conditionalFormatting>
  <conditionalFormatting sqref="E33">
    <cfRule type="expression" dxfId="4193" priority="109">
      <formula>AND(IF(OR($Q33=1,$Q33=2),1,0),IF($X33&lt;=20,1,0))</formula>
    </cfRule>
    <cfRule type="expression" dxfId="4192" priority="110">
      <formula>AND(IF($Q33=2,1,0),IF($X33&lt;30,1,0))</formula>
    </cfRule>
    <cfRule type="expression" dxfId="4191" priority="111">
      <formula>AND(IF($Q33=3,1,0),IF($X33&lt;30,1,0))</formula>
    </cfRule>
    <cfRule type="expression" dxfId="4190" priority="112">
      <formula>AND(IF($Q33=3,1,IF($Q33=4,1,0)),IF($F33&lt;=85,1,0))</formula>
    </cfRule>
  </conditionalFormatting>
  <conditionalFormatting sqref="X33">
    <cfRule type="expression" dxfId="4189" priority="105">
      <formula>AND(IF(OR($Q33=1,$Q33=2),1,0),IF($X33&lt;=20,1,0))</formula>
    </cfRule>
    <cfRule type="expression" dxfId="4188" priority="106">
      <formula>AND(IF($Q33=2,1,0),IF($X33&lt;30,1,0))</formula>
    </cfRule>
    <cfRule type="expression" dxfId="4187" priority="107">
      <formula>AND(IF($Q33=3,1,0),IF($X33&lt;30,1,0))</formula>
    </cfRule>
    <cfRule type="expression" dxfId="4186" priority="108">
      <formula>AND(IF($Q33=3,1,IF($Q33=4,1,0)),IF($F33&lt;=85,1,0))</formula>
    </cfRule>
  </conditionalFormatting>
  <conditionalFormatting sqref="AI33">
    <cfRule type="expression" dxfId="4185" priority="101">
      <formula>AND(IF(OR($Q33=1,$Q33=2),1,0),IF($X33&lt;=20,1,0))</formula>
    </cfRule>
    <cfRule type="expression" dxfId="4184" priority="102">
      <formula>AND(IF($Q33=2,1,0),IF($X33&lt;30,1,0))</formula>
    </cfRule>
    <cfRule type="expression" dxfId="4183" priority="103">
      <formula>AND(IF($Q33=3,1,0),IF($X33&lt;30,1,0))</formula>
    </cfRule>
    <cfRule type="expression" dxfId="4182" priority="104">
      <formula>AND(IF($Q33=3,1,IF($Q33=4,1,0)),IF($F33&lt;=85,1,0))</formula>
    </cfRule>
  </conditionalFormatting>
  <conditionalFormatting sqref="AV34">
    <cfRule type="expression" dxfId="4181" priority="99">
      <formula>AV34="X"</formula>
    </cfRule>
    <cfRule type="expression" dxfId="4180" priority="100">
      <formula>AV34="후보"</formula>
    </cfRule>
  </conditionalFormatting>
  <conditionalFormatting sqref="AC34">
    <cfRule type="cellIs" dxfId="4179" priority="96" operator="greaterThan">
      <formula>0.9</formula>
    </cfRule>
    <cfRule type="cellIs" dxfId="4178" priority="97" operator="greaterThan">
      <formula>0.85</formula>
    </cfRule>
  </conditionalFormatting>
  <conditionalFormatting sqref="N34">
    <cfRule type="cellIs" dxfId="4177" priority="94" operator="greaterThan">
      <formula>0.9</formula>
    </cfRule>
    <cfRule type="cellIs" dxfId="4176" priority="95" operator="greaterThan">
      <formula>0.85</formula>
    </cfRule>
  </conditionalFormatting>
  <conditionalFormatting sqref="E34">
    <cfRule type="expression" dxfId="4175" priority="90">
      <formula>AND(IF(OR($Q34=1,$Q34=2),1,0),IF($X34&lt;=20,1,0))</formula>
    </cfRule>
    <cfRule type="expression" dxfId="4174" priority="91">
      <formula>AND(IF($Q34=2,1,0),IF($X34&lt;30,1,0))</formula>
    </cfRule>
    <cfRule type="expression" dxfId="4173" priority="92">
      <formula>AND(IF($Q34=3,1,0),IF($X34&lt;30,1,0))</formula>
    </cfRule>
    <cfRule type="expression" dxfId="4172" priority="93">
      <formula>AND(IF($Q34=3,1,IF($Q34=4,1,0)),IF($F34&lt;=85,1,0))</formula>
    </cfRule>
  </conditionalFormatting>
  <conditionalFormatting sqref="X34">
    <cfRule type="expression" dxfId="4171" priority="86">
      <formula>AND(IF(OR($Q34=1,$Q34=2),1,0),IF($X34&lt;=20,1,0))</formula>
    </cfRule>
    <cfRule type="expression" dxfId="4170" priority="87">
      <formula>AND(IF($Q34=2,1,0),IF($X34&lt;30,1,0))</formula>
    </cfRule>
    <cfRule type="expression" dxfId="4169" priority="88">
      <formula>AND(IF($Q34=3,1,0),IF($X34&lt;30,1,0))</formula>
    </cfRule>
    <cfRule type="expression" dxfId="4168" priority="89">
      <formula>AND(IF($Q34=3,1,IF($Q34=4,1,0)),IF($F34&lt;=85,1,0))</formula>
    </cfRule>
  </conditionalFormatting>
  <conditionalFormatting sqref="AI34">
    <cfRule type="expression" dxfId="4167" priority="82">
      <formula>AND(IF(OR($Q34=1,$Q34=2),1,0),IF($X34&lt;=20,1,0))</formula>
    </cfRule>
    <cfRule type="expression" dxfId="4166" priority="83">
      <formula>AND(IF($Q34=2,1,0),IF($X34&lt;30,1,0))</formula>
    </cfRule>
    <cfRule type="expression" dxfId="4165" priority="84">
      <formula>AND(IF($Q34=3,1,0),IF($X34&lt;30,1,0))</formula>
    </cfRule>
    <cfRule type="expression" dxfId="4164" priority="85">
      <formula>AND(IF($Q34=3,1,IF($Q34=4,1,0)),IF($F34&lt;=85,1,0))</formula>
    </cfRule>
  </conditionalFormatting>
  <conditionalFormatting sqref="AV35">
    <cfRule type="expression" dxfId="4163" priority="80">
      <formula>AV35="X"</formula>
    </cfRule>
    <cfRule type="expression" dxfId="4162" priority="81">
      <formula>AV35="후보"</formula>
    </cfRule>
  </conditionalFormatting>
  <conditionalFormatting sqref="AC35 N35">
    <cfRule type="cellIs" dxfId="4161" priority="77" operator="greaterThan">
      <formula>0.9</formula>
    </cfRule>
    <cfRule type="cellIs" dxfId="4160" priority="78" operator="greaterThan">
      <formula>0.85</formula>
    </cfRule>
  </conditionalFormatting>
  <conditionalFormatting sqref="AV36">
    <cfRule type="expression" dxfId="4159" priority="75">
      <formula>AV36="X"</formula>
    </cfRule>
    <cfRule type="expression" dxfId="4158" priority="76">
      <formula>AV36="후보"</formula>
    </cfRule>
  </conditionalFormatting>
  <conditionalFormatting sqref="AC36">
    <cfRule type="cellIs" dxfId="4157" priority="72" operator="greaterThan">
      <formula>0.9</formula>
    </cfRule>
    <cfRule type="cellIs" dxfId="4156" priority="73" operator="greaterThan">
      <formula>0.85</formula>
    </cfRule>
  </conditionalFormatting>
  <conditionalFormatting sqref="N36">
    <cfRule type="cellIs" dxfId="4155" priority="70" operator="greaterThan">
      <formula>0.9</formula>
    </cfRule>
    <cfRule type="cellIs" dxfId="4154" priority="71" operator="greaterThan">
      <formula>0.85</formula>
    </cfRule>
  </conditionalFormatting>
  <conditionalFormatting sqref="E36">
    <cfRule type="expression" dxfId="4153" priority="66">
      <formula>AND(IF(OR($Q36=1,$Q36=2),1,0),IF($X36&lt;=20,1,0))</formula>
    </cfRule>
    <cfRule type="expression" dxfId="4152" priority="67">
      <formula>AND(IF($Q36=2,1,0),IF($X36&lt;30,1,0))</formula>
    </cfRule>
    <cfRule type="expression" dxfId="4151" priority="68">
      <formula>AND(IF($Q36=3,1,0),IF($X36&lt;30,1,0))</formula>
    </cfRule>
    <cfRule type="expression" dxfId="4150" priority="69">
      <formula>AND(IF($Q36=3,1,IF($Q36=4,1,0)),IF($F36&lt;=85,1,0))</formula>
    </cfRule>
  </conditionalFormatting>
  <conditionalFormatting sqref="X36">
    <cfRule type="expression" dxfId="4149" priority="62">
      <formula>AND(IF(OR($Q36=1,$Q36=2),1,0),IF($X36&lt;=20,1,0))</formula>
    </cfRule>
    <cfRule type="expression" dxfId="4148" priority="63">
      <formula>AND(IF($Q36=2,1,0),IF($X36&lt;30,1,0))</formula>
    </cfRule>
    <cfRule type="expression" dxfId="4147" priority="64">
      <formula>AND(IF($Q36=3,1,0),IF($X36&lt;30,1,0))</formula>
    </cfRule>
    <cfRule type="expression" dxfId="4146" priority="65">
      <formula>AND(IF($Q36=3,1,IF($Q36=4,1,0)),IF($F36&lt;=85,1,0))</formula>
    </cfRule>
  </conditionalFormatting>
  <conditionalFormatting sqref="AI36">
    <cfRule type="expression" dxfId="4145" priority="58">
      <formula>AND(IF(OR($Q36=1,$Q36=2),1,0),IF($X36&lt;=20,1,0))</formula>
    </cfRule>
    <cfRule type="expression" dxfId="4144" priority="59">
      <formula>AND(IF($Q36=2,1,0),IF($X36&lt;30,1,0))</formula>
    </cfRule>
    <cfRule type="expression" dxfId="4143" priority="60">
      <formula>AND(IF($Q36=3,1,0),IF($X36&lt;30,1,0))</formula>
    </cfRule>
    <cfRule type="expression" dxfId="4142" priority="61">
      <formula>AND(IF($Q36=3,1,IF($Q36=4,1,0)),IF($F36&lt;=85,1,0))</formula>
    </cfRule>
  </conditionalFormatting>
  <conditionalFormatting sqref="AV37">
    <cfRule type="expression" dxfId="4141" priority="56">
      <formula>AV37="X"</formula>
    </cfRule>
    <cfRule type="expression" dxfId="4140" priority="57">
      <formula>AV37="후보"</formula>
    </cfRule>
  </conditionalFormatting>
  <conditionalFormatting sqref="AC37">
    <cfRule type="cellIs" dxfId="4139" priority="53" operator="greaterThan">
      <formula>0.9</formula>
    </cfRule>
    <cfRule type="cellIs" dxfId="4138" priority="54" operator="greaterThan">
      <formula>0.85</formula>
    </cfRule>
  </conditionalFormatting>
  <conditionalFormatting sqref="N37">
    <cfRule type="cellIs" dxfId="4137" priority="51" operator="greaterThan">
      <formula>0.9</formula>
    </cfRule>
    <cfRule type="cellIs" dxfId="4136" priority="52" operator="greaterThan">
      <formula>0.85</formula>
    </cfRule>
  </conditionalFormatting>
  <conditionalFormatting sqref="E37">
    <cfRule type="expression" dxfId="4135" priority="47">
      <formula>AND(IF(OR($Q37=1,$Q37=2),1,0),IF($X37&lt;=20,1,0))</formula>
    </cfRule>
    <cfRule type="expression" dxfId="4134" priority="48">
      <formula>AND(IF($Q37=2,1,0),IF($X37&lt;30,1,0))</formula>
    </cfRule>
    <cfRule type="expression" dxfId="4133" priority="49">
      <formula>AND(IF($Q37=3,1,0),IF($X37&lt;30,1,0))</formula>
    </cfRule>
    <cfRule type="expression" dxfId="4132" priority="50">
      <formula>AND(IF($Q37=3,1,IF($Q37=4,1,0)),IF($F37&lt;=85,1,0))</formula>
    </cfRule>
  </conditionalFormatting>
  <conditionalFormatting sqref="X37">
    <cfRule type="expression" dxfId="4131" priority="43">
      <formula>AND(IF(OR($Q37=1,$Q37=2),1,0),IF($X37&lt;=20,1,0))</formula>
    </cfRule>
    <cfRule type="expression" dxfId="4130" priority="44">
      <formula>AND(IF($Q37=2,1,0),IF($X37&lt;30,1,0))</formula>
    </cfRule>
    <cfRule type="expression" dxfId="4129" priority="45">
      <formula>AND(IF($Q37=3,1,0),IF($X37&lt;30,1,0))</formula>
    </cfRule>
    <cfRule type="expression" dxfId="4128" priority="46">
      <formula>AND(IF($Q37=3,1,IF($Q37=4,1,0)),IF($F37&lt;=85,1,0))</formula>
    </cfRule>
  </conditionalFormatting>
  <conditionalFormatting sqref="AI37">
    <cfRule type="expression" dxfId="4127" priority="39">
      <formula>AND(IF(OR($Q37=1,$Q37=2),1,0),IF($X37&lt;=20,1,0))</formula>
    </cfRule>
    <cfRule type="expression" dxfId="4126" priority="40">
      <formula>AND(IF($Q37=2,1,0),IF($X37&lt;30,1,0))</formula>
    </cfRule>
    <cfRule type="expression" dxfId="4125" priority="41">
      <formula>AND(IF($Q37=3,1,0),IF($X37&lt;30,1,0))</formula>
    </cfRule>
    <cfRule type="expression" dxfId="4124" priority="42">
      <formula>AND(IF($Q37=3,1,IF($Q37=4,1,0)),IF($F37&lt;=85,1,0))</formula>
    </cfRule>
  </conditionalFormatting>
  <conditionalFormatting sqref="AV38">
    <cfRule type="expression" dxfId="4123" priority="37">
      <formula>AV38="X"</formula>
    </cfRule>
    <cfRule type="expression" dxfId="4122" priority="38">
      <formula>AV38="후보"</formula>
    </cfRule>
  </conditionalFormatting>
  <conditionalFormatting sqref="AC38">
    <cfRule type="cellIs" dxfId="4121" priority="34" operator="greaterThan">
      <formula>0.9</formula>
    </cfRule>
    <cfRule type="cellIs" dxfId="4120" priority="35" operator="greaterThan">
      <formula>0.85</formula>
    </cfRule>
  </conditionalFormatting>
  <conditionalFormatting sqref="N38">
    <cfRule type="cellIs" dxfId="4119" priority="32" operator="greaterThan">
      <formula>0.9</formula>
    </cfRule>
    <cfRule type="cellIs" dxfId="4118" priority="33" operator="greaterThan">
      <formula>0.85</formula>
    </cfRule>
  </conditionalFormatting>
  <conditionalFormatting sqref="E38">
    <cfRule type="expression" dxfId="4117" priority="28">
      <formula>AND(IF(OR($Q38=1,$Q38=2),1,0),IF($X38&lt;=20,1,0))</formula>
    </cfRule>
    <cfRule type="expression" dxfId="4116" priority="29">
      <formula>AND(IF($Q38=2,1,0),IF($X38&lt;30,1,0))</formula>
    </cfRule>
    <cfRule type="expression" dxfId="4115" priority="30">
      <formula>AND(IF($Q38=3,1,0),IF($X38&lt;30,1,0))</formula>
    </cfRule>
    <cfRule type="expression" dxfId="4114" priority="31">
      <formula>AND(IF($Q38=3,1,IF($Q38=4,1,0)),IF($F38&lt;=85,1,0))</formula>
    </cfRule>
  </conditionalFormatting>
  <conditionalFormatting sqref="X38">
    <cfRule type="expression" dxfId="4113" priority="24">
      <formula>AND(IF(OR($Q38=1,$Q38=2),1,0),IF($X38&lt;=20,1,0))</formula>
    </cfRule>
    <cfRule type="expression" dxfId="4112" priority="25">
      <formula>AND(IF($Q38=2,1,0),IF($X38&lt;30,1,0))</formula>
    </cfRule>
    <cfRule type="expression" dxfId="4111" priority="26">
      <formula>AND(IF($Q38=3,1,0),IF($X38&lt;30,1,0))</formula>
    </cfRule>
    <cfRule type="expression" dxfId="4110" priority="27">
      <formula>AND(IF($Q38=3,1,IF($Q38=4,1,0)),IF($F38&lt;=85,1,0))</formula>
    </cfRule>
  </conditionalFormatting>
  <conditionalFormatting sqref="AI38">
    <cfRule type="expression" dxfId="4109" priority="20">
      <formula>AND(IF(OR($Q38=1,$Q38=2),1,0),IF($X38&lt;=20,1,0))</formula>
    </cfRule>
    <cfRule type="expression" dxfId="4108" priority="21">
      <formula>AND(IF($Q38=2,1,0),IF($X38&lt;30,1,0))</formula>
    </cfRule>
    <cfRule type="expression" dxfId="4107" priority="22">
      <formula>AND(IF($Q38=3,1,0),IF($X38&lt;30,1,0))</formula>
    </cfRule>
    <cfRule type="expression" dxfId="4106" priority="23">
      <formula>AND(IF($Q38=3,1,IF($Q38=4,1,0)),IF($F38&lt;=85,1,0))</formula>
    </cfRule>
  </conditionalFormatting>
  <conditionalFormatting sqref="AV39">
    <cfRule type="expression" dxfId="4105" priority="18">
      <formula>AV39="X"</formula>
    </cfRule>
    <cfRule type="expression" dxfId="4104" priority="19">
      <formula>AV39="후보"</formula>
    </cfRule>
  </conditionalFormatting>
  <conditionalFormatting sqref="AC39">
    <cfRule type="cellIs" dxfId="4103" priority="15" operator="greaterThan">
      <formula>0.9</formula>
    </cfRule>
    <cfRule type="cellIs" dxfId="4102" priority="16" operator="greaterThan">
      <formula>0.85</formula>
    </cfRule>
  </conditionalFormatting>
  <conditionalFormatting sqref="N39">
    <cfRule type="cellIs" dxfId="4101" priority="13" operator="greaterThan">
      <formula>0.9</formula>
    </cfRule>
    <cfRule type="cellIs" dxfId="4100" priority="14" operator="greaterThan">
      <formula>0.85</formula>
    </cfRule>
  </conditionalFormatting>
  <conditionalFormatting sqref="E39">
    <cfRule type="expression" dxfId="4099" priority="9">
      <formula>AND(IF(OR($Q39=1,$Q39=2),1,0),IF($X39&lt;=20,1,0))</formula>
    </cfRule>
    <cfRule type="expression" dxfId="4098" priority="10">
      <formula>AND(IF($Q39=2,1,0),IF($X39&lt;30,1,0))</formula>
    </cfRule>
    <cfRule type="expression" dxfId="4097" priority="11">
      <formula>AND(IF($Q39=3,1,0),IF($X39&lt;30,1,0))</formula>
    </cfRule>
    <cfRule type="expression" dxfId="4096" priority="12">
      <formula>AND(IF($Q39=3,1,IF($Q39=4,1,0)),IF($F39&lt;=85,1,0))</formula>
    </cfRule>
  </conditionalFormatting>
  <conditionalFormatting sqref="X39">
    <cfRule type="expression" dxfId="4095" priority="5">
      <formula>AND(IF(OR($Q39=1,$Q39=2),1,0),IF($X39&lt;=20,1,0))</formula>
    </cfRule>
    <cfRule type="expression" dxfId="4094" priority="6">
      <formula>AND(IF($Q39=2,1,0),IF($X39&lt;30,1,0))</formula>
    </cfRule>
    <cfRule type="expression" dxfId="4093" priority="7">
      <formula>AND(IF($Q39=3,1,0),IF($X39&lt;30,1,0))</formula>
    </cfRule>
    <cfRule type="expression" dxfId="4092" priority="8">
      <formula>AND(IF($Q39=3,1,IF($Q39=4,1,0)),IF($F39&lt;=85,1,0))</formula>
    </cfRule>
  </conditionalFormatting>
  <conditionalFormatting sqref="AI39">
    <cfRule type="expression" dxfId="4091" priority="1">
      <formula>AND(IF(OR($Q39=1,$Q39=2),1,0),IF($X39&lt;=20,1,0))</formula>
    </cfRule>
    <cfRule type="expression" dxfId="4090" priority="2">
      <formula>AND(IF($Q39=2,1,0),IF($X39&lt;30,1,0))</formula>
    </cfRule>
    <cfRule type="expression" dxfId="4089" priority="3">
      <formula>AND(IF($Q39=3,1,0),IF($X39&lt;30,1,0))</formula>
    </cfRule>
    <cfRule type="expression" dxfId="4088" priority="4">
      <formula>AND(IF($Q39=3,1,IF($Q39=4,1,0)),IF($F39&lt;=85,1,0))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내수읍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내수읍 은곡무지개('00.05.,700^)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3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279</v>
      </c>
      <c r="B6" s="10" t="s">
        <v>895</v>
      </c>
      <c r="C6" s="89">
        <v>700</v>
      </c>
      <c r="D6" s="87">
        <v>43.1</v>
      </c>
      <c r="E6" s="88">
        <v>13</v>
      </c>
      <c r="F6" s="87">
        <v>33.6</v>
      </c>
      <c r="G6" s="17">
        <v>10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1</v>
      </c>
      <c r="R6" s="80">
        <v>1</v>
      </c>
      <c r="S6" s="80" t="s">
        <v>61</v>
      </c>
      <c r="T6" s="5">
        <v>43</v>
      </c>
      <c r="U6" s="9"/>
      <c r="W6" s="87">
        <f>D6</f>
        <v>43.1</v>
      </c>
      <c r="X6" s="88">
        <f>E6</f>
        <v>13</v>
      </c>
      <c r="Y6" s="93">
        <f>H6</f>
        <v>240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1/1</v>
      </c>
      <c r="AH6" s="20" t="str">
        <f t="shared" si="1"/>
        <v>은곡무지개</v>
      </c>
      <c r="AI6" s="88">
        <f t="shared" si="0"/>
        <v>13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279</v>
      </c>
      <c r="B7" s="10" t="s">
        <v>895</v>
      </c>
      <c r="C7" s="89">
        <v>700</v>
      </c>
      <c r="D7" s="87">
        <v>52.2</v>
      </c>
      <c r="E7" s="88">
        <v>16</v>
      </c>
      <c r="F7" s="87">
        <v>39.799999999999997</v>
      </c>
      <c r="G7" s="17">
        <v>12</v>
      </c>
      <c r="H7" s="89">
        <v>460</v>
      </c>
      <c r="I7" s="90">
        <v>4500</v>
      </c>
      <c r="J7" s="90" t="s">
        <v>69</v>
      </c>
      <c r="K7" s="90"/>
      <c r="L7" s="90"/>
      <c r="M7" s="91">
        <f>I7-K7</f>
        <v>4500</v>
      </c>
      <c r="N7" s="4">
        <f>IF(ISERROR(K7/I7),"",K7/I7)</f>
        <v>0</v>
      </c>
      <c r="O7" s="92">
        <f>I7/E7</f>
        <v>281.25</v>
      </c>
      <c r="P7" s="92">
        <f>K7/E7</f>
        <v>0</v>
      </c>
      <c r="Q7" s="80">
        <v>2</v>
      </c>
      <c r="R7" s="80">
        <v>1</v>
      </c>
      <c r="S7" s="80" t="s">
        <v>61</v>
      </c>
      <c r="T7" s="5">
        <v>52</v>
      </c>
      <c r="U7" s="9"/>
      <c r="W7" s="87">
        <f>D7</f>
        <v>52.2</v>
      </c>
      <c r="X7" s="88">
        <f>E7</f>
        <v>16</v>
      </c>
      <c r="Y7" s="93">
        <f>H7</f>
        <v>460</v>
      </c>
      <c r="Z7" s="91">
        <f>I7</f>
        <v>4500</v>
      </c>
      <c r="AA7" s="91">
        <f>K7</f>
        <v>0</v>
      </c>
      <c r="AB7" s="91">
        <f t="shared" si="2"/>
        <v>4500</v>
      </c>
      <c r="AC7" s="4">
        <f t="shared" si="2"/>
        <v>0</v>
      </c>
      <c r="AD7" s="92">
        <f t="shared" si="2"/>
        <v>281.25</v>
      </c>
      <c r="AE7" s="80" t="str">
        <f>S7</f>
        <v>계</v>
      </c>
      <c r="AF7" s="80" t="str">
        <f>Q7&amp;"/"&amp;R7</f>
        <v>2/1</v>
      </c>
      <c r="AH7" s="20" t="str">
        <f t="shared" si="1"/>
        <v>은곡무지개</v>
      </c>
      <c r="AI7" s="88">
        <f t="shared" si="0"/>
        <v>16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내수읍 우창진주2차(51-3)('97.03.,298^)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295</v>
      </c>
      <c r="B9" s="10" t="s">
        <v>896</v>
      </c>
      <c r="C9" s="89">
        <v>298</v>
      </c>
      <c r="D9" s="87">
        <v>78.599999999999994</v>
      </c>
      <c r="E9" s="88">
        <v>24</v>
      </c>
      <c r="F9" s="87">
        <v>59.7</v>
      </c>
      <c r="G9" s="17">
        <v>18</v>
      </c>
      <c r="H9" s="89">
        <v>298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1</v>
      </c>
      <c r="S9" s="80" t="s">
        <v>85</v>
      </c>
      <c r="T9" s="5">
        <v>78</v>
      </c>
      <c r="U9" s="9"/>
      <c r="W9" s="87">
        <f>D9</f>
        <v>78.599999999999994</v>
      </c>
      <c r="X9" s="88">
        <f>E9</f>
        <v>24</v>
      </c>
      <c r="Y9" s="93">
        <f>H9</f>
        <v>298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80" t="str">
        <f>S9</f>
        <v>복</v>
      </c>
      <c r="AF9" s="80" t="str">
        <f>Q9&amp;"/"&amp;R9</f>
        <v>3/1</v>
      </c>
      <c r="AH9" s="20" t="str">
        <f t="shared" si="1"/>
        <v>우창진주2차(51-3)</v>
      </c>
      <c r="AI9" s="88">
        <f t="shared" si="0"/>
        <v>24</v>
      </c>
      <c r="AJ9" s="80" t="str">
        <f>IF(AI9="","",$AJ$2)</f>
        <v>A-</v>
      </c>
      <c r="AK9" s="80" t="s">
        <v>13</v>
      </c>
      <c r="AL9" s="80" t="s">
        <v>62</v>
      </c>
      <c r="AM9" s="80" t="s">
        <v>63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내수읍 천일은곡('00.06.,494^)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305</v>
      </c>
      <c r="B11" s="10" t="s">
        <v>897</v>
      </c>
      <c r="C11" s="89">
        <v>494</v>
      </c>
      <c r="D11" s="87">
        <v>71.599999999999994</v>
      </c>
      <c r="E11" s="88">
        <v>22</v>
      </c>
      <c r="F11" s="87">
        <v>59.7</v>
      </c>
      <c r="G11" s="17">
        <v>18</v>
      </c>
      <c r="H11" s="89">
        <v>494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80">
        <v>3</v>
      </c>
      <c r="R11" s="80">
        <v>1</v>
      </c>
      <c r="S11" s="80" t="s">
        <v>61</v>
      </c>
      <c r="T11" s="5">
        <v>71</v>
      </c>
      <c r="U11" s="9"/>
      <c r="W11" s="87">
        <f>D11</f>
        <v>71.599999999999994</v>
      </c>
      <c r="X11" s="88">
        <f>E11</f>
        <v>22</v>
      </c>
      <c r="Y11" s="93">
        <f>H11</f>
        <v>494</v>
      </c>
      <c r="Z11" s="91">
        <f>I11</f>
        <v>0</v>
      </c>
      <c r="AA11" s="91">
        <f>K11</f>
        <v>0</v>
      </c>
      <c r="AB11" s="91">
        <f>M11</f>
        <v>0</v>
      </c>
      <c r="AC11" s="4" t="str">
        <f>N11</f>
        <v/>
      </c>
      <c r="AD11" s="92">
        <f>O11</f>
        <v>0</v>
      </c>
      <c r="AE11" s="80" t="str">
        <f>S11</f>
        <v>계</v>
      </c>
      <c r="AF11" s="80" t="str">
        <f>Q11&amp;"/"&amp;R11</f>
        <v>3/1</v>
      </c>
      <c r="AH11" s="20" t="str">
        <f t="shared" si="1"/>
        <v>천일은곡</v>
      </c>
      <c r="AI11" s="88">
        <f t="shared" si="0"/>
        <v>22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/>
      </c>
      <c r="AP11" s="80" t="str">
        <f>IF(I11="","",IF(I11&lt;=$AP$1,"O","X"))</f>
        <v/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내수읍 삼일('96.10.,883^)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191</v>
      </c>
      <c r="B13" s="10" t="s">
        <v>898</v>
      </c>
      <c r="C13" s="89">
        <v>883</v>
      </c>
      <c r="D13" s="87">
        <v>36.1</v>
      </c>
      <c r="E13" s="88">
        <v>11</v>
      </c>
      <c r="F13" s="87">
        <v>26.6</v>
      </c>
      <c r="G13" s="17">
        <v>8</v>
      </c>
      <c r="H13" s="89">
        <v>132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1</v>
      </c>
      <c r="R13" s="80">
        <v>1</v>
      </c>
      <c r="S13" s="80" t="s">
        <v>85</v>
      </c>
      <c r="T13" s="5">
        <v>36</v>
      </c>
      <c r="U13" s="9"/>
      <c r="W13" s="87">
        <f t="shared" ref="W13:X15" si="3">D13</f>
        <v>36.1</v>
      </c>
      <c r="X13" s="88">
        <f t="shared" si="3"/>
        <v>11</v>
      </c>
      <c r="Y13" s="93">
        <f t="shared" ref="Y13:Z15" si="4">H13</f>
        <v>132</v>
      </c>
      <c r="Z13" s="91">
        <f t="shared" si="4"/>
        <v>0</v>
      </c>
      <c r="AA13" s="91">
        <f>K13</f>
        <v>0</v>
      </c>
      <c r="AB13" s="91">
        <f t="shared" ref="AB13:AD15" si="5">M13</f>
        <v>0</v>
      </c>
      <c r="AC13" s="4" t="str">
        <f t="shared" si="5"/>
        <v/>
      </c>
      <c r="AD13" s="92">
        <f t="shared" si="5"/>
        <v>0</v>
      </c>
      <c r="AE13" s="80" t="str">
        <f>S13</f>
        <v>복</v>
      </c>
      <c r="AF13" s="80" t="str">
        <f>Q13&amp;"/"&amp;R13</f>
        <v>1/1</v>
      </c>
      <c r="AH13" s="20" t="str">
        <f t="shared" si="1"/>
        <v>삼일</v>
      </c>
      <c r="AI13" s="88">
        <f t="shared" si="0"/>
        <v>11</v>
      </c>
      <c r="AJ13" s="80" t="str">
        <f>IF(AI13="","",$AJ$2)</f>
        <v>A-</v>
      </c>
      <c r="AK13" s="80" t="s">
        <v>13</v>
      </c>
      <c r="AL13" s="80" t="s">
        <v>62</v>
      </c>
      <c r="AM13" s="80" t="s">
        <v>63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X</v>
      </c>
      <c r="AU13" s="80" t="str">
        <f>IF(C13="","",IF(C13&gt;=$AU$1,"O","X"))</f>
        <v>O</v>
      </c>
      <c r="AV13" s="80" t="str">
        <f>IF(AO13="","",IF(AND(AO13="O",AP13="O",AR13="O",AT13="O",AU13="O"),"후보","X"))</f>
        <v/>
      </c>
    </row>
    <row r="14" spans="1:48" x14ac:dyDescent="0.3">
      <c r="A14" s="9" t="s">
        <v>191</v>
      </c>
      <c r="B14" s="10" t="s">
        <v>898</v>
      </c>
      <c r="C14" s="89">
        <v>883</v>
      </c>
      <c r="D14" s="87">
        <v>78</v>
      </c>
      <c r="E14" s="88">
        <v>24</v>
      </c>
      <c r="F14" s="87">
        <v>59.6</v>
      </c>
      <c r="G14" s="17">
        <v>18</v>
      </c>
      <c r="H14" s="89">
        <v>1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80">
        <v>3</v>
      </c>
      <c r="R14" s="80">
        <v>1</v>
      </c>
      <c r="S14" s="80" t="s">
        <v>85</v>
      </c>
      <c r="T14" s="5" t="s">
        <v>313</v>
      </c>
      <c r="U14" s="9"/>
      <c r="W14" s="87">
        <f t="shared" si="3"/>
        <v>78</v>
      </c>
      <c r="X14" s="88">
        <f t="shared" si="3"/>
        <v>24</v>
      </c>
      <c r="Y14" s="93">
        <f t="shared" si="4"/>
        <v>1</v>
      </c>
      <c r="Z14" s="91">
        <f t="shared" si="4"/>
        <v>0</v>
      </c>
      <c r="AA14" s="91">
        <f>K14</f>
        <v>0</v>
      </c>
      <c r="AB14" s="91">
        <f t="shared" si="5"/>
        <v>0</v>
      </c>
      <c r="AC14" s="4" t="str">
        <f t="shared" si="5"/>
        <v/>
      </c>
      <c r="AD14" s="92">
        <f t="shared" si="5"/>
        <v>0</v>
      </c>
      <c r="AE14" s="80" t="str">
        <f>S14</f>
        <v>복</v>
      </c>
      <c r="AF14" s="80" t="str">
        <f>Q14&amp;"/"&amp;R14</f>
        <v>3/1</v>
      </c>
      <c r="AH14" s="20" t="str">
        <f t="shared" si="1"/>
        <v>삼일</v>
      </c>
      <c r="AI14" s="88">
        <f t="shared" si="0"/>
        <v>24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/>
      </c>
      <c r="AP14" s="80" t="str">
        <f>IF(I14="","",IF(I14&lt;=$AP$1,"O","X"))</f>
        <v/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/>
      </c>
    </row>
    <row r="15" spans="1:48" x14ac:dyDescent="0.3">
      <c r="A15" s="9" t="s">
        <v>191</v>
      </c>
      <c r="B15" s="10" t="s">
        <v>898</v>
      </c>
      <c r="C15" s="89">
        <v>883</v>
      </c>
      <c r="D15" s="87">
        <v>78.099999999999994</v>
      </c>
      <c r="E15" s="88">
        <v>24</v>
      </c>
      <c r="F15" s="87">
        <v>59.7</v>
      </c>
      <c r="G15" s="17">
        <v>18</v>
      </c>
      <c r="H15" s="89">
        <v>750</v>
      </c>
      <c r="I15" s="90">
        <v>7500</v>
      </c>
      <c r="J15" s="90" t="s">
        <v>69</v>
      </c>
      <c r="K15" s="90">
        <v>8000</v>
      </c>
      <c r="L15" s="90" t="s">
        <v>68</v>
      </c>
      <c r="M15" s="91">
        <f>I15-K15</f>
        <v>-500</v>
      </c>
      <c r="N15" s="4">
        <f>IF(ISERROR(K15/I15),"",K15/I15)</f>
        <v>1.0666666666666667</v>
      </c>
      <c r="O15" s="92">
        <f>I15/E15</f>
        <v>312.5</v>
      </c>
      <c r="P15" s="92">
        <f>K15/E15</f>
        <v>333.33333333333331</v>
      </c>
      <c r="Q15" s="80">
        <v>3</v>
      </c>
      <c r="R15" s="80">
        <v>1</v>
      </c>
      <c r="S15" s="80" t="s">
        <v>85</v>
      </c>
      <c r="T15" s="5" t="s">
        <v>112</v>
      </c>
      <c r="U15" s="9"/>
      <c r="W15" s="87">
        <f t="shared" si="3"/>
        <v>78.099999999999994</v>
      </c>
      <c r="X15" s="88">
        <f t="shared" si="3"/>
        <v>24</v>
      </c>
      <c r="Y15" s="93">
        <f t="shared" si="4"/>
        <v>750</v>
      </c>
      <c r="Z15" s="91">
        <f t="shared" si="4"/>
        <v>7500</v>
      </c>
      <c r="AA15" s="91">
        <f>K15</f>
        <v>8000</v>
      </c>
      <c r="AB15" s="91">
        <f t="shared" si="5"/>
        <v>-500</v>
      </c>
      <c r="AC15" s="4">
        <f t="shared" si="5"/>
        <v>1.0666666666666667</v>
      </c>
      <c r="AD15" s="92">
        <f t="shared" si="5"/>
        <v>312.5</v>
      </c>
      <c r="AE15" s="80" t="str">
        <f>S15</f>
        <v>복</v>
      </c>
      <c r="AF15" s="80" t="str">
        <f>Q15&amp;"/"&amp;R15</f>
        <v>3/1</v>
      </c>
      <c r="AH15" s="20" t="str">
        <f t="shared" si="1"/>
        <v>삼일</v>
      </c>
      <c r="AI15" s="88">
        <f t="shared" si="0"/>
        <v>24</v>
      </c>
      <c r="AJ15" s="80" t="str">
        <f>IF(AI15="","",$AJ$2)</f>
        <v>A-</v>
      </c>
      <c r="AK15" s="80" t="s">
        <v>13</v>
      </c>
      <c r="AL15" s="80" t="s">
        <v>62</v>
      </c>
      <c r="AM15" s="80" t="s">
        <v>63</v>
      </c>
      <c r="AN15" s="80" t="str">
        <f>IF(AI15="","",$AN$2)</f>
        <v>C</v>
      </c>
      <c r="AO15" s="80" t="str">
        <f>IF(N15="","",IF(N15&gt;=$AO$1/100,"O","X"))</f>
        <v>O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후보</v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8" t="str">
        <f>$A$4&amp;" "&amp;A17&amp;"("&amp;B17&amp;","&amp;C17&amp;"^)"</f>
        <v>내수읍 우창진주1차(56)('95.12.,264^)</v>
      </c>
      <c r="X16" s="69"/>
      <c r="Y16" s="69"/>
      <c r="Z16" s="69"/>
      <c r="AA16" s="69"/>
      <c r="AB16" s="69"/>
      <c r="AC16" s="69"/>
      <c r="AD16" s="69"/>
      <c r="AE16" s="69"/>
      <c r="AF16" s="70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314</v>
      </c>
      <c r="B17" s="10" t="s">
        <v>899</v>
      </c>
      <c r="C17" s="89">
        <v>264</v>
      </c>
      <c r="D17" s="87">
        <v>63.1</v>
      </c>
      <c r="E17" s="88">
        <v>19</v>
      </c>
      <c r="F17" s="87">
        <v>49.8</v>
      </c>
      <c r="G17" s="17">
        <v>15</v>
      </c>
      <c r="H17" s="89">
        <v>132</v>
      </c>
      <c r="I17" s="90"/>
      <c r="J17" s="90"/>
      <c r="K17" s="90"/>
      <c r="L17" s="90"/>
      <c r="M17" s="91">
        <f>I17-K17</f>
        <v>0</v>
      </c>
      <c r="N17" s="4" t="str">
        <f>IF(ISERROR(K17/I17),"",K17/I17)</f>
        <v/>
      </c>
      <c r="O17" s="92">
        <f>I17/E17</f>
        <v>0</v>
      </c>
      <c r="P17" s="92">
        <f>K17/E17</f>
        <v>0</v>
      </c>
      <c r="Q17" s="80">
        <v>2</v>
      </c>
      <c r="R17" s="80">
        <v>1</v>
      </c>
      <c r="S17" s="80" t="s">
        <v>85</v>
      </c>
      <c r="T17" s="5">
        <v>63</v>
      </c>
      <c r="U17" s="9"/>
      <c r="W17" s="87">
        <f>D17</f>
        <v>63.1</v>
      </c>
      <c r="X17" s="88">
        <f>E17</f>
        <v>19</v>
      </c>
      <c r="Y17" s="93">
        <f>H17</f>
        <v>132</v>
      </c>
      <c r="Z17" s="91">
        <f>I17</f>
        <v>0</v>
      </c>
      <c r="AA17" s="91">
        <f>K17</f>
        <v>0</v>
      </c>
      <c r="AB17" s="91">
        <f t="shared" ref="AB17:AD18" si="6">M17</f>
        <v>0</v>
      </c>
      <c r="AC17" s="4" t="str">
        <f t="shared" si="6"/>
        <v/>
      </c>
      <c r="AD17" s="92">
        <f t="shared" si="6"/>
        <v>0</v>
      </c>
      <c r="AE17" s="80" t="str">
        <f>S17</f>
        <v>복</v>
      </c>
      <c r="AF17" s="80" t="str">
        <f>Q17&amp;"/"&amp;R17</f>
        <v>2/1</v>
      </c>
      <c r="AH17" s="20" t="str">
        <f t="shared" si="1"/>
        <v>우창진주1차(56)</v>
      </c>
      <c r="AI17" s="88">
        <f t="shared" si="0"/>
        <v>19</v>
      </c>
      <c r="AJ17" s="80" t="str">
        <f>IF(AI17="","",$AJ$2)</f>
        <v>A-</v>
      </c>
      <c r="AK17" s="80" t="s">
        <v>13</v>
      </c>
      <c r="AL17" s="80" t="s">
        <v>62</v>
      </c>
      <c r="AM17" s="80" t="s">
        <v>63</v>
      </c>
      <c r="AN17" s="80" t="str">
        <f>IF(AI17="","",$AN$2)</f>
        <v>C</v>
      </c>
      <c r="AO17" s="80" t="str">
        <f>IF(N17="","",IF(N17&gt;=$AO$1/100,"O","X"))</f>
        <v/>
      </c>
      <c r="AP17" s="80" t="str">
        <f>IF(I17="","",IF(I17&lt;=$AP$1,"O","X"))</f>
        <v/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X</v>
      </c>
      <c r="AV17" s="80" t="str">
        <f>IF(AO17="","",IF(AND(AO17="O",AP17="O",AR17="O",AT17="O",AU17="O"),"후보","X"))</f>
        <v/>
      </c>
    </row>
    <row r="18" spans="1:48" x14ac:dyDescent="0.3">
      <c r="A18" s="9" t="s">
        <v>314</v>
      </c>
      <c r="B18" s="10" t="s">
        <v>899</v>
      </c>
      <c r="C18" s="89">
        <v>264</v>
      </c>
      <c r="D18" s="87">
        <v>75.2</v>
      </c>
      <c r="E18" s="88">
        <v>23</v>
      </c>
      <c r="F18" s="87">
        <v>60</v>
      </c>
      <c r="G18" s="17">
        <v>18</v>
      </c>
      <c r="H18" s="89">
        <v>132</v>
      </c>
      <c r="I18" s="90"/>
      <c r="J18" s="90"/>
      <c r="K18" s="90"/>
      <c r="L18" s="90"/>
      <c r="M18" s="91">
        <f>I18-K18</f>
        <v>0</v>
      </c>
      <c r="N18" s="4" t="str">
        <f>IF(ISERROR(K18/I18),"",K18/I18)</f>
        <v/>
      </c>
      <c r="O18" s="92">
        <f>I18/E18</f>
        <v>0</v>
      </c>
      <c r="P18" s="92">
        <f>K18/E18</f>
        <v>0</v>
      </c>
      <c r="Q18" s="80">
        <v>3</v>
      </c>
      <c r="R18" s="80">
        <v>1</v>
      </c>
      <c r="S18" s="80" t="s">
        <v>85</v>
      </c>
      <c r="T18" s="5">
        <v>75</v>
      </c>
      <c r="U18" s="9"/>
      <c r="W18" s="87">
        <f>D18</f>
        <v>75.2</v>
      </c>
      <c r="X18" s="88">
        <f>E18</f>
        <v>23</v>
      </c>
      <c r="Y18" s="93">
        <f>H18</f>
        <v>132</v>
      </c>
      <c r="Z18" s="91">
        <f>I18</f>
        <v>0</v>
      </c>
      <c r="AA18" s="91">
        <f>K18</f>
        <v>0</v>
      </c>
      <c r="AB18" s="91">
        <f t="shared" si="6"/>
        <v>0</v>
      </c>
      <c r="AC18" s="4" t="str">
        <f t="shared" si="6"/>
        <v/>
      </c>
      <c r="AD18" s="92">
        <f t="shared" si="6"/>
        <v>0</v>
      </c>
      <c r="AE18" s="80" t="str">
        <f>S18</f>
        <v>복</v>
      </c>
      <c r="AF18" s="80" t="str">
        <f>Q18&amp;"/"&amp;R18</f>
        <v>3/1</v>
      </c>
      <c r="AH18" s="20" t="str">
        <f t="shared" si="1"/>
        <v>우창진주1차(56)</v>
      </c>
      <c r="AI18" s="88">
        <f t="shared" si="0"/>
        <v>23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/>
      </c>
      <c r="AP18" s="80" t="str">
        <f>IF(I18="","",IF(I18&lt;=$AP$1,"O","X"))</f>
        <v/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X</v>
      </c>
      <c r="AV18" s="80" t="str">
        <f>IF(AO18="","",IF(AND(AO18="O",AP18="O",AR18="O",AT18="O",AU18="O"),"후보","X"))</f>
        <v/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내수읍 덕일한마음('97.10.,910^)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319</v>
      </c>
      <c r="B20" s="10" t="s">
        <v>900</v>
      </c>
      <c r="C20" s="89">
        <v>910</v>
      </c>
      <c r="D20" s="87">
        <v>50.2</v>
      </c>
      <c r="E20" s="88">
        <v>15</v>
      </c>
      <c r="F20" s="87">
        <v>38.6</v>
      </c>
      <c r="G20" s="17">
        <v>12</v>
      </c>
      <c r="H20" s="89">
        <v>440</v>
      </c>
      <c r="I20" s="90">
        <v>3000</v>
      </c>
      <c r="J20" s="90" t="s">
        <v>66</v>
      </c>
      <c r="K20" s="90">
        <v>1500</v>
      </c>
      <c r="L20" s="90" t="s">
        <v>66</v>
      </c>
      <c r="M20" s="91">
        <f>I20-K20</f>
        <v>1500</v>
      </c>
      <c r="N20" s="4">
        <f>IF(ISERROR(K20/I20),"",K20/I20)</f>
        <v>0.5</v>
      </c>
      <c r="O20" s="92">
        <f>I20/E20</f>
        <v>200</v>
      </c>
      <c r="P20" s="92">
        <f>K20/E20</f>
        <v>100</v>
      </c>
      <c r="Q20" s="80">
        <v>1</v>
      </c>
      <c r="R20" s="80">
        <v>1</v>
      </c>
      <c r="S20" s="80" t="s">
        <v>85</v>
      </c>
      <c r="T20" s="5">
        <v>50</v>
      </c>
      <c r="U20" s="9"/>
      <c r="W20" s="87">
        <f t="shared" ref="W20:X22" si="7">D20</f>
        <v>50.2</v>
      </c>
      <c r="X20" s="88">
        <f t="shared" si="7"/>
        <v>15</v>
      </c>
      <c r="Y20" s="93">
        <f t="shared" ref="Y20:Z22" si="8">H20</f>
        <v>440</v>
      </c>
      <c r="Z20" s="91">
        <f t="shared" si="8"/>
        <v>3000</v>
      </c>
      <c r="AA20" s="91">
        <f>K20</f>
        <v>1500</v>
      </c>
      <c r="AB20" s="91">
        <f t="shared" ref="AB20:AD22" si="9">M20</f>
        <v>1500</v>
      </c>
      <c r="AC20" s="4">
        <f t="shared" si="9"/>
        <v>0.5</v>
      </c>
      <c r="AD20" s="92">
        <f t="shared" si="9"/>
        <v>200</v>
      </c>
      <c r="AE20" s="80" t="str">
        <f>S20</f>
        <v>복</v>
      </c>
      <c r="AF20" s="80" t="str">
        <f>Q20&amp;"/"&amp;R20</f>
        <v>1/1</v>
      </c>
      <c r="AH20" s="20" t="str">
        <f t="shared" si="1"/>
        <v>덕일한마음</v>
      </c>
      <c r="AI20" s="88">
        <f t="shared" si="0"/>
        <v>15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 t="s">
        <v>319</v>
      </c>
      <c r="B21" s="10" t="s">
        <v>900</v>
      </c>
      <c r="C21" s="89">
        <v>910</v>
      </c>
      <c r="D21" s="87">
        <v>52.2</v>
      </c>
      <c r="E21" s="88">
        <v>16</v>
      </c>
      <c r="F21" s="87">
        <v>38.6</v>
      </c>
      <c r="G21" s="17">
        <v>12</v>
      </c>
      <c r="H21" s="89">
        <v>110</v>
      </c>
      <c r="I21" s="90"/>
      <c r="J21" s="90"/>
      <c r="K21" s="90"/>
      <c r="L21" s="90"/>
      <c r="M21" s="91">
        <f>I21-K21</f>
        <v>0</v>
      </c>
      <c r="N21" s="4" t="str">
        <f>IF(ISERROR(K21/I21),"",K21/I21)</f>
        <v/>
      </c>
      <c r="O21" s="92">
        <f>I21/E21</f>
        <v>0</v>
      </c>
      <c r="P21" s="92">
        <f>K21/E21</f>
        <v>0</v>
      </c>
      <c r="Q21" s="80">
        <v>1</v>
      </c>
      <c r="R21" s="80">
        <v>1</v>
      </c>
      <c r="S21" s="80" t="s">
        <v>85</v>
      </c>
      <c r="T21" s="5">
        <v>52</v>
      </c>
      <c r="U21" s="9"/>
      <c r="W21" s="87">
        <f t="shared" si="7"/>
        <v>52.2</v>
      </c>
      <c r="X21" s="88">
        <f t="shared" si="7"/>
        <v>16</v>
      </c>
      <c r="Y21" s="93">
        <f t="shared" si="8"/>
        <v>110</v>
      </c>
      <c r="Z21" s="91">
        <f t="shared" si="8"/>
        <v>0</v>
      </c>
      <c r="AA21" s="91">
        <f>K21</f>
        <v>0</v>
      </c>
      <c r="AB21" s="91">
        <f t="shared" si="9"/>
        <v>0</v>
      </c>
      <c r="AC21" s="4" t="str">
        <f t="shared" si="9"/>
        <v/>
      </c>
      <c r="AD21" s="92">
        <f t="shared" si="9"/>
        <v>0</v>
      </c>
      <c r="AE21" s="80" t="str">
        <f>S21</f>
        <v>복</v>
      </c>
      <c r="AF21" s="80" t="str">
        <f>Q21&amp;"/"&amp;R21</f>
        <v>1/1</v>
      </c>
      <c r="AH21" s="20" t="str">
        <f t="shared" si="1"/>
        <v>덕일한마음</v>
      </c>
      <c r="AI21" s="88">
        <f t="shared" si="0"/>
        <v>16</v>
      </c>
      <c r="AJ21" s="80" t="str">
        <f>IF(AI21="","",$AJ$2)</f>
        <v>A-</v>
      </c>
      <c r="AK21" s="80" t="s">
        <v>13</v>
      </c>
      <c r="AL21" s="80" t="s">
        <v>62</v>
      </c>
      <c r="AM21" s="80" t="s">
        <v>63</v>
      </c>
      <c r="AN21" s="80" t="str">
        <f>IF(AI21="","",$AN$2)</f>
        <v>C</v>
      </c>
      <c r="AO21" s="80" t="str">
        <f>IF(N21="","",IF(N21&gt;=$AO$1/100,"O","X"))</f>
        <v/>
      </c>
      <c r="AP21" s="80" t="str">
        <f>IF(I21="","",IF(I21&lt;=$AP$1,"O","X"))</f>
        <v/>
      </c>
      <c r="AQ21" s="80" t="str">
        <f>IF(O21="","",IF(O21&lt;=$AQ$1,"O","X"))</f>
        <v>O</v>
      </c>
      <c r="AR21" s="80" t="str">
        <f>IF(M21="","",IF(M21&lt;=$AR$1,"O","X"))</f>
        <v>O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/>
      </c>
    </row>
    <row r="22" spans="1:48" x14ac:dyDescent="0.3">
      <c r="A22" s="9" t="s">
        <v>319</v>
      </c>
      <c r="B22" s="10" t="s">
        <v>900</v>
      </c>
      <c r="C22" s="89">
        <v>910</v>
      </c>
      <c r="D22" s="87">
        <v>61</v>
      </c>
      <c r="E22" s="88">
        <v>18</v>
      </c>
      <c r="F22" s="87">
        <v>45.3</v>
      </c>
      <c r="G22" s="17">
        <v>14</v>
      </c>
      <c r="H22" s="89">
        <v>360</v>
      </c>
      <c r="I22" s="90">
        <v>4500</v>
      </c>
      <c r="J22" s="90" t="s">
        <v>65</v>
      </c>
      <c r="K22" s="90"/>
      <c r="L22" s="90"/>
      <c r="M22" s="91">
        <f>I22-K22</f>
        <v>4500</v>
      </c>
      <c r="N22" s="4">
        <f>IF(ISERROR(K22/I22),"",K22/I22)</f>
        <v>0</v>
      </c>
      <c r="O22" s="92">
        <f>I22/E22</f>
        <v>250</v>
      </c>
      <c r="P22" s="92">
        <f>K22/E22</f>
        <v>0</v>
      </c>
      <c r="Q22" s="80">
        <v>2</v>
      </c>
      <c r="R22" s="80">
        <v>1</v>
      </c>
      <c r="S22" s="80" t="s">
        <v>85</v>
      </c>
      <c r="T22" s="5">
        <v>61</v>
      </c>
      <c r="U22" s="9"/>
      <c r="W22" s="87">
        <f t="shared" si="7"/>
        <v>61</v>
      </c>
      <c r="X22" s="88">
        <f t="shared" si="7"/>
        <v>18</v>
      </c>
      <c r="Y22" s="93">
        <f t="shared" si="8"/>
        <v>360</v>
      </c>
      <c r="Z22" s="91">
        <f t="shared" si="8"/>
        <v>4500</v>
      </c>
      <c r="AA22" s="91">
        <f>K22</f>
        <v>0</v>
      </c>
      <c r="AB22" s="91">
        <f t="shared" si="9"/>
        <v>4500</v>
      </c>
      <c r="AC22" s="4">
        <f t="shared" si="9"/>
        <v>0</v>
      </c>
      <c r="AD22" s="92">
        <f t="shared" si="9"/>
        <v>250</v>
      </c>
      <c r="AE22" s="80" t="str">
        <f>S22</f>
        <v>복</v>
      </c>
      <c r="AF22" s="80" t="str">
        <f>Q22&amp;"/"&amp;R22</f>
        <v>2/1</v>
      </c>
      <c r="AH22" s="20" t="str">
        <f t="shared" si="1"/>
        <v>덕일한마음</v>
      </c>
      <c r="AI22" s="88">
        <f t="shared" si="0"/>
        <v>18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내수읍 진흥1차('90.12.,425^)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x14ac:dyDescent="0.3">
      <c r="A24" s="9" t="s">
        <v>324</v>
      </c>
      <c r="B24" s="10" t="s">
        <v>901</v>
      </c>
      <c r="C24" s="89">
        <v>425</v>
      </c>
      <c r="D24" s="87">
        <v>37.6</v>
      </c>
      <c r="E24" s="88">
        <v>11</v>
      </c>
      <c r="F24" s="87">
        <v>28.2</v>
      </c>
      <c r="G24" s="17">
        <v>9</v>
      </c>
      <c r="H24" s="89">
        <v>6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1</v>
      </c>
      <c r="R24" s="80">
        <v>1</v>
      </c>
      <c r="S24" s="80" t="s">
        <v>85</v>
      </c>
      <c r="T24" s="5">
        <v>37</v>
      </c>
      <c r="U24" s="9"/>
      <c r="W24" s="87">
        <f t="shared" ref="W24:X26" si="10">D24</f>
        <v>37.6</v>
      </c>
      <c r="X24" s="88">
        <f t="shared" si="10"/>
        <v>11</v>
      </c>
      <c r="Y24" s="93">
        <f t="shared" ref="Y24:Z26" si="11">H24</f>
        <v>6</v>
      </c>
      <c r="Z24" s="91">
        <f t="shared" si="11"/>
        <v>0</v>
      </c>
      <c r="AA24" s="91">
        <f>K24</f>
        <v>0</v>
      </c>
      <c r="AB24" s="91">
        <f t="shared" ref="AB24:AD26" si="12">M24</f>
        <v>0</v>
      </c>
      <c r="AC24" s="4" t="str">
        <f t="shared" si="12"/>
        <v/>
      </c>
      <c r="AD24" s="92">
        <f t="shared" si="12"/>
        <v>0</v>
      </c>
      <c r="AE24" s="80" t="str">
        <f>S24</f>
        <v>복</v>
      </c>
      <c r="AF24" s="80" t="str">
        <f>Q24&amp;"/"&amp;R24</f>
        <v>1/1</v>
      </c>
      <c r="AH24" s="20" t="str">
        <f t="shared" si="1"/>
        <v>진흥1차</v>
      </c>
      <c r="AI24" s="88">
        <f t="shared" si="0"/>
        <v>11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X</v>
      </c>
      <c r="AU24" s="80" t="str">
        <f>IF(C24="","",IF(C24&gt;=$AU$1,"O","X"))</f>
        <v>O</v>
      </c>
      <c r="AV24" s="80" t="str">
        <f>IF(AO24="","",IF(AND(AO24="O",AP24="O",AR24="O",AT24="O",AU24="O"),"후보","X"))</f>
        <v/>
      </c>
    </row>
    <row r="25" spans="1:48" x14ac:dyDescent="0.3">
      <c r="A25" s="9" t="s">
        <v>324</v>
      </c>
      <c r="B25" s="10" t="s">
        <v>901</v>
      </c>
      <c r="C25" s="89">
        <v>425</v>
      </c>
      <c r="D25" s="87">
        <v>38.299999999999997</v>
      </c>
      <c r="E25" s="88">
        <v>12</v>
      </c>
      <c r="F25" s="87">
        <v>28.7</v>
      </c>
      <c r="G25" s="17">
        <v>9</v>
      </c>
      <c r="H25" s="89">
        <v>61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1</v>
      </c>
      <c r="R25" s="80">
        <v>1</v>
      </c>
      <c r="S25" s="80" t="s">
        <v>61</v>
      </c>
      <c r="T25" s="5">
        <v>38</v>
      </c>
      <c r="U25" s="9"/>
      <c r="W25" s="87">
        <f t="shared" si="10"/>
        <v>38.299999999999997</v>
      </c>
      <c r="X25" s="88">
        <f t="shared" si="10"/>
        <v>12</v>
      </c>
      <c r="Y25" s="93">
        <f t="shared" si="11"/>
        <v>61</v>
      </c>
      <c r="Z25" s="91">
        <f t="shared" si="11"/>
        <v>0</v>
      </c>
      <c r="AA25" s="91">
        <f>K25</f>
        <v>0</v>
      </c>
      <c r="AB25" s="91">
        <f t="shared" si="12"/>
        <v>0</v>
      </c>
      <c r="AC25" s="4" t="str">
        <f t="shared" si="12"/>
        <v/>
      </c>
      <c r="AD25" s="92">
        <f t="shared" si="12"/>
        <v>0</v>
      </c>
      <c r="AE25" s="80" t="str">
        <f>S25</f>
        <v>계</v>
      </c>
      <c r="AF25" s="80" t="str">
        <f>Q25&amp;"/"&amp;R25</f>
        <v>1/1</v>
      </c>
      <c r="AH25" s="20" t="str">
        <f t="shared" si="1"/>
        <v>진흥1차</v>
      </c>
      <c r="AI25" s="88">
        <f t="shared" si="0"/>
        <v>12</v>
      </c>
      <c r="AJ25" s="80" t="str">
        <f>IF(AI25="","",$AJ$2)</f>
        <v>A-</v>
      </c>
      <c r="AK25" s="80" t="s">
        <v>13</v>
      </c>
      <c r="AL25" s="80" t="s">
        <v>62</v>
      </c>
      <c r="AM25" s="80" t="s">
        <v>63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X</v>
      </c>
      <c r="AU25" s="80" t="str">
        <f>IF(C25="","",IF(C25&gt;=$AU$1,"O","X"))</f>
        <v>O</v>
      </c>
      <c r="AV25" s="80" t="str">
        <f>IF(AO25="","",IF(AND(AO25="O",AP25="O",AR25="O",AT25="O",AU25="O"),"후보","X"))</f>
        <v/>
      </c>
    </row>
    <row r="26" spans="1:48" x14ac:dyDescent="0.3">
      <c r="A26" s="9" t="s">
        <v>324</v>
      </c>
      <c r="B26" s="10" t="s">
        <v>901</v>
      </c>
      <c r="C26" s="89">
        <v>425</v>
      </c>
      <c r="D26" s="87">
        <v>67.5</v>
      </c>
      <c r="E26" s="88">
        <v>20</v>
      </c>
      <c r="F26" s="87">
        <v>59.9</v>
      </c>
      <c r="G26" s="17">
        <v>18</v>
      </c>
      <c r="H26" s="89">
        <v>358</v>
      </c>
      <c r="I26" s="90">
        <v>5200</v>
      </c>
      <c r="J26" s="90" t="s">
        <v>73</v>
      </c>
      <c r="K26" s="90"/>
      <c r="L26" s="90"/>
      <c r="M26" s="91">
        <f>I26-K26</f>
        <v>5200</v>
      </c>
      <c r="N26" s="4">
        <f>IF(ISERROR(K26/I26),"",K26/I26)</f>
        <v>0</v>
      </c>
      <c r="O26" s="92">
        <f>I26/E26</f>
        <v>260</v>
      </c>
      <c r="P26" s="92">
        <f>K26/E26</f>
        <v>0</v>
      </c>
      <c r="Q26" s="80">
        <v>2</v>
      </c>
      <c r="R26" s="80">
        <v>1</v>
      </c>
      <c r="S26" s="80" t="s">
        <v>61</v>
      </c>
      <c r="T26" s="5" t="s">
        <v>113</v>
      </c>
      <c r="U26" s="9"/>
      <c r="W26" s="87">
        <f t="shared" si="10"/>
        <v>67.5</v>
      </c>
      <c r="X26" s="88">
        <f t="shared" si="10"/>
        <v>20</v>
      </c>
      <c r="Y26" s="93">
        <f t="shared" si="11"/>
        <v>358</v>
      </c>
      <c r="Z26" s="91">
        <f t="shared" si="11"/>
        <v>5200</v>
      </c>
      <c r="AA26" s="91">
        <f>K26</f>
        <v>0</v>
      </c>
      <c r="AB26" s="91">
        <f t="shared" si="12"/>
        <v>5200</v>
      </c>
      <c r="AC26" s="4">
        <f t="shared" si="12"/>
        <v>0</v>
      </c>
      <c r="AD26" s="92">
        <f t="shared" si="12"/>
        <v>260</v>
      </c>
      <c r="AE26" s="80" t="str">
        <f>S26</f>
        <v>계</v>
      </c>
      <c r="AF26" s="80" t="str">
        <f>Q26&amp;"/"&amp;R26</f>
        <v>2/1</v>
      </c>
      <c r="AH26" s="20" t="str">
        <f t="shared" si="1"/>
        <v>진흥1차</v>
      </c>
      <c r="AI26" s="88">
        <f t="shared" si="0"/>
        <v>20</v>
      </c>
      <c r="AJ26" s="80" t="str">
        <f>IF(AI26="","",$AJ$2)</f>
        <v>A-</v>
      </c>
      <c r="AK26" s="80" t="s">
        <v>13</v>
      </c>
      <c r="AL26" s="80" t="s">
        <v>62</v>
      </c>
      <c r="AM26" s="80" t="s">
        <v>63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/>
      <c r="B27" s="80"/>
      <c r="C27" s="6"/>
      <c r="D27" s="9"/>
      <c r="E27" s="14"/>
      <c r="F27" s="87"/>
      <c r="G27" s="9"/>
      <c r="H27" s="9"/>
      <c r="I27" s="9"/>
      <c r="J27" s="9"/>
      <c r="K27" s="9"/>
      <c r="L27" s="9"/>
      <c r="M27" s="9"/>
      <c r="N27" s="9"/>
      <c r="O27" s="92"/>
      <c r="P27" s="92"/>
      <c r="Q27" s="88"/>
      <c r="R27" s="88"/>
      <c r="S27" s="9"/>
      <c r="T27" s="47"/>
      <c r="U27" s="9"/>
      <c r="W27" s="68" t="str">
        <f>$A$4&amp;" "&amp;A28&amp;"("&amp;B28&amp;","&amp;C28&amp;"^)"</f>
        <v>내수읍 우창진주3차('98.01.,295^)</v>
      </c>
      <c r="X27" s="69"/>
      <c r="Y27" s="69"/>
      <c r="Z27" s="69"/>
      <c r="AA27" s="69"/>
      <c r="AB27" s="69"/>
      <c r="AC27" s="69"/>
      <c r="AD27" s="69"/>
      <c r="AE27" s="69"/>
      <c r="AF27" s="70"/>
      <c r="AH27" s="20" t="str">
        <f t="shared" si="1"/>
        <v/>
      </c>
      <c r="AI27" s="112" t="str">
        <f t="shared" si="0"/>
        <v/>
      </c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</row>
    <row r="28" spans="1:48" x14ac:dyDescent="0.3">
      <c r="A28" s="9" t="s">
        <v>329</v>
      </c>
      <c r="B28" s="10" t="s">
        <v>902</v>
      </c>
      <c r="C28" s="89">
        <v>295</v>
      </c>
      <c r="D28" s="87">
        <v>84.7</v>
      </c>
      <c r="E28" s="88">
        <v>26</v>
      </c>
      <c r="F28" s="87">
        <v>59.9</v>
      </c>
      <c r="G28" s="17">
        <v>18</v>
      </c>
      <c r="H28" s="89">
        <v>242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2</v>
      </c>
      <c r="R28" s="80">
        <v>1</v>
      </c>
      <c r="S28" s="80" t="s">
        <v>85</v>
      </c>
      <c r="T28" s="5" t="s">
        <v>83</v>
      </c>
      <c r="U28" s="9"/>
      <c r="W28" s="87">
        <f>D28</f>
        <v>84.7</v>
      </c>
      <c r="X28" s="88">
        <f>E28</f>
        <v>26</v>
      </c>
      <c r="Y28" s="93">
        <f>H28</f>
        <v>242</v>
      </c>
      <c r="Z28" s="91">
        <f>I28</f>
        <v>0</v>
      </c>
      <c r="AA28" s="91">
        <f>K28</f>
        <v>0</v>
      </c>
      <c r="AB28" s="91">
        <f t="shared" ref="AB28:AD29" si="13">M28</f>
        <v>0</v>
      </c>
      <c r="AC28" s="4" t="str">
        <f t="shared" si="13"/>
        <v/>
      </c>
      <c r="AD28" s="92">
        <f t="shared" si="13"/>
        <v>0</v>
      </c>
      <c r="AE28" s="80" t="str">
        <f>S28</f>
        <v>복</v>
      </c>
      <c r="AF28" s="80" t="str">
        <f>Q28&amp;"/"&amp;R28</f>
        <v>2/1</v>
      </c>
      <c r="AH28" s="20" t="str">
        <f t="shared" si="1"/>
        <v>우창진주3차</v>
      </c>
      <c r="AI28" s="88">
        <f t="shared" si="0"/>
        <v>26</v>
      </c>
      <c r="AJ28" s="80" t="str">
        <f>IF(AI28="","",$AJ$2)</f>
        <v>A-</v>
      </c>
      <c r="AK28" s="80" t="s">
        <v>13</v>
      </c>
      <c r="AL28" s="80" t="s">
        <v>62</v>
      </c>
      <c r="AM28" s="80" t="s">
        <v>63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X</v>
      </c>
      <c r="AV28" s="80" t="str">
        <f>IF(AO28="","",IF(AND(AO28="O",AP28="O",AR28="O",AT28="O",AU28="O"),"후보","X"))</f>
        <v/>
      </c>
    </row>
    <row r="29" spans="1:48" x14ac:dyDescent="0.3">
      <c r="A29" s="9" t="s">
        <v>329</v>
      </c>
      <c r="B29" s="10" t="s">
        <v>902</v>
      </c>
      <c r="C29" s="89">
        <v>295</v>
      </c>
      <c r="D29" s="87">
        <v>84.7</v>
      </c>
      <c r="E29" s="88">
        <v>26</v>
      </c>
      <c r="F29" s="87">
        <v>59.9</v>
      </c>
      <c r="G29" s="17">
        <v>18</v>
      </c>
      <c r="H29" s="89">
        <v>53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3</v>
      </c>
      <c r="R29" s="80">
        <v>1</v>
      </c>
      <c r="S29" s="80" t="s">
        <v>85</v>
      </c>
      <c r="T29" s="5" t="s">
        <v>334</v>
      </c>
      <c r="U29" s="9"/>
      <c r="W29" s="87">
        <f>D29</f>
        <v>84.7</v>
      </c>
      <c r="X29" s="88">
        <f>E29</f>
        <v>26</v>
      </c>
      <c r="Y29" s="93">
        <f>H29</f>
        <v>53</v>
      </c>
      <c r="Z29" s="91">
        <f>I29</f>
        <v>0</v>
      </c>
      <c r="AA29" s="91">
        <f>K29</f>
        <v>0</v>
      </c>
      <c r="AB29" s="91">
        <f t="shared" si="13"/>
        <v>0</v>
      </c>
      <c r="AC29" s="4" t="str">
        <f t="shared" si="13"/>
        <v/>
      </c>
      <c r="AD29" s="92">
        <f t="shared" si="13"/>
        <v>0</v>
      </c>
      <c r="AE29" s="80" t="str">
        <f>S29</f>
        <v>복</v>
      </c>
      <c r="AF29" s="80" t="str">
        <f>Q29&amp;"/"&amp;R29</f>
        <v>3/1</v>
      </c>
      <c r="AH29" s="20" t="str">
        <f t="shared" si="1"/>
        <v>우창진주3차</v>
      </c>
      <c r="AI29" s="88">
        <f t="shared" si="0"/>
        <v>26</v>
      </c>
      <c r="AJ29" s="80" t="str">
        <f>IF(AI29="","",$AJ$2)</f>
        <v>A-</v>
      </c>
      <c r="AK29" s="80" t="s">
        <v>13</v>
      </c>
      <c r="AL29" s="80" t="s">
        <v>62</v>
      </c>
      <c r="AM29" s="80" t="s">
        <v>63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X</v>
      </c>
      <c r="AV29" s="80" t="str">
        <f>IF(AO29="","",IF(AND(AO29="O",AP29="O",AR29="O",AT29="O",AU29="O"),"후보","X"))</f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8" t="str">
        <f>$A$4&amp;" "&amp;A31&amp;"("&amp;B31&amp;","&amp;C31&amp;"^)"</f>
        <v>내수읍 진흥2차('92.11.,299^)</v>
      </c>
      <c r="X30" s="69"/>
      <c r="Y30" s="69"/>
      <c r="Z30" s="69"/>
      <c r="AA30" s="69"/>
      <c r="AB30" s="69"/>
      <c r="AC30" s="69"/>
      <c r="AD30" s="69"/>
      <c r="AE30" s="69"/>
      <c r="AF30" s="70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335</v>
      </c>
      <c r="B31" s="10" t="s">
        <v>903</v>
      </c>
      <c r="C31" s="89">
        <v>299</v>
      </c>
      <c r="D31" s="87">
        <v>75.7</v>
      </c>
      <c r="E31" s="88">
        <v>23</v>
      </c>
      <c r="F31" s="87">
        <v>60</v>
      </c>
      <c r="G31" s="17">
        <v>18</v>
      </c>
      <c r="H31" s="89">
        <v>233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2</v>
      </c>
      <c r="R31" s="80">
        <v>1</v>
      </c>
      <c r="S31" s="80" t="s">
        <v>61</v>
      </c>
      <c r="T31" s="5">
        <v>75</v>
      </c>
      <c r="U31" s="9"/>
      <c r="W31" s="87">
        <f t="shared" ref="W31:X33" si="14">D31</f>
        <v>75.7</v>
      </c>
      <c r="X31" s="88">
        <f t="shared" si="14"/>
        <v>23</v>
      </c>
      <c r="Y31" s="93">
        <f t="shared" ref="Y31:Z33" si="15">H31</f>
        <v>233</v>
      </c>
      <c r="Z31" s="91">
        <f t="shared" si="15"/>
        <v>0</v>
      </c>
      <c r="AA31" s="91">
        <f>K31</f>
        <v>0</v>
      </c>
      <c r="AB31" s="91">
        <f t="shared" ref="AB31:AD33" si="16">M31</f>
        <v>0</v>
      </c>
      <c r="AC31" s="4" t="str">
        <f t="shared" si="16"/>
        <v/>
      </c>
      <c r="AD31" s="92">
        <f t="shared" si="16"/>
        <v>0</v>
      </c>
      <c r="AE31" s="80" t="str">
        <f>S31</f>
        <v>계</v>
      </c>
      <c r="AF31" s="80" t="str">
        <f>Q31&amp;"/"&amp;R31</f>
        <v>2/1</v>
      </c>
      <c r="AH31" s="20" t="str">
        <f t="shared" si="1"/>
        <v>진흥2차</v>
      </c>
      <c r="AI31" s="88">
        <f t="shared" si="0"/>
        <v>23</v>
      </c>
      <c r="AJ31" s="80" t="str">
        <f>IF(AI31="","",$AJ$2)</f>
        <v>A-</v>
      </c>
      <c r="AK31" s="80" t="s">
        <v>13</v>
      </c>
      <c r="AL31" s="80" t="s">
        <v>62</v>
      </c>
      <c r="AM31" s="80" t="s">
        <v>63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X</v>
      </c>
      <c r="AV31" s="80" t="str">
        <f>IF(AO31="","",IF(AND(AO31="O",AP31="O",AR31="O",AT31="O",AU31="O"),"후보","X"))</f>
        <v/>
      </c>
    </row>
    <row r="32" spans="1:48" x14ac:dyDescent="0.3">
      <c r="A32" s="9" t="s">
        <v>335</v>
      </c>
      <c r="B32" s="10" t="s">
        <v>903</v>
      </c>
      <c r="C32" s="89">
        <v>299</v>
      </c>
      <c r="D32" s="87">
        <v>75.599999999999994</v>
      </c>
      <c r="E32" s="88">
        <v>23</v>
      </c>
      <c r="F32" s="87">
        <v>59.9</v>
      </c>
      <c r="G32" s="17">
        <v>18</v>
      </c>
      <c r="H32" s="89">
        <v>42</v>
      </c>
      <c r="I32" s="90"/>
      <c r="J32" s="90"/>
      <c r="K32" s="90"/>
      <c r="L32" s="90"/>
      <c r="M32" s="91">
        <f>I32-K32</f>
        <v>0</v>
      </c>
      <c r="N32" s="4" t="str">
        <f>IF(ISERROR(K32/I32),"",K32/I32)</f>
        <v/>
      </c>
      <c r="O32" s="92">
        <f>I32/E32</f>
        <v>0</v>
      </c>
      <c r="P32" s="92">
        <f>K32/E32</f>
        <v>0</v>
      </c>
      <c r="Q32" s="80">
        <v>3</v>
      </c>
      <c r="R32" s="80">
        <v>1</v>
      </c>
      <c r="S32" s="80" t="s">
        <v>85</v>
      </c>
      <c r="T32" s="5">
        <v>75</v>
      </c>
      <c r="U32" s="9"/>
      <c r="W32" s="87">
        <f t="shared" si="14"/>
        <v>75.599999999999994</v>
      </c>
      <c r="X32" s="88">
        <f t="shared" si="14"/>
        <v>23</v>
      </c>
      <c r="Y32" s="93">
        <f t="shared" si="15"/>
        <v>42</v>
      </c>
      <c r="Z32" s="91">
        <f t="shared" si="15"/>
        <v>0</v>
      </c>
      <c r="AA32" s="91">
        <f>K32</f>
        <v>0</v>
      </c>
      <c r="AB32" s="91">
        <f t="shared" si="16"/>
        <v>0</v>
      </c>
      <c r="AC32" s="4" t="str">
        <f t="shared" si="16"/>
        <v/>
      </c>
      <c r="AD32" s="92">
        <f t="shared" si="16"/>
        <v>0</v>
      </c>
      <c r="AE32" s="80" t="str">
        <f>S32</f>
        <v>복</v>
      </c>
      <c r="AF32" s="80" t="str">
        <f>Q32&amp;"/"&amp;R32</f>
        <v>3/1</v>
      </c>
      <c r="AH32" s="20" t="str">
        <f t="shared" si="1"/>
        <v>진흥2차</v>
      </c>
      <c r="AI32" s="88">
        <f t="shared" si="0"/>
        <v>23</v>
      </c>
      <c r="AJ32" s="80" t="str">
        <f>IF(AI32="","",$AJ$2)</f>
        <v>A-</v>
      </c>
      <c r="AK32" s="80" t="s">
        <v>13</v>
      </c>
      <c r="AL32" s="80" t="s">
        <v>62</v>
      </c>
      <c r="AM32" s="80" t="s">
        <v>63</v>
      </c>
      <c r="AN32" s="80" t="str">
        <f>IF(AI32="","",$AN$2)</f>
        <v>C</v>
      </c>
      <c r="AO32" s="80" t="str">
        <f>IF(N32="","",IF(N32&gt;=$AO$1/100,"O","X"))</f>
        <v/>
      </c>
      <c r="AP32" s="80" t="str">
        <f>IF(I32="","",IF(I32&lt;=$AP$1,"O","X"))</f>
        <v/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X</v>
      </c>
      <c r="AV32" s="80" t="str">
        <f>IF(AO32="","",IF(AND(AO32="O",AP32="O",AR32="O",AT32="O",AU32="O"),"후보","X"))</f>
        <v/>
      </c>
    </row>
    <row r="33" spans="1:48" x14ac:dyDescent="0.3">
      <c r="A33" s="9" t="s">
        <v>335</v>
      </c>
      <c r="B33" s="10" t="s">
        <v>903</v>
      </c>
      <c r="C33" s="89">
        <v>299</v>
      </c>
      <c r="D33" s="87">
        <v>107.2</v>
      </c>
      <c r="E33" s="88">
        <v>32</v>
      </c>
      <c r="F33" s="87">
        <v>84.9</v>
      </c>
      <c r="G33" s="17">
        <v>26</v>
      </c>
      <c r="H33" s="89">
        <v>24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2</v>
      </c>
      <c r="S33" s="80" t="s">
        <v>61</v>
      </c>
      <c r="T33" s="5">
        <v>107</v>
      </c>
      <c r="U33" s="9"/>
      <c r="W33" s="87">
        <f t="shared" si="14"/>
        <v>107.2</v>
      </c>
      <c r="X33" s="88">
        <f t="shared" si="14"/>
        <v>32</v>
      </c>
      <c r="Y33" s="93">
        <f t="shared" si="15"/>
        <v>24</v>
      </c>
      <c r="Z33" s="91">
        <f t="shared" si="15"/>
        <v>0</v>
      </c>
      <c r="AA33" s="91">
        <f>K33</f>
        <v>0</v>
      </c>
      <c r="AB33" s="91">
        <f t="shared" si="16"/>
        <v>0</v>
      </c>
      <c r="AC33" s="4" t="str">
        <f t="shared" si="16"/>
        <v/>
      </c>
      <c r="AD33" s="92">
        <f t="shared" si="16"/>
        <v>0</v>
      </c>
      <c r="AE33" s="80" t="str">
        <f>S33</f>
        <v>계</v>
      </c>
      <c r="AF33" s="80" t="str">
        <f>Q33&amp;"/"&amp;R33</f>
        <v>3/2</v>
      </c>
      <c r="AH33" s="20" t="str">
        <f t="shared" si="1"/>
        <v>진흥2차</v>
      </c>
      <c r="AI33" s="88">
        <f t="shared" si="0"/>
        <v>32</v>
      </c>
      <c r="AJ33" s="80" t="str">
        <f>IF(AI33="","",$AJ$2)</f>
        <v>A-</v>
      </c>
      <c r="AK33" s="80" t="s">
        <v>13</v>
      </c>
      <c r="AL33" s="80" t="s">
        <v>62</v>
      </c>
      <c r="AM33" s="80" t="s">
        <v>63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</sheetData>
  <mergeCells count="1">
    <mergeCell ref="AJ1:AN1"/>
  </mergeCells>
  <phoneticPr fontId="2" type="noConversion"/>
  <conditionalFormatting sqref="AV4:AV6">
    <cfRule type="expression" dxfId="4087" priority="421">
      <formula>AV4="X"</formula>
    </cfRule>
    <cfRule type="expression" dxfId="4086" priority="422">
      <formula>AV4="후보"</formula>
    </cfRule>
  </conditionalFormatting>
  <conditionalFormatting sqref="AC1:AC2 AC4:AC6 N4:N5">
    <cfRule type="cellIs" dxfId="4085" priority="418" operator="greaterThan">
      <formula>0.9</formula>
    </cfRule>
    <cfRule type="cellIs" dxfId="4084" priority="419" operator="greaterThan">
      <formula>0.85</formula>
    </cfRule>
  </conditionalFormatting>
  <conditionalFormatting sqref="N1:N2">
    <cfRule type="cellIs" dxfId="4083" priority="416" operator="greaterThan">
      <formula>0.9</formula>
    </cfRule>
    <cfRule type="cellIs" dxfId="4082" priority="417" operator="greaterThan">
      <formula>0.85</formula>
    </cfRule>
  </conditionalFormatting>
  <conditionalFormatting sqref="N6">
    <cfRule type="cellIs" dxfId="4081" priority="414" operator="greaterThan">
      <formula>0.9</formula>
    </cfRule>
    <cfRule type="cellIs" dxfId="4080" priority="415" operator="greaterThan">
      <formula>0.85</formula>
    </cfRule>
  </conditionalFormatting>
  <conditionalFormatting sqref="E6">
    <cfRule type="expression" dxfId="4079" priority="410">
      <formula>AND(IF(OR($Q6=1,$Q6=2),1,0),IF($X6&lt;=20,1,0))</formula>
    </cfRule>
    <cfRule type="expression" dxfId="4078" priority="411">
      <formula>AND(IF($Q6=2,1,0),IF($X6&lt;30,1,0))</formula>
    </cfRule>
    <cfRule type="expression" dxfId="4077" priority="412">
      <formula>AND(IF($Q6=3,1,0),IF($X6&lt;30,1,0))</formula>
    </cfRule>
    <cfRule type="expression" dxfId="4076" priority="413">
      <formula>AND(IF($Q6=3,1,IF($Q6=4,1,0)),IF($F6&lt;=85,1,0))</formula>
    </cfRule>
  </conditionalFormatting>
  <conditionalFormatting sqref="X6">
    <cfRule type="expression" dxfId="4075" priority="406">
      <formula>AND(IF(OR($Q6=1,$Q6=2),1,0),IF($X6&lt;=20,1,0))</formula>
    </cfRule>
    <cfRule type="expression" dxfId="4074" priority="407">
      <formula>AND(IF($Q6=2,1,0),IF($X6&lt;30,1,0))</formula>
    </cfRule>
    <cfRule type="expression" dxfId="4073" priority="408">
      <formula>AND(IF($Q6=3,1,0),IF($X6&lt;30,1,0))</formula>
    </cfRule>
    <cfRule type="expression" dxfId="4072" priority="409">
      <formula>AND(IF($Q6=3,1,IF($Q6=4,1,0)),IF($F6&lt;=85,1,0))</formula>
    </cfRule>
  </conditionalFormatting>
  <conditionalFormatting sqref="AI6">
    <cfRule type="expression" dxfId="4071" priority="402">
      <formula>AND(IF(OR($Q6=1,$Q6=2),1,0),IF($X6&lt;=20,1,0))</formula>
    </cfRule>
    <cfRule type="expression" dxfId="4070" priority="403">
      <formula>AND(IF($Q6=2,1,0),IF($X6&lt;30,1,0))</formula>
    </cfRule>
    <cfRule type="expression" dxfId="4069" priority="404">
      <formula>AND(IF($Q6=3,1,0),IF($X6&lt;30,1,0))</formula>
    </cfRule>
    <cfRule type="expression" dxfId="4068" priority="405">
      <formula>AND(IF($Q6=3,1,IF($Q6=4,1,0)),IF($F6&lt;=85,1,0))</formula>
    </cfRule>
  </conditionalFormatting>
  <conditionalFormatting sqref="AV7">
    <cfRule type="expression" dxfId="4067" priority="400">
      <formula>AV7="X"</formula>
    </cfRule>
    <cfRule type="expression" dxfId="4066" priority="401">
      <formula>AV7="후보"</formula>
    </cfRule>
  </conditionalFormatting>
  <conditionalFormatting sqref="AC7">
    <cfRule type="cellIs" dxfId="4065" priority="397" operator="greaterThan">
      <formula>0.9</formula>
    </cfRule>
    <cfRule type="cellIs" dxfId="4064" priority="398" operator="greaterThan">
      <formula>0.85</formula>
    </cfRule>
  </conditionalFormatting>
  <conditionalFormatting sqref="N7">
    <cfRule type="cellIs" dxfId="4063" priority="395" operator="greaterThan">
      <formula>0.9</formula>
    </cfRule>
    <cfRule type="cellIs" dxfId="4062" priority="396" operator="greaterThan">
      <formula>0.85</formula>
    </cfRule>
  </conditionalFormatting>
  <conditionalFormatting sqref="E7">
    <cfRule type="expression" dxfId="4061" priority="391">
      <formula>AND(IF(OR($Q7=1,$Q7=2),1,0),IF($X7&lt;=20,1,0))</formula>
    </cfRule>
    <cfRule type="expression" dxfId="4060" priority="392">
      <formula>AND(IF($Q7=2,1,0),IF($X7&lt;30,1,0))</formula>
    </cfRule>
    <cfRule type="expression" dxfId="4059" priority="393">
      <formula>AND(IF($Q7=3,1,0),IF($X7&lt;30,1,0))</formula>
    </cfRule>
    <cfRule type="expression" dxfId="4058" priority="394">
      <formula>AND(IF($Q7=3,1,IF($Q7=4,1,0)),IF($F7&lt;=85,1,0))</formula>
    </cfRule>
  </conditionalFormatting>
  <conditionalFormatting sqref="X7">
    <cfRule type="expression" dxfId="4057" priority="387">
      <formula>AND(IF(OR($Q7=1,$Q7=2),1,0),IF($X7&lt;=20,1,0))</formula>
    </cfRule>
    <cfRule type="expression" dxfId="4056" priority="388">
      <formula>AND(IF($Q7=2,1,0),IF($X7&lt;30,1,0))</formula>
    </cfRule>
    <cfRule type="expression" dxfId="4055" priority="389">
      <formula>AND(IF($Q7=3,1,0),IF($X7&lt;30,1,0))</formula>
    </cfRule>
    <cfRule type="expression" dxfId="4054" priority="390">
      <formula>AND(IF($Q7=3,1,IF($Q7=4,1,0)),IF($F7&lt;=85,1,0))</formula>
    </cfRule>
  </conditionalFormatting>
  <conditionalFormatting sqref="AI7">
    <cfRule type="expression" dxfId="4053" priority="383">
      <formula>AND(IF(OR($Q7=1,$Q7=2),1,0),IF($X7&lt;=20,1,0))</formula>
    </cfRule>
    <cfRule type="expression" dxfId="4052" priority="384">
      <formula>AND(IF($Q7=2,1,0),IF($X7&lt;30,1,0))</formula>
    </cfRule>
    <cfRule type="expression" dxfId="4051" priority="385">
      <formula>AND(IF($Q7=3,1,0),IF($X7&lt;30,1,0))</formula>
    </cfRule>
    <cfRule type="expression" dxfId="4050" priority="386">
      <formula>AND(IF($Q7=3,1,IF($Q7=4,1,0)),IF($F7&lt;=85,1,0))</formula>
    </cfRule>
  </conditionalFormatting>
  <conditionalFormatting sqref="AV8">
    <cfRule type="expression" dxfId="4049" priority="381">
      <formula>AV8="X"</formula>
    </cfRule>
    <cfRule type="expression" dxfId="4048" priority="382">
      <formula>AV8="후보"</formula>
    </cfRule>
  </conditionalFormatting>
  <conditionalFormatting sqref="AC8 N8">
    <cfRule type="cellIs" dxfId="4047" priority="378" operator="greaterThan">
      <formula>0.9</formula>
    </cfRule>
    <cfRule type="cellIs" dxfId="4046" priority="379" operator="greaterThan">
      <formula>0.85</formula>
    </cfRule>
  </conditionalFormatting>
  <conditionalFormatting sqref="AV9">
    <cfRule type="expression" dxfId="4045" priority="376">
      <formula>AV9="X"</formula>
    </cfRule>
    <cfRule type="expression" dxfId="4044" priority="377">
      <formula>AV9="후보"</formula>
    </cfRule>
  </conditionalFormatting>
  <conditionalFormatting sqref="AC9">
    <cfRule type="cellIs" dxfId="4043" priority="373" operator="greaterThan">
      <formula>0.9</formula>
    </cfRule>
    <cfRule type="cellIs" dxfId="4042" priority="374" operator="greaterThan">
      <formula>0.85</formula>
    </cfRule>
  </conditionalFormatting>
  <conditionalFormatting sqref="N9">
    <cfRule type="cellIs" dxfId="4041" priority="371" operator="greaterThan">
      <formula>0.9</formula>
    </cfRule>
    <cfRule type="cellIs" dxfId="4040" priority="372" operator="greaterThan">
      <formula>0.85</formula>
    </cfRule>
  </conditionalFormatting>
  <conditionalFormatting sqref="E9">
    <cfRule type="expression" dxfId="4039" priority="367">
      <formula>AND(IF(OR($Q9=1,$Q9=2),1,0),IF($X9&lt;=20,1,0))</formula>
    </cfRule>
    <cfRule type="expression" dxfId="4038" priority="368">
      <formula>AND(IF($Q9=2,1,0),IF($X9&lt;30,1,0))</formula>
    </cfRule>
    <cfRule type="expression" dxfId="4037" priority="369">
      <formula>AND(IF($Q9=3,1,0),IF($X9&lt;30,1,0))</formula>
    </cfRule>
    <cfRule type="expression" dxfId="4036" priority="370">
      <formula>AND(IF($Q9=3,1,IF($Q9=4,1,0)),IF($F9&lt;=85,1,0))</formula>
    </cfRule>
  </conditionalFormatting>
  <conditionalFormatting sqref="X9">
    <cfRule type="expression" dxfId="4035" priority="363">
      <formula>AND(IF(OR($Q9=1,$Q9=2),1,0),IF($X9&lt;=20,1,0))</formula>
    </cfRule>
    <cfRule type="expression" dxfId="4034" priority="364">
      <formula>AND(IF($Q9=2,1,0),IF($X9&lt;30,1,0))</formula>
    </cfRule>
    <cfRule type="expression" dxfId="4033" priority="365">
      <formula>AND(IF($Q9=3,1,0),IF($X9&lt;30,1,0))</formula>
    </cfRule>
    <cfRule type="expression" dxfId="4032" priority="366">
      <formula>AND(IF($Q9=3,1,IF($Q9=4,1,0)),IF($F9&lt;=85,1,0))</formula>
    </cfRule>
  </conditionalFormatting>
  <conditionalFormatting sqref="AI9">
    <cfRule type="expression" dxfId="4031" priority="359">
      <formula>AND(IF(OR($Q9=1,$Q9=2),1,0),IF($X9&lt;=20,1,0))</formula>
    </cfRule>
    <cfRule type="expression" dxfId="4030" priority="360">
      <formula>AND(IF($Q9=2,1,0),IF($X9&lt;30,1,0))</formula>
    </cfRule>
    <cfRule type="expression" dxfId="4029" priority="361">
      <formula>AND(IF($Q9=3,1,0),IF($X9&lt;30,1,0))</formula>
    </cfRule>
    <cfRule type="expression" dxfId="4028" priority="362">
      <formula>AND(IF($Q9=3,1,IF($Q9=4,1,0)),IF($F9&lt;=85,1,0))</formula>
    </cfRule>
  </conditionalFormatting>
  <conditionalFormatting sqref="AV10">
    <cfRule type="expression" dxfId="4027" priority="357">
      <formula>AV10="X"</formula>
    </cfRule>
    <cfRule type="expression" dxfId="4026" priority="358">
      <formula>AV10="후보"</formula>
    </cfRule>
  </conditionalFormatting>
  <conditionalFormatting sqref="AC10 N10">
    <cfRule type="cellIs" dxfId="4025" priority="354" operator="greaterThan">
      <formula>0.9</formula>
    </cfRule>
    <cfRule type="cellIs" dxfId="4024" priority="355" operator="greaterThan">
      <formula>0.85</formula>
    </cfRule>
  </conditionalFormatting>
  <conditionalFormatting sqref="AV11">
    <cfRule type="expression" dxfId="4023" priority="352">
      <formula>AV11="X"</formula>
    </cfRule>
    <cfRule type="expression" dxfId="4022" priority="353">
      <formula>AV11="후보"</formula>
    </cfRule>
  </conditionalFormatting>
  <conditionalFormatting sqref="AC11">
    <cfRule type="cellIs" dxfId="4021" priority="349" operator="greaterThan">
      <formula>0.9</formula>
    </cfRule>
    <cfRule type="cellIs" dxfId="4020" priority="350" operator="greaterThan">
      <formula>0.85</formula>
    </cfRule>
  </conditionalFormatting>
  <conditionalFormatting sqref="N11">
    <cfRule type="cellIs" dxfId="4019" priority="347" operator="greaterThan">
      <formula>0.9</formula>
    </cfRule>
    <cfRule type="cellIs" dxfId="4018" priority="348" operator="greaterThan">
      <formula>0.85</formula>
    </cfRule>
  </conditionalFormatting>
  <conditionalFormatting sqref="E11">
    <cfRule type="expression" dxfId="4017" priority="343">
      <formula>AND(IF(OR($Q11=1,$Q11=2),1,0),IF($X11&lt;=20,1,0))</formula>
    </cfRule>
    <cfRule type="expression" dxfId="4016" priority="344">
      <formula>AND(IF($Q11=2,1,0),IF($X11&lt;30,1,0))</formula>
    </cfRule>
    <cfRule type="expression" dxfId="4015" priority="345">
      <formula>AND(IF($Q11=3,1,0),IF($X11&lt;30,1,0))</formula>
    </cfRule>
    <cfRule type="expression" dxfId="4014" priority="346">
      <formula>AND(IF($Q11=3,1,IF($Q11=4,1,0)),IF($F11&lt;=85,1,0))</formula>
    </cfRule>
  </conditionalFormatting>
  <conditionalFormatting sqref="X11">
    <cfRule type="expression" dxfId="4013" priority="339">
      <formula>AND(IF(OR($Q11=1,$Q11=2),1,0),IF($X11&lt;=20,1,0))</formula>
    </cfRule>
    <cfRule type="expression" dxfId="4012" priority="340">
      <formula>AND(IF($Q11=2,1,0),IF($X11&lt;30,1,0))</formula>
    </cfRule>
    <cfRule type="expression" dxfId="4011" priority="341">
      <formula>AND(IF($Q11=3,1,0),IF($X11&lt;30,1,0))</formula>
    </cfRule>
    <cfRule type="expression" dxfId="4010" priority="342">
      <formula>AND(IF($Q11=3,1,IF($Q11=4,1,0)),IF($F11&lt;=85,1,0))</formula>
    </cfRule>
  </conditionalFormatting>
  <conditionalFormatting sqref="AI11">
    <cfRule type="expression" dxfId="4009" priority="335">
      <formula>AND(IF(OR($Q11=1,$Q11=2),1,0),IF($X11&lt;=20,1,0))</formula>
    </cfRule>
    <cfRule type="expression" dxfId="4008" priority="336">
      <formula>AND(IF($Q11=2,1,0),IF($X11&lt;30,1,0))</formula>
    </cfRule>
    <cfRule type="expression" dxfId="4007" priority="337">
      <formula>AND(IF($Q11=3,1,0),IF($X11&lt;30,1,0))</formula>
    </cfRule>
    <cfRule type="expression" dxfId="4006" priority="338">
      <formula>AND(IF($Q11=3,1,IF($Q11=4,1,0)),IF($F11&lt;=85,1,0))</formula>
    </cfRule>
  </conditionalFormatting>
  <conditionalFormatting sqref="AV12">
    <cfRule type="expression" dxfId="4005" priority="333">
      <formula>AV12="X"</formula>
    </cfRule>
    <cfRule type="expression" dxfId="4004" priority="334">
      <formula>AV12="후보"</formula>
    </cfRule>
  </conditionalFormatting>
  <conditionalFormatting sqref="AC12 N12">
    <cfRule type="cellIs" dxfId="4003" priority="330" operator="greaterThan">
      <formula>0.9</formula>
    </cfRule>
    <cfRule type="cellIs" dxfId="4002" priority="331" operator="greaterThan">
      <formula>0.85</formula>
    </cfRule>
  </conditionalFormatting>
  <conditionalFormatting sqref="AV13">
    <cfRule type="expression" dxfId="4001" priority="328">
      <formula>AV13="X"</formula>
    </cfRule>
    <cfRule type="expression" dxfId="4000" priority="329">
      <formula>AV13="후보"</formula>
    </cfRule>
  </conditionalFormatting>
  <conditionalFormatting sqref="AC13">
    <cfRule type="cellIs" dxfId="3999" priority="325" operator="greaterThan">
      <formula>0.9</formula>
    </cfRule>
    <cfRule type="cellIs" dxfId="3998" priority="326" operator="greaterThan">
      <formula>0.85</formula>
    </cfRule>
  </conditionalFormatting>
  <conditionalFormatting sqref="N13">
    <cfRule type="cellIs" dxfId="3997" priority="323" operator="greaterThan">
      <formula>0.9</formula>
    </cfRule>
    <cfRule type="cellIs" dxfId="3996" priority="324" operator="greaterThan">
      <formula>0.85</formula>
    </cfRule>
  </conditionalFormatting>
  <conditionalFormatting sqref="E13">
    <cfRule type="expression" dxfId="3995" priority="319">
      <formula>AND(IF(OR($Q13=1,$Q13=2),1,0),IF($X13&lt;=20,1,0))</formula>
    </cfRule>
    <cfRule type="expression" dxfId="3994" priority="320">
      <formula>AND(IF($Q13=2,1,0),IF($X13&lt;30,1,0))</formula>
    </cfRule>
    <cfRule type="expression" dxfId="3993" priority="321">
      <formula>AND(IF($Q13=3,1,0),IF($X13&lt;30,1,0))</formula>
    </cfRule>
    <cfRule type="expression" dxfId="3992" priority="322">
      <formula>AND(IF($Q13=3,1,IF($Q13=4,1,0)),IF($F13&lt;=85,1,0))</formula>
    </cfRule>
  </conditionalFormatting>
  <conditionalFormatting sqref="X13">
    <cfRule type="expression" dxfId="3991" priority="315">
      <formula>AND(IF(OR($Q13=1,$Q13=2),1,0),IF($X13&lt;=20,1,0))</formula>
    </cfRule>
    <cfRule type="expression" dxfId="3990" priority="316">
      <formula>AND(IF($Q13=2,1,0),IF($X13&lt;30,1,0))</formula>
    </cfRule>
    <cfRule type="expression" dxfId="3989" priority="317">
      <formula>AND(IF($Q13=3,1,0),IF($X13&lt;30,1,0))</formula>
    </cfRule>
    <cfRule type="expression" dxfId="3988" priority="318">
      <formula>AND(IF($Q13=3,1,IF($Q13=4,1,0)),IF($F13&lt;=85,1,0))</formula>
    </cfRule>
  </conditionalFormatting>
  <conditionalFormatting sqref="AI13">
    <cfRule type="expression" dxfId="3987" priority="311">
      <formula>AND(IF(OR($Q13=1,$Q13=2),1,0),IF($X13&lt;=20,1,0))</formula>
    </cfRule>
    <cfRule type="expression" dxfId="3986" priority="312">
      <formula>AND(IF($Q13=2,1,0),IF($X13&lt;30,1,0))</formula>
    </cfRule>
    <cfRule type="expression" dxfId="3985" priority="313">
      <formula>AND(IF($Q13=3,1,0),IF($X13&lt;30,1,0))</formula>
    </cfRule>
    <cfRule type="expression" dxfId="3984" priority="314">
      <formula>AND(IF($Q13=3,1,IF($Q13=4,1,0)),IF($F13&lt;=85,1,0))</formula>
    </cfRule>
  </conditionalFormatting>
  <conditionalFormatting sqref="AV14">
    <cfRule type="expression" dxfId="3983" priority="309">
      <formula>AV14="X"</formula>
    </cfRule>
    <cfRule type="expression" dxfId="3982" priority="310">
      <formula>AV14="후보"</formula>
    </cfRule>
  </conditionalFormatting>
  <conditionalFormatting sqref="AC14">
    <cfRule type="cellIs" dxfId="3981" priority="306" operator="greaterThan">
      <formula>0.9</formula>
    </cfRule>
    <cfRule type="cellIs" dxfId="3980" priority="307" operator="greaterThan">
      <formula>0.85</formula>
    </cfRule>
  </conditionalFormatting>
  <conditionalFormatting sqref="N14">
    <cfRule type="cellIs" dxfId="3979" priority="304" operator="greaterThan">
      <formula>0.9</formula>
    </cfRule>
    <cfRule type="cellIs" dxfId="3978" priority="305" operator="greaterThan">
      <formula>0.85</formula>
    </cfRule>
  </conditionalFormatting>
  <conditionalFormatting sqref="E14">
    <cfRule type="expression" dxfId="3977" priority="300">
      <formula>AND(IF(OR($Q14=1,$Q14=2),1,0),IF($X14&lt;=20,1,0))</formula>
    </cfRule>
    <cfRule type="expression" dxfId="3976" priority="301">
      <formula>AND(IF($Q14=2,1,0),IF($X14&lt;30,1,0))</formula>
    </cfRule>
    <cfRule type="expression" dxfId="3975" priority="302">
      <formula>AND(IF($Q14=3,1,0),IF($X14&lt;30,1,0))</formula>
    </cfRule>
    <cfRule type="expression" dxfId="3974" priority="303">
      <formula>AND(IF($Q14=3,1,IF($Q14=4,1,0)),IF($F14&lt;=85,1,0))</formula>
    </cfRule>
  </conditionalFormatting>
  <conditionalFormatting sqref="X14">
    <cfRule type="expression" dxfId="3973" priority="296">
      <formula>AND(IF(OR($Q14=1,$Q14=2),1,0),IF($X14&lt;=20,1,0))</formula>
    </cfRule>
    <cfRule type="expression" dxfId="3972" priority="297">
      <formula>AND(IF($Q14=2,1,0),IF($X14&lt;30,1,0))</formula>
    </cfRule>
    <cfRule type="expression" dxfId="3971" priority="298">
      <formula>AND(IF($Q14=3,1,0),IF($X14&lt;30,1,0))</formula>
    </cfRule>
    <cfRule type="expression" dxfId="3970" priority="299">
      <formula>AND(IF($Q14=3,1,IF($Q14=4,1,0)),IF($F14&lt;=85,1,0))</formula>
    </cfRule>
  </conditionalFormatting>
  <conditionalFormatting sqref="AI14">
    <cfRule type="expression" dxfId="3969" priority="292">
      <formula>AND(IF(OR($Q14=1,$Q14=2),1,0),IF($X14&lt;=20,1,0))</formula>
    </cfRule>
    <cfRule type="expression" dxfId="3968" priority="293">
      <formula>AND(IF($Q14=2,1,0),IF($X14&lt;30,1,0))</formula>
    </cfRule>
    <cfRule type="expression" dxfId="3967" priority="294">
      <formula>AND(IF($Q14=3,1,0),IF($X14&lt;30,1,0))</formula>
    </cfRule>
    <cfRule type="expression" dxfId="3966" priority="295">
      <formula>AND(IF($Q14=3,1,IF($Q14=4,1,0)),IF($F14&lt;=85,1,0))</formula>
    </cfRule>
  </conditionalFormatting>
  <conditionalFormatting sqref="AV15">
    <cfRule type="expression" dxfId="3965" priority="290">
      <formula>AV15="X"</formula>
    </cfRule>
    <cfRule type="expression" dxfId="3964" priority="291">
      <formula>AV15="후보"</formula>
    </cfRule>
  </conditionalFormatting>
  <conditionalFormatting sqref="AC15">
    <cfRule type="cellIs" dxfId="3963" priority="287" operator="greaterThan">
      <formula>0.9</formula>
    </cfRule>
    <cfRule type="cellIs" dxfId="3962" priority="288" operator="greaterThan">
      <formula>0.85</formula>
    </cfRule>
  </conditionalFormatting>
  <conditionalFormatting sqref="N15">
    <cfRule type="cellIs" dxfId="3961" priority="285" operator="greaterThan">
      <formula>0.9</formula>
    </cfRule>
    <cfRule type="cellIs" dxfId="3960" priority="286" operator="greaterThan">
      <formula>0.85</formula>
    </cfRule>
  </conditionalFormatting>
  <conditionalFormatting sqref="E15">
    <cfRule type="expression" dxfId="3959" priority="281">
      <formula>AND(IF(OR($Q15=1,$Q15=2),1,0),IF($X15&lt;=20,1,0))</formula>
    </cfRule>
    <cfRule type="expression" dxfId="3958" priority="282">
      <formula>AND(IF($Q15=2,1,0),IF($X15&lt;30,1,0))</formula>
    </cfRule>
    <cfRule type="expression" dxfId="3957" priority="283">
      <formula>AND(IF($Q15=3,1,0),IF($X15&lt;30,1,0))</formula>
    </cfRule>
    <cfRule type="expression" dxfId="3956" priority="284">
      <formula>AND(IF($Q15=3,1,IF($Q15=4,1,0)),IF($F15&lt;=85,1,0))</formula>
    </cfRule>
  </conditionalFormatting>
  <conditionalFormatting sqref="X15">
    <cfRule type="expression" dxfId="3955" priority="277">
      <formula>AND(IF(OR($Q15=1,$Q15=2),1,0),IF($X15&lt;=20,1,0))</formula>
    </cfRule>
    <cfRule type="expression" dxfId="3954" priority="278">
      <formula>AND(IF($Q15=2,1,0),IF($X15&lt;30,1,0))</formula>
    </cfRule>
    <cfRule type="expression" dxfId="3953" priority="279">
      <formula>AND(IF($Q15=3,1,0),IF($X15&lt;30,1,0))</formula>
    </cfRule>
    <cfRule type="expression" dxfId="3952" priority="280">
      <formula>AND(IF($Q15=3,1,IF($Q15=4,1,0)),IF($F15&lt;=85,1,0))</formula>
    </cfRule>
  </conditionalFormatting>
  <conditionalFormatting sqref="AI15">
    <cfRule type="expression" dxfId="3951" priority="273">
      <formula>AND(IF(OR($Q15=1,$Q15=2),1,0),IF($X15&lt;=20,1,0))</formula>
    </cfRule>
    <cfRule type="expression" dxfId="3950" priority="274">
      <formula>AND(IF($Q15=2,1,0),IF($X15&lt;30,1,0))</formula>
    </cfRule>
    <cfRule type="expression" dxfId="3949" priority="275">
      <formula>AND(IF($Q15=3,1,0),IF($X15&lt;30,1,0))</formula>
    </cfRule>
    <cfRule type="expression" dxfId="3948" priority="276">
      <formula>AND(IF($Q15=3,1,IF($Q15=4,1,0)),IF($F15&lt;=85,1,0))</formula>
    </cfRule>
  </conditionalFormatting>
  <conditionalFormatting sqref="AV16">
    <cfRule type="expression" dxfId="3947" priority="271">
      <formula>AV16="X"</formula>
    </cfRule>
    <cfRule type="expression" dxfId="3946" priority="272">
      <formula>AV16="후보"</formula>
    </cfRule>
  </conditionalFormatting>
  <conditionalFormatting sqref="AC16 N16">
    <cfRule type="cellIs" dxfId="3945" priority="268" operator="greaterThan">
      <formula>0.9</formula>
    </cfRule>
    <cfRule type="cellIs" dxfId="3944" priority="269" operator="greaterThan">
      <formula>0.85</formula>
    </cfRule>
  </conditionalFormatting>
  <conditionalFormatting sqref="AV17">
    <cfRule type="expression" dxfId="3943" priority="266">
      <formula>AV17="X"</formula>
    </cfRule>
    <cfRule type="expression" dxfId="3942" priority="267">
      <formula>AV17="후보"</formula>
    </cfRule>
  </conditionalFormatting>
  <conditionalFormatting sqref="AC17">
    <cfRule type="cellIs" dxfId="3941" priority="263" operator="greaterThan">
      <formula>0.9</formula>
    </cfRule>
    <cfRule type="cellIs" dxfId="3940" priority="264" operator="greaterThan">
      <formula>0.85</formula>
    </cfRule>
  </conditionalFormatting>
  <conditionalFormatting sqref="N17">
    <cfRule type="cellIs" dxfId="3939" priority="261" operator="greaterThan">
      <formula>0.9</formula>
    </cfRule>
    <cfRule type="cellIs" dxfId="3938" priority="262" operator="greaterThan">
      <formula>0.85</formula>
    </cfRule>
  </conditionalFormatting>
  <conditionalFormatting sqref="E17">
    <cfRule type="expression" dxfId="3937" priority="257">
      <formula>AND(IF(OR($Q17=1,$Q17=2),1,0),IF($X17&lt;=20,1,0))</formula>
    </cfRule>
    <cfRule type="expression" dxfId="3936" priority="258">
      <formula>AND(IF($Q17=2,1,0),IF($X17&lt;30,1,0))</formula>
    </cfRule>
    <cfRule type="expression" dxfId="3935" priority="259">
      <formula>AND(IF($Q17=3,1,0),IF($X17&lt;30,1,0))</formula>
    </cfRule>
    <cfRule type="expression" dxfId="3934" priority="260">
      <formula>AND(IF($Q17=3,1,IF($Q17=4,1,0)),IF($F17&lt;=85,1,0))</formula>
    </cfRule>
  </conditionalFormatting>
  <conditionalFormatting sqref="X17">
    <cfRule type="expression" dxfId="3933" priority="253">
      <formula>AND(IF(OR($Q17=1,$Q17=2),1,0),IF($X17&lt;=20,1,0))</formula>
    </cfRule>
    <cfRule type="expression" dxfId="3932" priority="254">
      <formula>AND(IF($Q17=2,1,0),IF($X17&lt;30,1,0))</formula>
    </cfRule>
    <cfRule type="expression" dxfId="3931" priority="255">
      <formula>AND(IF($Q17=3,1,0),IF($X17&lt;30,1,0))</formula>
    </cfRule>
    <cfRule type="expression" dxfId="3930" priority="256">
      <formula>AND(IF($Q17=3,1,IF($Q17=4,1,0)),IF($F17&lt;=85,1,0))</formula>
    </cfRule>
  </conditionalFormatting>
  <conditionalFormatting sqref="AI17">
    <cfRule type="expression" dxfId="3929" priority="249">
      <formula>AND(IF(OR($Q17=1,$Q17=2),1,0),IF($X17&lt;=20,1,0))</formula>
    </cfRule>
    <cfRule type="expression" dxfId="3928" priority="250">
      <formula>AND(IF($Q17=2,1,0),IF($X17&lt;30,1,0))</formula>
    </cfRule>
    <cfRule type="expression" dxfId="3927" priority="251">
      <formula>AND(IF($Q17=3,1,0),IF($X17&lt;30,1,0))</formula>
    </cfRule>
    <cfRule type="expression" dxfId="3926" priority="252">
      <formula>AND(IF($Q17=3,1,IF($Q17=4,1,0)),IF($F17&lt;=85,1,0))</formula>
    </cfRule>
  </conditionalFormatting>
  <conditionalFormatting sqref="AV18">
    <cfRule type="expression" dxfId="3925" priority="247">
      <formula>AV18="X"</formula>
    </cfRule>
    <cfRule type="expression" dxfId="3924" priority="248">
      <formula>AV18="후보"</formula>
    </cfRule>
  </conditionalFormatting>
  <conditionalFormatting sqref="AC18">
    <cfRule type="cellIs" dxfId="3923" priority="244" operator="greaterThan">
      <formula>0.9</formula>
    </cfRule>
    <cfRule type="cellIs" dxfId="3922" priority="245" operator="greaterThan">
      <formula>0.85</formula>
    </cfRule>
  </conditionalFormatting>
  <conditionalFormatting sqref="N18">
    <cfRule type="cellIs" dxfId="3921" priority="242" operator="greaterThan">
      <formula>0.9</formula>
    </cfRule>
    <cfRule type="cellIs" dxfId="3920" priority="243" operator="greaterThan">
      <formula>0.85</formula>
    </cfRule>
  </conditionalFormatting>
  <conditionalFormatting sqref="E18">
    <cfRule type="expression" dxfId="3919" priority="238">
      <formula>AND(IF(OR($Q18=1,$Q18=2),1,0),IF($X18&lt;=20,1,0))</formula>
    </cfRule>
    <cfRule type="expression" dxfId="3918" priority="239">
      <formula>AND(IF($Q18=2,1,0),IF($X18&lt;30,1,0))</formula>
    </cfRule>
    <cfRule type="expression" dxfId="3917" priority="240">
      <formula>AND(IF($Q18=3,1,0),IF($X18&lt;30,1,0))</formula>
    </cfRule>
    <cfRule type="expression" dxfId="3916" priority="241">
      <formula>AND(IF($Q18=3,1,IF($Q18=4,1,0)),IF($F18&lt;=85,1,0))</formula>
    </cfRule>
  </conditionalFormatting>
  <conditionalFormatting sqref="X18">
    <cfRule type="expression" dxfId="3915" priority="234">
      <formula>AND(IF(OR($Q18=1,$Q18=2),1,0),IF($X18&lt;=20,1,0))</formula>
    </cfRule>
    <cfRule type="expression" dxfId="3914" priority="235">
      <formula>AND(IF($Q18=2,1,0),IF($X18&lt;30,1,0))</formula>
    </cfRule>
    <cfRule type="expression" dxfId="3913" priority="236">
      <formula>AND(IF($Q18=3,1,0),IF($X18&lt;30,1,0))</formula>
    </cfRule>
    <cfRule type="expression" dxfId="3912" priority="237">
      <formula>AND(IF($Q18=3,1,IF($Q18=4,1,0)),IF($F18&lt;=85,1,0))</formula>
    </cfRule>
  </conditionalFormatting>
  <conditionalFormatting sqref="AI18">
    <cfRule type="expression" dxfId="3911" priority="230">
      <formula>AND(IF(OR($Q18=1,$Q18=2),1,0),IF($X18&lt;=20,1,0))</formula>
    </cfRule>
    <cfRule type="expression" dxfId="3910" priority="231">
      <formula>AND(IF($Q18=2,1,0),IF($X18&lt;30,1,0))</formula>
    </cfRule>
    <cfRule type="expression" dxfId="3909" priority="232">
      <formula>AND(IF($Q18=3,1,0),IF($X18&lt;30,1,0))</formula>
    </cfRule>
    <cfRule type="expression" dxfId="3908" priority="233">
      <formula>AND(IF($Q18=3,1,IF($Q18=4,1,0)),IF($F18&lt;=85,1,0))</formula>
    </cfRule>
  </conditionalFormatting>
  <conditionalFormatting sqref="AV19">
    <cfRule type="expression" dxfId="3907" priority="228">
      <formula>AV19="X"</formula>
    </cfRule>
    <cfRule type="expression" dxfId="3906" priority="229">
      <formula>AV19="후보"</formula>
    </cfRule>
  </conditionalFormatting>
  <conditionalFormatting sqref="AC19 N19">
    <cfRule type="cellIs" dxfId="3905" priority="225" operator="greaterThan">
      <formula>0.9</formula>
    </cfRule>
    <cfRule type="cellIs" dxfId="3904" priority="226" operator="greaterThan">
      <formula>0.85</formula>
    </cfRule>
  </conditionalFormatting>
  <conditionalFormatting sqref="AV20">
    <cfRule type="expression" dxfId="3903" priority="223">
      <formula>AV20="X"</formula>
    </cfRule>
    <cfRule type="expression" dxfId="3902" priority="224">
      <formula>AV20="후보"</formula>
    </cfRule>
  </conditionalFormatting>
  <conditionalFormatting sqref="AC20">
    <cfRule type="cellIs" dxfId="3901" priority="220" operator="greaterThan">
      <formula>0.9</formula>
    </cfRule>
    <cfRule type="cellIs" dxfId="3900" priority="221" operator="greaterThan">
      <formula>0.85</formula>
    </cfRule>
  </conditionalFormatting>
  <conditionalFormatting sqref="N20">
    <cfRule type="cellIs" dxfId="3899" priority="218" operator="greaterThan">
      <formula>0.9</formula>
    </cfRule>
    <cfRule type="cellIs" dxfId="3898" priority="219" operator="greaterThan">
      <formula>0.85</formula>
    </cfRule>
  </conditionalFormatting>
  <conditionalFormatting sqref="E20">
    <cfRule type="expression" dxfId="3897" priority="214">
      <formula>AND(IF(OR($Q20=1,$Q20=2),1,0),IF($X20&lt;=20,1,0))</formula>
    </cfRule>
    <cfRule type="expression" dxfId="3896" priority="215">
      <formula>AND(IF($Q20=2,1,0),IF($X20&lt;30,1,0))</formula>
    </cfRule>
    <cfRule type="expression" dxfId="3895" priority="216">
      <formula>AND(IF($Q20=3,1,0),IF($X20&lt;30,1,0))</formula>
    </cfRule>
    <cfRule type="expression" dxfId="3894" priority="217">
      <formula>AND(IF($Q20=3,1,IF($Q20=4,1,0)),IF($F20&lt;=85,1,0))</formula>
    </cfRule>
  </conditionalFormatting>
  <conditionalFormatting sqref="X20">
    <cfRule type="expression" dxfId="3893" priority="210">
      <formula>AND(IF(OR($Q20=1,$Q20=2),1,0),IF($X20&lt;=20,1,0))</formula>
    </cfRule>
    <cfRule type="expression" dxfId="3892" priority="211">
      <formula>AND(IF($Q20=2,1,0),IF($X20&lt;30,1,0))</formula>
    </cfRule>
    <cfRule type="expression" dxfId="3891" priority="212">
      <formula>AND(IF($Q20=3,1,0),IF($X20&lt;30,1,0))</formula>
    </cfRule>
    <cfRule type="expression" dxfId="3890" priority="213">
      <formula>AND(IF($Q20=3,1,IF($Q20=4,1,0)),IF($F20&lt;=85,1,0))</formula>
    </cfRule>
  </conditionalFormatting>
  <conditionalFormatting sqref="AI20">
    <cfRule type="expression" dxfId="3889" priority="206">
      <formula>AND(IF(OR($Q20=1,$Q20=2),1,0),IF($X20&lt;=20,1,0))</formula>
    </cfRule>
    <cfRule type="expression" dxfId="3888" priority="207">
      <formula>AND(IF($Q20=2,1,0),IF($X20&lt;30,1,0))</formula>
    </cfRule>
    <cfRule type="expression" dxfId="3887" priority="208">
      <formula>AND(IF($Q20=3,1,0),IF($X20&lt;30,1,0))</formula>
    </cfRule>
    <cfRule type="expression" dxfId="3886" priority="209">
      <formula>AND(IF($Q20=3,1,IF($Q20=4,1,0)),IF($F20&lt;=85,1,0))</formula>
    </cfRule>
  </conditionalFormatting>
  <conditionalFormatting sqref="AV21">
    <cfRule type="expression" dxfId="3885" priority="204">
      <formula>AV21="X"</formula>
    </cfRule>
    <cfRule type="expression" dxfId="3884" priority="205">
      <formula>AV21="후보"</formula>
    </cfRule>
  </conditionalFormatting>
  <conditionalFormatting sqref="AC21">
    <cfRule type="cellIs" dxfId="3883" priority="201" operator="greaterThan">
      <formula>0.9</formula>
    </cfRule>
    <cfRule type="cellIs" dxfId="3882" priority="202" operator="greaterThan">
      <formula>0.85</formula>
    </cfRule>
  </conditionalFormatting>
  <conditionalFormatting sqref="N21">
    <cfRule type="cellIs" dxfId="3881" priority="199" operator="greaterThan">
      <formula>0.9</formula>
    </cfRule>
    <cfRule type="cellIs" dxfId="3880" priority="200" operator="greaterThan">
      <formula>0.85</formula>
    </cfRule>
  </conditionalFormatting>
  <conditionalFormatting sqref="E21">
    <cfRule type="expression" dxfId="3879" priority="195">
      <formula>AND(IF(OR($Q21=1,$Q21=2),1,0),IF($X21&lt;=20,1,0))</formula>
    </cfRule>
    <cfRule type="expression" dxfId="3878" priority="196">
      <formula>AND(IF($Q21=2,1,0),IF($X21&lt;30,1,0))</formula>
    </cfRule>
    <cfRule type="expression" dxfId="3877" priority="197">
      <formula>AND(IF($Q21=3,1,0),IF($X21&lt;30,1,0))</formula>
    </cfRule>
    <cfRule type="expression" dxfId="3876" priority="198">
      <formula>AND(IF($Q21=3,1,IF($Q21=4,1,0)),IF($F21&lt;=85,1,0))</formula>
    </cfRule>
  </conditionalFormatting>
  <conditionalFormatting sqref="X21">
    <cfRule type="expression" dxfId="3875" priority="191">
      <formula>AND(IF(OR($Q21=1,$Q21=2),1,0),IF($X21&lt;=20,1,0))</formula>
    </cfRule>
    <cfRule type="expression" dxfId="3874" priority="192">
      <formula>AND(IF($Q21=2,1,0),IF($X21&lt;30,1,0))</formula>
    </cfRule>
    <cfRule type="expression" dxfId="3873" priority="193">
      <formula>AND(IF($Q21=3,1,0),IF($X21&lt;30,1,0))</formula>
    </cfRule>
    <cfRule type="expression" dxfId="3872" priority="194">
      <formula>AND(IF($Q21=3,1,IF($Q21=4,1,0)),IF($F21&lt;=85,1,0))</formula>
    </cfRule>
  </conditionalFormatting>
  <conditionalFormatting sqref="AI21">
    <cfRule type="expression" dxfId="3871" priority="187">
      <formula>AND(IF(OR($Q21=1,$Q21=2),1,0),IF($X21&lt;=20,1,0))</formula>
    </cfRule>
    <cfRule type="expression" dxfId="3870" priority="188">
      <formula>AND(IF($Q21=2,1,0),IF($X21&lt;30,1,0))</formula>
    </cfRule>
    <cfRule type="expression" dxfId="3869" priority="189">
      <formula>AND(IF($Q21=3,1,0),IF($X21&lt;30,1,0))</formula>
    </cfRule>
    <cfRule type="expression" dxfId="3868" priority="190">
      <formula>AND(IF($Q21=3,1,IF($Q21=4,1,0)),IF($F21&lt;=85,1,0))</formula>
    </cfRule>
  </conditionalFormatting>
  <conditionalFormatting sqref="AV22">
    <cfRule type="expression" dxfId="3867" priority="185">
      <formula>AV22="X"</formula>
    </cfRule>
    <cfRule type="expression" dxfId="3866" priority="186">
      <formula>AV22="후보"</formula>
    </cfRule>
  </conditionalFormatting>
  <conditionalFormatting sqref="AC22">
    <cfRule type="cellIs" dxfId="3865" priority="182" operator="greaterThan">
      <formula>0.9</formula>
    </cfRule>
    <cfRule type="cellIs" dxfId="3864" priority="183" operator="greaterThan">
      <formula>0.85</formula>
    </cfRule>
  </conditionalFormatting>
  <conditionalFormatting sqref="N22">
    <cfRule type="cellIs" dxfId="3863" priority="180" operator="greaterThan">
      <formula>0.9</formula>
    </cfRule>
    <cfRule type="cellIs" dxfId="3862" priority="181" operator="greaterThan">
      <formula>0.85</formula>
    </cfRule>
  </conditionalFormatting>
  <conditionalFormatting sqref="E22">
    <cfRule type="expression" dxfId="3861" priority="176">
      <formula>AND(IF(OR($Q22=1,$Q22=2),1,0),IF($X22&lt;=20,1,0))</formula>
    </cfRule>
    <cfRule type="expression" dxfId="3860" priority="177">
      <formula>AND(IF($Q22=2,1,0),IF($X22&lt;30,1,0))</formula>
    </cfRule>
    <cfRule type="expression" dxfId="3859" priority="178">
      <formula>AND(IF($Q22=3,1,0),IF($X22&lt;30,1,0))</formula>
    </cfRule>
    <cfRule type="expression" dxfId="3858" priority="179">
      <formula>AND(IF($Q22=3,1,IF($Q22=4,1,0)),IF($F22&lt;=85,1,0))</formula>
    </cfRule>
  </conditionalFormatting>
  <conditionalFormatting sqref="X22">
    <cfRule type="expression" dxfId="3857" priority="172">
      <formula>AND(IF(OR($Q22=1,$Q22=2),1,0),IF($X22&lt;=20,1,0))</formula>
    </cfRule>
    <cfRule type="expression" dxfId="3856" priority="173">
      <formula>AND(IF($Q22=2,1,0),IF($X22&lt;30,1,0))</formula>
    </cfRule>
    <cfRule type="expression" dxfId="3855" priority="174">
      <formula>AND(IF($Q22=3,1,0),IF($X22&lt;30,1,0))</formula>
    </cfRule>
    <cfRule type="expression" dxfId="3854" priority="175">
      <formula>AND(IF($Q22=3,1,IF($Q22=4,1,0)),IF($F22&lt;=85,1,0))</formula>
    </cfRule>
  </conditionalFormatting>
  <conditionalFormatting sqref="AI22">
    <cfRule type="expression" dxfId="3853" priority="168">
      <formula>AND(IF(OR($Q22=1,$Q22=2),1,0),IF($X22&lt;=20,1,0))</formula>
    </cfRule>
    <cfRule type="expression" dxfId="3852" priority="169">
      <formula>AND(IF($Q22=2,1,0),IF($X22&lt;30,1,0))</formula>
    </cfRule>
    <cfRule type="expression" dxfId="3851" priority="170">
      <formula>AND(IF($Q22=3,1,0),IF($X22&lt;30,1,0))</formula>
    </cfRule>
    <cfRule type="expression" dxfId="3850" priority="171">
      <formula>AND(IF($Q22=3,1,IF($Q22=4,1,0)),IF($F22&lt;=85,1,0))</formula>
    </cfRule>
  </conditionalFormatting>
  <conditionalFormatting sqref="AV23">
    <cfRule type="expression" dxfId="3849" priority="166">
      <formula>AV23="X"</formula>
    </cfRule>
    <cfRule type="expression" dxfId="3848" priority="167">
      <formula>AV23="후보"</formula>
    </cfRule>
  </conditionalFormatting>
  <conditionalFormatting sqref="AC23 N23">
    <cfRule type="cellIs" dxfId="3847" priority="163" operator="greaterThan">
      <formula>0.9</formula>
    </cfRule>
    <cfRule type="cellIs" dxfId="3846" priority="164" operator="greaterThan">
      <formula>0.85</formula>
    </cfRule>
  </conditionalFormatting>
  <conditionalFormatting sqref="AV24">
    <cfRule type="expression" dxfId="3845" priority="161">
      <formula>AV24="X"</formula>
    </cfRule>
    <cfRule type="expression" dxfId="3844" priority="162">
      <formula>AV24="후보"</formula>
    </cfRule>
  </conditionalFormatting>
  <conditionalFormatting sqref="AC24">
    <cfRule type="cellIs" dxfId="3843" priority="158" operator="greaterThan">
      <formula>0.9</formula>
    </cfRule>
    <cfRule type="cellIs" dxfId="3842" priority="159" operator="greaterThan">
      <formula>0.85</formula>
    </cfRule>
  </conditionalFormatting>
  <conditionalFormatting sqref="N24">
    <cfRule type="cellIs" dxfId="3841" priority="156" operator="greaterThan">
      <formula>0.9</formula>
    </cfRule>
    <cfRule type="cellIs" dxfId="3840" priority="157" operator="greaterThan">
      <formula>0.85</formula>
    </cfRule>
  </conditionalFormatting>
  <conditionalFormatting sqref="E24">
    <cfRule type="expression" dxfId="3839" priority="152">
      <formula>AND(IF(OR($Q24=1,$Q24=2),1,0),IF($X24&lt;=20,1,0))</formula>
    </cfRule>
    <cfRule type="expression" dxfId="3838" priority="153">
      <formula>AND(IF($Q24=2,1,0),IF($X24&lt;30,1,0))</formula>
    </cfRule>
    <cfRule type="expression" dxfId="3837" priority="154">
      <formula>AND(IF($Q24=3,1,0),IF($X24&lt;30,1,0))</formula>
    </cfRule>
    <cfRule type="expression" dxfId="3836" priority="155">
      <formula>AND(IF($Q24=3,1,IF($Q24=4,1,0)),IF($F24&lt;=85,1,0))</formula>
    </cfRule>
  </conditionalFormatting>
  <conditionalFormatting sqref="X24">
    <cfRule type="expression" dxfId="3835" priority="148">
      <formula>AND(IF(OR($Q24=1,$Q24=2),1,0),IF($X24&lt;=20,1,0))</formula>
    </cfRule>
    <cfRule type="expression" dxfId="3834" priority="149">
      <formula>AND(IF($Q24=2,1,0),IF($X24&lt;30,1,0))</formula>
    </cfRule>
    <cfRule type="expression" dxfId="3833" priority="150">
      <formula>AND(IF($Q24=3,1,0),IF($X24&lt;30,1,0))</formula>
    </cfRule>
    <cfRule type="expression" dxfId="3832" priority="151">
      <formula>AND(IF($Q24=3,1,IF($Q24=4,1,0)),IF($F24&lt;=85,1,0))</formula>
    </cfRule>
  </conditionalFormatting>
  <conditionalFormatting sqref="AI24">
    <cfRule type="expression" dxfId="3831" priority="144">
      <formula>AND(IF(OR($Q24=1,$Q24=2),1,0),IF($X24&lt;=20,1,0))</formula>
    </cfRule>
    <cfRule type="expression" dxfId="3830" priority="145">
      <formula>AND(IF($Q24=2,1,0),IF($X24&lt;30,1,0))</formula>
    </cfRule>
    <cfRule type="expression" dxfId="3829" priority="146">
      <formula>AND(IF($Q24=3,1,0),IF($X24&lt;30,1,0))</formula>
    </cfRule>
    <cfRule type="expression" dxfId="3828" priority="147">
      <formula>AND(IF($Q24=3,1,IF($Q24=4,1,0)),IF($F24&lt;=85,1,0))</formula>
    </cfRule>
  </conditionalFormatting>
  <conditionalFormatting sqref="AV25">
    <cfRule type="expression" dxfId="3827" priority="142">
      <formula>AV25="X"</formula>
    </cfRule>
    <cfRule type="expression" dxfId="3826" priority="143">
      <formula>AV25="후보"</formula>
    </cfRule>
  </conditionalFormatting>
  <conditionalFormatting sqref="AC25">
    <cfRule type="cellIs" dxfId="3825" priority="139" operator="greaterThan">
      <formula>0.9</formula>
    </cfRule>
    <cfRule type="cellIs" dxfId="3824" priority="140" operator="greaterThan">
      <formula>0.85</formula>
    </cfRule>
  </conditionalFormatting>
  <conditionalFormatting sqref="N25">
    <cfRule type="cellIs" dxfId="3823" priority="137" operator="greaterThan">
      <formula>0.9</formula>
    </cfRule>
    <cfRule type="cellIs" dxfId="3822" priority="138" operator="greaterThan">
      <formula>0.85</formula>
    </cfRule>
  </conditionalFormatting>
  <conditionalFormatting sqref="E25">
    <cfRule type="expression" dxfId="3821" priority="133">
      <formula>AND(IF(OR($Q25=1,$Q25=2),1,0),IF($X25&lt;=20,1,0))</formula>
    </cfRule>
    <cfRule type="expression" dxfId="3820" priority="134">
      <formula>AND(IF($Q25=2,1,0),IF($X25&lt;30,1,0))</formula>
    </cfRule>
    <cfRule type="expression" dxfId="3819" priority="135">
      <formula>AND(IF($Q25=3,1,0),IF($X25&lt;30,1,0))</formula>
    </cfRule>
    <cfRule type="expression" dxfId="3818" priority="136">
      <formula>AND(IF($Q25=3,1,IF($Q25=4,1,0)),IF($F25&lt;=85,1,0))</formula>
    </cfRule>
  </conditionalFormatting>
  <conditionalFormatting sqref="X25">
    <cfRule type="expression" dxfId="3817" priority="129">
      <formula>AND(IF(OR($Q25=1,$Q25=2),1,0),IF($X25&lt;=20,1,0))</formula>
    </cfRule>
    <cfRule type="expression" dxfId="3816" priority="130">
      <formula>AND(IF($Q25=2,1,0),IF($X25&lt;30,1,0))</formula>
    </cfRule>
    <cfRule type="expression" dxfId="3815" priority="131">
      <formula>AND(IF($Q25=3,1,0),IF($X25&lt;30,1,0))</formula>
    </cfRule>
    <cfRule type="expression" dxfId="3814" priority="132">
      <formula>AND(IF($Q25=3,1,IF($Q25=4,1,0)),IF($F25&lt;=85,1,0))</formula>
    </cfRule>
  </conditionalFormatting>
  <conditionalFormatting sqref="AI25">
    <cfRule type="expression" dxfId="3813" priority="125">
      <formula>AND(IF(OR($Q25=1,$Q25=2),1,0),IF($X25&lt;=20,1,0))</formula>
    </cfRule>
    <cfRule type="expression" dxfId="3812" priority="126">
      <formula>AND(IF($Q25=2,1,0),IF($X25&lt;30,1,0))</formula>
    </cfRule>
    <cfRule type="expression" dxfId="3811" priority="127">
      <formula>AND(IF($Q25=3,1,0),IF($X25&lt;30,1,0))</formula>
    </cfRule>
    <cfRule type="expression" dxfId="3810" priority="128">
      <formula>AND(IF($Q25=3,1,IF($Q25=4,1,0)),IF($F25&lt;=85,1,0))</formula>
    </cfRule>
  </conditionalFormatting>
  <conditionalFormatting sqref="AV26">
    <cfRule type="expression" dxfId="3809" priority="123">
      <formula>AV26="X"</formula>
    </cfRule>
    <cfRule type="expression" dxfId="3808" priority="124">
      <formula>AV26="후보"</formula>
    </cfRule>
  </conditionalFormatting>
  <conditionalFormatting sqref="AC26">
    <cfRule type="cellIs" dxfId="3807" priority="120" operator="greaterThan">
      <formula>0.9</formula>
    </cfRule>
    <cfRule type="cellIs" dxfId="3806" priority="121" operator="greaterThan">
      <formula>0.85</formula>
    </cfRule>
  </conditionalFormatting>
  <conditionalFormatting sqref="N26">
    <cfRule type="cellIs" dxfId="3805" priority="118" operator="greaterThan">
      <formula>0.9</formula>
    </cfRule>
    <cfRule type="cellIs" dxfId="3804" priority="119" operator="greaterThan">
      <formula>0.85</formula>
    </cfRule>
  </conditionalFormatting>
  <conditionalFormatting sqref="E26">
    <cfRule type="expression" dxfId="3803" priority="114">
      <formula>AND(IF(OR($Q26=1,$Q26=2),1,0),IF($X26&lt;=20,1,0))</formula>
    </cfRule>
    <cfRule type="expression" dxfId="3802" priority="115">
      <formula>AND(IF($Q26=2,1,0),IF($X26&lt;30,1,0))</formula>
    </cfRule>
    <cfRule type="expression" dxfId="3801" priority="116">
      <formula>AND(IF($Q26=3,1,0),IF($X26&lt;30,1,0))</formula>
    </cfRule>
    <cfRule type="expression" dxfId="3800" priority="117">
      <formula>AND(IF($Q26=3,1,IF($Q26=4,1,0)),IF($F26&lt;=85,1,0))</formula>
    </cfRule>
  </conditionalFormatting>
  <conditionalFormatting sqref="X26">
    <cfRule type="expression" dxfId="3799" priority="110">
      <formula>AND(IF(OR($Q26=1,$Q26=2),1,0),IF($X26&lt;=20,1,0))</formula>
    </cfRule>
    <cfRule type="expression" dxfId="3798" priority="111">
      <formula>AND(IF($Q26=2,1,0),IF($X26&lt;30,1,0))</formula>
    </cfRule>
    <cfRule type="expression" dxfId="3797" priority="112">
      <formula>AND(IF($Q26=3,1,0),IF($X26&lt;30,1,0))</formula>
    </cfRule>
    <cfRule type="expression" dxfId="3796" priority="113">
      <formula>AND(IF($Q26=3,1,IF($Q26=4,1,0)),IF($F26&lt;=85,1,0))</formula>
    </cfRule>
  </conditionalFormatting>
  <conditionalFormatting sqref="AI26">
    <cfRule type="expression" dxfId="3795" priority="106">
      <formula>AND(IF(OR($Q26=1,$Q26=2),1,0),IF($X26&lt;=20,1,0))</formula>
    </cfRule>
    <cfRule type="expression" dxfId="3794" priority="107">
      <formula>AND(IF($Q26=2,1,0),IF($X26&lt;30,1,0))</formula>
    </cfRule>
    <cfRule type="expression" dxfId="3793" priority="108">
      <formula>AND(IF($Q26=3,1,0),IF($X26&lt;30,1,0))</formula>
    </cfRule>
    <cfRule type="expression" dxfId="3792" priority="109">
      <formula>AND(IF($Q26=3,1,IF($Q26=4,1,0)),IF($F26&lt;=85,1,0))</formula>
    </cfRule>
  </conditionalFormatting>
  <conditionalFormatting sqref="AV27">
    <cfRule type="expression" dxfId="3791" priority="104">
      <formula>AV27="X"</formula>
    </cfRule>
    <cfRule type="expression" dxfId="3790" priority="105">
      <formula>AV27="후보"</formula>
    </cfRule>
  </conditionalFormatting>
  <conditionalFormatting sqref="AC27 N27">
    <cfRule type="cellIs" dxfId="3789" priority="101" operator="greaterThan">
      <formula>0.9</formula>
    </cfRule>
    <cfRule type="cellIs" dxfId="3788" priority="102" operator="greaterThan">
      <formula>0.85</formula>
    </cfRule>
  </conditionalFormatting>
  <conditionalFormatting sqref="AV28">
    <cfRule type="expression" dxfId="3787" priority="99">
      <formula>AV28="X"</formula>
    </cfRule>
    <cfRule type="expression" dxfId="3786" priority="100">
      <formula>AV28="후보"</formula>
    </cfRule>
  </conditionalFormatting>
  <conditionalFormatting sqref="AC28">
    <cfRule type="cellIs" dxfId="3785" priority="96" operator="greaterThan">
      <formula>0.9</formula>
    </cfRule>
    <cfRule type="cellIs" dxfId="3784" priority="97" operator="greaterThan">
      <formula>0.85</formula>
    </cfRule>
  </conditionalFormatting>
  <conditionalFormatting sqref="N28">
    <cfRule type="cellIs" dxfId="3783" priority="94" operator="greaterThan">
      <formula>0.9</formula>
    </cfRule>
    <cfRule type="cellIs" dxfId="3782" priority="95" operator="greaterThan">
      <formula>0.85</formula>
    </cfRule>
  </conditionalFormatting>
  <conditionalFormatting sqref="E28">
    <cfRule type="expression" dxfId="3781" priority="90">
      <formula>AND(IF(OR($Q28=1,$Q28=2),1,0),IF($X28&lt;=20,1,0))</formula>
    </cfRule>
    <cfRule type="expression" dxfId="3780" priority="91">
      <formula>AND(IF($Q28=2,1,0),IF($X28&lt;30,1,0))</formula>
    </cfRule>
    <cfRule type="expression" dxfId="3779" priority="92">
      <formula>AND(IF($Q28=3,1,0),IF($X28&lt;30,1,0))</formula>
    </cfRule>
    <cfRule type="expression" dxfId="3778" priority="93">
      <formula>AND(IF($Q28=3,1,IF($Q28=4,1,0)),IF($F28&lt;=85,1,0))</formula>
    </cfRule>
  </conditionalFormatting>
  <conditionalFormatting sqref="X28">
    <cfRule type="expression" dxfId="3777" priority="86">
      <formula>AND(IF(OR($Q28=1,$Q28=2),1,0),IF($X28&lt;=20,1,0))</formula>
    </cfRule>
    <cfRule type="expression" dxfId="3776" priority="87">
      <formula>AND(IF($Q28=2,1,0),IF($X28&lt;30,1,0))</formula>
    </cfRule>
    <cfRule type="expression" dxfId="3775" priority="88">
      <formula>AND(IF($Q28=3,1,0),IF($X28&lt;30,1,0))</formula>
    </cfRule>
    <cfRule type="expression" dxfId="3774" priority="89">
      <formula>AND(IF($Q28=3,1,IF($Q28=4,1,0)),IF($F28&lt;=85,1,0))</formula>
    </cfRule>
  </conditionalFormatting>
  <conditionalFormatting sqref="AI28">
    <cfRule type="expression" dxfId="3773" priority="82">
      <formula>AND(IF(OR($Q28=1,$Q28=2),1,0),IF($X28&lt;=20,1,0))</formula>
    </cfRule>
    <cfRule type="expression" dxfId="3772" priority="83">
      <formula>AND(IF($Q28=2,1,0),IF($X28&lt;30,1,0))</formula>
    </cfRule>
    <cfRule type="expression" dxfId="3771" priority="84">
      <formula>AND(IF($Q28=3,1,0),IF($X28&lt;30,1,0))</formula>
    </cfRule>
    <cfRule type="expression" dxfId="3770" priority="85">
      <formula>AND(IF($Q28=3,1,IF($Q28=4,1,0)),IF($F28&lt;=85,1,0))</formula>
    </cfRule>
  </conditionalFormatting>
  <conditionalFormatting sqref="AV29">
    <cfRule type="expression" dxfId="3769" priority="80">
      <formula>AV29="X"</formula>
    </cfRule>
    <cfRule type="expression" dxfId="3768" priority="81">
      <formula>AV29="후보"</formula>
    </cfRule>
  </conditionalFormatting>
  <conditionalFormatting sqref="AC29">
    <cfRule type="cellIs" dxfId="3767" priority="77" operator="greaterThan">
      <formula>0.9</formula>
    </cfRule>
    <cfRule type="cellIs" dxfId="3766" priority="78" operator="greaterThan">
      <formula>0.85</formula>
    </cfRule>
  </conditionalFormatting>
  <conditionalFormatting sqref="N29">
    <cfRule type="cellIs" dxfId="3765" priority="75" operator="greaterThan">
      <formula>0.9</formula>
    </cfRule>
    <cfRule type="cellIs" dxfId="3764" priority="76" operator="greaterThan">
      <formula>0.85</formula>
    </cfRule>
  </conditionalFormatting>
  <conditionalFormatting sqref="E29">
    <cfRule type="expression" dxfId="3763" priority="71">
      <formula>AND(IF(OR($Q29=1,$Q29=2),1,0),IF($X29&lt;=20,1,0))</formula>
    </cfRule>
    <cfRule type="expression" dxfId="3762" priority="72">
      <formula>AND(IF($Q29=2,1,0),IF($X29&lt;30,1,0))</formula>
    </cfRule>
    <cfRule type="expression" dxfId="3761" priority="73">
      <formula>AND(IF($Q29=3,1,0),IF($X29&lt;30,1,0))</formula>
    </cfRule>
    <cfRule type="expression" dxfId="3760" priority="74">
      <formula>AND(IF($Q29=3,1,IF($Q29=4,1,0)),IF($F29&lt;=85,1,0))</formula>
    </cfRule>
  </conditionalFormatting>
  <conditionalFormatting sqref="X29">
    <cfRule type="expression" dxfId="3759" priority="67">
      <formula>AND(IF(OR($Q29=1,$Q29=2),1,0),IF($X29&lt;=20,1,0))</formula>
    </cfRule>
    <cfRule type="expression" dxfId="3758" priority="68">
      <formula>AND(IF($Q29=2,1,0),IF($X29&lt;30,1,0))</formula>
    </cfRule>
    <cfRule type="expression" dxfId="3757" priority="69">
      <formula>AND(IF($Q29=3,1,0),IF($X29&lt;30,1,0))</formula>
    </cfRule>
    <cfRule type="expression" dxfId="3756" priority="70">
      <formula>AND(IF($Q29=3,1,IF($Q29=4,1,0)),IF($F29&lt;=85,1,0))</formula>
    </cfRule>
  </conditionalFormatting>
  <conditionalFormatting sqref="AI29">
    <cfRule type="expression" dxfId="3755" priority="63">
      <formula>AND(IF(OR($Q29=1,$Q29=2),1,0),IF($X29&lt;=20,1,0))</formula>
    </cfRule>
    <cfRule type="expression" dxfId="3754" priority="64">
      <formula>AND(IF($Q29=2,1,0),IF($X29&lt;30,1,0))</formula>
    </cfRule>
    <cfRule type="expression" dxfId="3753" priority="65">
      <formula>AND(IF($Q29=3,1,0),IF($X29&lt;30,1,0))</formula>
    </cfRule>
    <cfRule type="expression" dxfId="3752" priority="66">
      <formula>AND(IF($Q29=3,1,IF($Q29=4,1,0)),IF($F29&lt;=85,1,0))</formula>
    </cfRule>
  </conditionalFormatting>
  <conditionalFormatting sqref="AV30">
    <cfRule type="expression" dxfId="3751" priority="61">
      <formula>AV30="X"</formula>
    </cfRule>
    <cfRule type="expression" dxfId="3750" priority="62">
      <formula>AV30="후보"</formula>
    </cfRule>
  </conditionalFormatting>
  <conditionalFormatting sqref="AC30 N30">
    <cfRule type="cellIs" dxfId="3749" priority="58" operator="greaterThan">
      <formula>0.9</formula>
    </cfRule>
    <cfRule type="cellIs" dxfId="3748" priority="59" operator="greaterThan">
      <formula>0.85</formula>
    </cfRule>
  </conditionalFormatting>
  <conditionalFormatting sqref="AV31">
    <cfRule type="expression" dxfId="3747" priority="56">
      <formula>AV31="X"</formula>
    </cfRule>
    <cfRule type="expression" dxfId="3746" priority="57">
      <formula>AV31="후보"</formula>
    </cfRule>
  </conditionalFormatting>
  <conditionalFormatting sqref="AC31">
    <cfRule type="cellIs" dxfId="3745" priority="53" operator="greaterThan">
      <formula>0.9</formula>
    </cfRule>
    <cfRule type="cellIs" dxfId="3744" priority="54" operator="greaterThan">
      <formula>0.85</formula>
    </cfRule>
  </conditionalFormatting>
  <conditionalFormatting sqref="N31">
    <cfRule type="cellIs" dxfId="3743" priority="51" operator="greaterThan">
      <formula>0.9</formula>
    </cfRule>
    <cfRule type="cellIs" dxfId="3742" priority="52" operator="greaterThan">
      <formula>0.85</formula>
    </cfRule>
  </conditionalFormatting>
  <conditionalFormatting sqref="E31">
    <cfRule type="expression" dxfId="3741" priority="47">
      <formula>AND(IF(OR($Q31=1,$Q31=2),1,0),IF($X31&lt;=20,1,0))</formula>
    </cfRule>
    <cfRule type="expression" dxfId="3740" priority="48">
      <formula>AND(IF($Q31=2,1,0),IF($X31&lt;30,1,0))</formula>
    </cfRule>
    <cfRule type="expression" dxfId="3739" priority="49">
      <formula>AND(IF($Q31=3,1,0),IF($X31&lt;30,1,0))</formula>
    </cfRule>
    <cfRule type="expression" dxfId="3738" priority="50">
      <formula>AND(IF($Q31=3,1,IF($Q31=4,1,0)),IF($F31&lt;=85,1,0))</formula>
    </cfRule>
  </conditionalFormatting>
  <conditionalFormatting sqref="X31">
    <cfRule type="expression" dxfId="3737" priority="43">
      <formula>AND(IF(OR($Q31=1,$Q31=2),1,0),IF($X31&lt;=20,1,0))</formula>
    </cfRule>
    <cfRule type="expression" dxfId="3736" priority="44">
      <formula>AND(IF($Q31=2,1,0),IF($X31&lt;30,1,0))</formula>
    </cfRule>
    <cfRule type="expression" dxfId="3735" priority="45">
      <formula>AND(IF($Q31=3,1,0),IF($X31&lt;30,1,0))</formula>
    </cfRule>
    <cfRule type="expression" dxfId="3734" priority="46">
      <formula>AND(IF($Q31=3,1,IF($Q31=4,1,0)),IF($F31&lt;=85,1,0))</formula>
    </cfRule>
  </conditionalFormatting>
  <conditionalFormatting sqref="AI31">
    <cfRule type="expression" dxfId="3733" priority="39">
      <formula>AND(IF(OR($Q31=1,$Q31=2),1,0),IF($X31&lt;=20,1,0))</formula>
    </cfRule>
    <cfRule type="expression" dxfId="3732" priority="40">
      <formula>AND(IF($Q31=2,1,0),IF($X31&lt;30,1,0))</formula>
    </cfRule>
    <cfRule type="expression" dxfId="3731" priority="41">
      <formula>AND(IF($Q31=3,1,0),IF($X31&lt;30,1,0))</formula>
    </cfRule>
    <cfRule type="expression" dxfId="3730" priority="42">
      <formula>AND(IF($Q31=3,1,IF($Q31=4,1,0)),IF($F31&lt;=85,1,0))</formula>
    </cfRule>
  </conditionalFormatting>
  <conditionalFormatting sqref="AV32">
    <cfRule type="expression" dxfId="3729" priority="37">
      <formula>AV32="X"</formula>
    </cfRule>
    <cfRule type="expression" dxfId="3728" priority="38">
      <formula>AV32="후보"</formula>
    </cfRule>
  </conditionalFormatting>
  <conditionalFormatting sqref="AC32">
    <cfRule type="cellIs" dxfId="3727" priority="34" operator="greaterThan">
      <formula>0.9</formula>
    </cfRule>
    <cfRule type="cellIs" dxfId="3726" priority="35" operator="greaterThan">
      <formula>0.85</formula>
    </cfRule>
  </conditionalFormatting>
  <conditionalFormatting sqref="N32">
    <cfRule type="cellIs" dxfId="3725" priority="32" operator="greaterThan">
      <formula>0.9</formula>
    </cfRule>
    <cfRule type="cellIs" dxfId="3724" priority="33" operator="greaterThan">
      <formula>0.85</formula>
    </cfRule>
  </conditionalFormatting>
  <conditionalFormatting sqref="E32">
    <cfRule type="expression" dxfId="3723" priority="28">
      <formula>AND(IF(OR($Q32=1,$Q32=2),1,0),IF($X32&lt;=20,1,0))</formula>
    </cfRule>
    <cfRule type="expression" dxfId="3722" priority="29">
      <formula>AND(IF($Q32=2,1,0),IF($X32&lt;30,1,0))</formula>
    </cfRule>
    <cfRule type="expression" dxfId="3721" priority="30">
      <formula>AND(IF($Q32=3,1,0),IF($X32&lt;30,1,0))</formula>
    </cfRule>
    <cfRule type="expression" dxfId="3720" priority="31">
      <formula>AND(IF($Q32=3,1,IF($Q32=4,1,0)),IF($F32&lt;=85,1,0))</formula>
    </cfRule>
  </conditionalFormatting>
  <conditionalFormatting sqref="X32">
    <cfRule type="expression" dxfId="3719" priority="24">
      <formula>AND(IF(OR($Q32=1,$Q32=2),1,0),IF($X32&lt;=20,1,0))</formula>
    </cfRule>
    <cfRule type="expression" dxfId="3718" priority="25">
      <formula>AND(IF($Q32=2,1,0),IF($X32&lt;30,1,0))</formula>
    </cfRule>
    <cfRule type="expression" dxfId="3717" priority="26">
      <formula>AND(IF($Q32=3,1,0),IF($X32&lt;30,1,0))</formula>
    </cfRule>
    <cfRule type="expression" dxfId="3716" priority="27">
      <formula>AND(IF($Q32=3,1,IF($Q32=4,1,0)),IF($F32&lt;=85,1,0))</formula>
    </cfRule>
  </conditionalFormatting>
  <conditionalFormatting sqref="AI32">
    <cfRule type="expression" dxfId="3715" priority="20">
      <formula>AND(IF(OR($Q32=1,$Q32=2),1,0),IF($X32&lt;=20,1,0))</formula>
    </cfRule>
    <cfRule type="expression" dxfId="3714" priority="21">
      <formula>AND(IF($Q32=2,1,0),IF($X32&lt;30,1,0))</formula>
    </cfRule>
    <cfRule type="expression" dxfId="3713" priority="22">
      <formula>AND(IF($Q32=3,1,0),IF($X32&lt;30,1,0))</formula>
    </cfRule>
    <cfRule type="expression" dxfId="3712" priority="23">
      <formula>AND(IF($Q32=3,1,IF($Q32=4,1,0)),IF($F32&lt;=85,1,0))</formula>
    </cfRule>
  </conditionalFormatting>
  <conditionalFormatting sqref="AV33">
    <cfRule type="expression" dxfId="3711" priority="18">
      <formula>AV33="X"</formula>
    </cfRule>
    <cfRule type="expression" dxfId="3710" priority="19">
      <formula>AV33="후보"</formula>
    </cfRule>
  </conditionalFormatting>
  <conditionalFormatting sqref="AC33">
    <cfRule type="cellIs" dxfId="3709" priority="15" operator="greaterThan">
      <formula>0.9</formula>
    </cfRule>
    <cfRule type="cellIs" dxfId="3708" priority="16" operator="greaterThan">
      <formula>0.85</formula>
    </cfRule>
  </conditionalFormatting>
  <conditionalFormatting sqref="N33">
    <cfRule type="cellIs" dxfId="3707" priority="13" operator="greaterThan">
      <formula>0.9</formula>
    </cfRule>
    <cfRule type="cellIs" dxfId="3706" priority="14" operator="greaterThan">
      <formula>0.85</formula>
    </cfRule>
  </conditionalFormatting>
  <conditionalFormatting sqref="E33">
    <cfRule type="expression" dxfId="3705" priority="9">
      <formula>AND(IF(OR($Q33=1,$Q33=2),1,0),IF($X33&lt;=20,1,0))</formula>
    </cfRule>
    <cfRule type="expression" dxfId="3704" priority="10">
      <formula>AND(IF($Q33=2,1,0),IF($X33&lt;30,1,0))</formula>
    </cfRule>
    <cfRule type="expression" dxfId="3703" priority="11">
      <formula>AND(IF($Q33=3,1,0),IF($X33&lt;30,1,0))</formula>
    </cfRule>
    <cfRule type="expression" dxfId="3702" priority="12">
      <formula>AND(IF($Q33=3,1,IF($Q33=4,1,0)),IF($F33&lt;=85,1,0))</formula>
    </cfRule>
  </conditionalFormatting>
  <conditionalFormatting sqref="X33">
    <cfRule type="expression" dxfId="3701" priority="5">
      <formula>AND(IF(OR($Q33=1,$Q33=2),1,0),IF($X33&lt;=20,1,0))</formula>
    </cfRule>
    <cfRule type="expression" dxfId="3700" priority="6">
      <formula>AND(IF($Q33=2,1,0),IF($X33&lt;30,1,0))</formula>
    </cfRule>
    <cfRule type="expression" dxfId="3699" priority="7">
      <formula>AND(IF($Q33=3,1,0),IF($X33&lt;30,1,0))</formula>
    </cfRule>
    <cfRule type="expression" dxfId="3698" priority="8">
      <formula>AND(IF($Q33=3,1,IF($Q33=4,1,0)),IF($F33&lt;=85,1,0))</formula>
    </cfRule>
  </conditionalFormatting>
  <conditionalFormatting sqref="AI33">
    <cfRule type="expression" dxfId="3697" priority="1">
      <formula>AND(IF(OR($Q33=1,$Q33=2),1,0),IF($X33&lt;=20,1,0))</formula>
    </cfRule>
    <cfRule type="expression" dxfId="3696" priority="2">
      <formula>AND(IF($Q33=2,1,0),IF($X33&lt;30,1,0))</formula>
    </cfRule>
    <cfRule type="expression" dxfId="3695" priority="3">
      <formula>AND(IF($Q33=3,1,0),IF($X33&lt;30,1,0))</formula>
    </cfRule>
    <cfRule type="expression" dxfId="3694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사천동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사천동 남광하우스토리A단지('11.01.,333^)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4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355</v>
      </c>
      <c r="B6" s="10" t="s">
        <v>904</v>
      </c>
      <c r="C6" s="89">
        <v>333</v>
      </c>
      <c r="D6" s="87">
        <v>110.5</v>
      </c>
      <c r="E6" s="88">
        <v>33</v>
      </c>
      <c r="F6" s="87">
        <v>84.5</v>
      </c>
      <c r="G6" s="17">
        <v>26</v>
      </c>
      <c r="H6" s="89">
        <v>87</v>
      </c>
      <c r="I6" s="90">
        <v>33000</v>
      </c>
      <c r="J6" s="90" t="s">
        <v>66</v>
      </c>
      <c r="K6" s="90"/>
      <c r="L6" s="90"/>
      <c r="M6" s="91">
        <f t="shared" ref="M6:M11" si="2">I6-K6</f>
        <v>33000</v>
      </c>
      <c r="N6" s="4">
        <f t="shared" ref="N6:N11" si="3">IF(ISERROR(K6/I6),"",K6/I6)</f>
        <v>0</v>
      </c>
      <c r="O6" s="92">
        <f t="shared" ref="O6:O11" si="4">I6/E6</f>
        <v>1000</v>
      </c>
      <c r="P6" s="92">
        <f t="shared" ref="P6:P11" si="5">K6/E6</f>
        <v>0</v>
      </c>
      <c r="Q6" s="80">
        <v>3</v>
      </c>
      <c r="R6" s="80">
        <v>2</v>
      </c>
      <c r="S6" s="80" t="s">
        <v>61</v>
      </c>
      <c r="T6" s="5">
        <v>110</v>
      </c>
      <c r="U6" s="9"/>
      <c r="W6" s="87">
        <f t="shared" ref="W6:X11" si="6">D6</f>
        <v>110.5</v>
      </c>
      <c r="X6" s="88">
        <f t="shared" si="6"/>
        <v>33</v>
      </c>
      <c r="Y6" s="93">
        <f t="shared" ref="Y6:Z11" si="7">H6</f>
        <v>87</v>
      </c>
      <c r="Z6" s="91">
        <f t="shared" si="7"/>
        <v>33000</v>
      </c>
      <c r="AA6" s="91">
        <f t="shared" ref="AA6:AA11" si="8">K6</f>
        <v>0</v>
      </c>
      <c r="AB6" s="91">
        <f t="shared" ref="AB6:AD11" si="9">M6</f>
        <v>33000</v>
      </c>
      <c r="AC6" s="4">
        <f t="shared" si="9"/>
        <v>0</v>
      </c>
      <c r="AD6" s="92">
        <f t="shared" si="9"/>
        <v>1000</v>
      </c>
      <c r="AE6" s="80" t="str">
        <f t="shared" ref="AE6:AE11" si="10">S6</f>
        <v>계</v>
      </c>
      <c r="AF6" s="80" t="str">
        <f t="shared" ref="AF6:AF11" si="11">Q6&amp;"/"&amp;R6</f>
        <v>3/2</v>
      </c>
      <c r="AH6" s="20" t="str">
        <f t="shared" si="1"/>
        <v>남광하우스토리A단지</v>
      </c>
      <c r="AI6" s="88">
        <f t="shared" si="0"/>
        <v>33</v>
      </c>
      <c r="AJ6" s="80" t="str">
        <f t="shared" ref="AJ6:AJ11" si="12">IF(AI6="","",$AJ$2)</f>
        <v>A-</v>
      </c>
      <c r="AK6" s="80" t="s">
        <v>13</v>
      </c>
      <c r="AL6" s="80" t="s">
        <v>62</v>
      </c>
      <c r="AM6" s="80" t="s">
        <v>63</v>
      </c>
      <c r="AN6" s="80" t="str">
        <f t="shared" ref="AN6:AN11" si="13">IF(AI6="","",$AN$2)</f>
        <v>C</v>
      </c>
      <c r="AO6" s="80" t="str">
        <f t="shared" ref="AO6:AO11" si="14">IF(N6="","",IF(N6&gt;=$AO$1/100,"O","X"))</f>
        <v>X</v>
      </c>
      <c r="AP6" s="80" t="str">
        <f t="shared" ref="AP6:AP11" si="15">IF(I6="","",IF(I6&lt;=$AP$1,"O","X"))</f>
        <v>O</v>
      </c>
      <c r="AQ6" s="80" t="str">
        <f t="shared" ref="AQ6:AQ11" si="16">IF(O6="","",IF(O6&lt;=$AQ$1,"O","X"))</f>
        <v>O</v>
      </c>
      <c r="AR6" s="80" t="str">
        <f t="shared" ref="AR6:AR11" si="17">IF(M6="","",IF(M6&lt;=$AR$1,"O","X"))</f>
        <v>X</v>
      </c>
      <c r="AS6" s="80" t="s">
        <v>2</v>
      </c>
      <c r="AT6" s="80" t="str">
        <f t="shared" ref="AT6:AT11" si="18">IF(OR(F6="",AI6=""),"",IF(AND((F6&lt;=85),(AI6&gt;=15)),"O","X"))</f>
        <v>O</v>
      </c>
      <c r="AU6" s="80" t="str">
        <f t="shared" ref="AU6:AU11" si="19">IF(C6="","",IF(C6&gt;=$AU$1,"O","X"))</f>
        <v>O</v>
      </c>
      <c r="AV6" s="80" t="str">
        <f t="shared" ref="AV6:AV11" si="20">IF(AO6="","",IF(AND(AO6="O",AP6="O",AR6="O",AT6="O",AU6="O"),"후보","X"))</f>
        <v>X</v>
      </c>
    </row>
    <row r="7" spans="1:48" x14ac:dyDescent="0.3">
      <c r="A7" s="9" t="s">
        <v>355</v>
      </c>
      <c r="B7" s="10" t="s">
        <v>904</v>
      </c>
      <c r="C7" s="89">
        <v>333</v>
      </c>
      <c r="D7" s="87">
        <v>131.69999999999999</v>
      </c>
      <c r="E7" s="88">
        <v>40</v>
      </c>
      <c r="F7" s="87">
        <v>102.2</v>
      </c>
      <c r="G7" s="17">
        <v>31</v>
      </c>
      <c r="H7" s="89">
        <v>98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>
        <v>3</v>
      </c>
      <c r="R7" s="80">
        <v>2</v>
      </c>
      <c r="S7" s="80" t="s">
        <v>61</v>
      </c>
      <c r="T7" s="5">
        <v>131</v>
      </c>
      <c r="U7" s="9"/>
      <c r="W7" s="87">
        <f t="shared" si="6"/>
        <v>131.69999999999999</v>
      </c>
      <c r="X7" s="88">
        <f t="shared" si="6"/>
        <v>40</v>
      </c>
      <c r="Y7" s="93">
        <f t="shared" si="7"/>
        <v>98</v>
      </c>
      <c r="Z7" s="91">
        <f t="shared" si="7"/>
        <v>0</v>
      </c>
      <c r="AA7" s="91">
        <f t="shared" si="8"/>
        <v>0</v>
      </c>
      <c r="AB7" s="91">
        <f t="shared" si="9"/>
        <v>0</v>
      </c>
      <c r="AC7" s="4" t="str">
        <f t="shared" si="9"/>
        <v/>
      </c>
      <c r="AD7" s="92">
        <f t="shared" si="9"/>
        <v>0</v>
      </c>
      <c r="AE7" s="80" t="str">
        <f t="shared" si="10"/>
        <v>계</v>
      </c>
      <c r="AF7" s="80" t="str">
        <f t="shared" si="11"/>
        <v>3/2</v>
      </c>
      <c r="AH7" s="20" t="str">
        <f t="shared" si="1"/>
        <v>남광하우스토리A단지</v>
      </c>
      <c r="AI7" s="88">
        <f t="shared" si="0"/>
        <v>40</v>
      </c>
      <c r="AJ7" s="80" t="str">
        <f t="shared" si="12"/>
        <v>A-</v>
      </c>
      <c r="AK7" s="80" t="s">
        <v>13</v>
      </c>
      <c r="AL7" s="80" t="s">
        <v>62</v>
      </c>
      <c r="AM7" s="80" t="s">
        <v>63</v>
      </c>
      <c r="AN7" s="80" t="str">
        <f t="shared" si="13"/>
        <v>C</v>
      </c>
      <c r="AO7" s="80" t="str">
        <f t="shared" si="14"/>
        <v/>
      </c>
      <c r="AP7" s="80" t="str">
        <f t="shared" si="15"/>
        <v/>
      </c>
      <c r="AQ7" s="80" t="str">
        <f t="shared" si="16"/>
        <v>O</v>
      </c>
      <c r="AR7" s="80" t="str">
        <f t="shared" si="17"/>
        <v>O</v>
      </c>
      <c r="AS7" s="80" t="s">
        <v>2</v>
      </c>
      <c r="AT7" s="80" t="str">
        <f t="shared" si="18"/>
        <v>X</v>
      </c>
      <c r="AU7" s="80" t="str">
        <f t="shared" si="19"/>
        <v>O</v>
      </c>
      <c r="AV7" s="80" t="str">
        <f t="shared" si="20"/>
        <v/>
      </c>
    </row>
    <row r="8" spans="1:48" x14ac:dyDescent="0.3">
      <c r="A8" s="9" t="s">
        <v>355</v>
      </c>
      <c r="B8" s="10" t="s">
        <v>904</v>
      </c>
      <c r="C8" s="89">
        <v>333</v>
      </c>
      <c r="D8" s="87">
        <v>153.5</v>
      </c>
      <c r="E8" s="88">
        <v>46</v>
      </c>
      <c r="F8" s="87">
        <v>124.6</v>
      </c>
      <c r="G8" s="17">
        <v>38</v>
      </c>
      <c r="H8" s="89">
        <v>64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>
        <v>4</v>
      </c>
      <c r="R8" s="80">
        <v>2</v>
      </c>
      <c r="S8" s="80" t="s">
        <v>61</v>
      </c>
      <c r="T8" s="5">
        <v>153</v>
      </c>
      <c r="U8" s="9"/>
      <c r="W8" s="87">
        <f t="shared" si="6"/>
        <v>153.5</v>
      </c>
      <c r="X8" s="88">
        <f t="shared" si="6"/>
        <v>46</v>
      </c>
      <c r="Y8" s="93">
        <f t="shared" si="7"/>
        <v>64</v>
      </c>
      <c r="Z8" s="91">
        <f t="shared" si="7"/>
        <v>0</v>
      </c>
      <c r="AA8" s="91">
        <f t="shared" si="8"/>
        <v>0</v>
      </c>
      <c r="AB8" s="91">
        <f t="shared" si="9"/>
        <v>0</v>
      </c>
      <c r="AC8" s="4" t="str">
        <f t="shared" si="9"/>
        <v/>
      </c>
      <c r="AD8" s="92">
        <f t="shared" si="9"/>
        <v>0</v>
      </c>
      <c r="AE8" s="80" t="str">
        <f t="shared" si="10"/>
        <v>계</v>
      </c>
      <c r="AF8" s="80" t="str">
        <f t="shared" si="11"/>
        <v>4/2</v>
      </c>
      <c r="AH8" s="20" t="str">
        <f t="shared" si="1"/>
        <v>남광하우스토리A단지</v>
      </c>
      <c r="AI8" s="88">
        <f t="shared" si="0"/>
        <v>46</v>
      </c>
      <c r="AJ8" s="80" t="str">
        <f t="shared" si="12"/>
        <v>A-</v>
      </c>
      <c r="AK8" s="80" t="s">
        <v>13</v>
      </c>
      <c r="AL8" s="80" t="s">
        <v>62</v>
      </c>
      <c r="AM8" s="80" t="s">
        <v>63</v>
      </c>
      <c r="AN8" s="80" t="str">
        <f t="shared" si="13"/>
        <v>C</v>
      </c>
      <c r="AO8" s="80" t="str">
        <f t="shared" si="14"/>
        <v/>
      </c>
      <c r="AP8" s="80" t="str">
        <f t="shared" si="15"/>
        <v/>
      </c>
      <c r="AQ8" s="80" t="str">
        <f t="shared" si="16"/>
        <v>O</v>
      </c>
      <c r="AR8" s="80" t="str">
        <f t="shared" si="17"/>
        <v>O</v>
      </c>
      <c r="AS8" s="80" t="s">
        <v>2</v>
      </c>
      <c r="AT8" s="80" t="str">
        <f t="shared" si="18"/>
        <v>X</v>
      </c>
      <c r="AU8" s="80" t="str">
        <f t="shared" si="19"/>
        <v>O</v>
      </c>
      <c r="AV8" s="80" t="str">
        <f t="shared" si="20"/>
        <v/>
      </c>
    </row>
    <row r="9" spans="1:48" x14ac:dyDescent="0.3">
      <c r="A9" s="9" t="s">
        <v>355</v>
      </c>
      <c r="B9" s="10" t="s">
        <v>904</v>
      </c>
      <c r="C9" s="89">
        <v>333</v>
      </c>
      <c r="D9" s="87">
        <v>173.8</v>
      </c>
      <c r="E9" s="88">
        <v>53</v>
      </c>
      <c r="F9" s="87">
        <v>134</v>
      </c>
      <c r="G9" s="17">
        <v>41</v>
      </c>
      <c r="H9" s="89">
        <v>10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3</v>
      </c>
      <c r="R9" s="80">
        <v>3</v>
      </c>
      <c r="S9" s="80" t="s">
        <v>61</v>
      </c>
      <c r="T9" s="5">
        <v>173</v>
      </c>
      <c r="U9" s="9"/>
      <c r="W9" s="87">
        <f t="shared" si="6"/>
        <v>173.8</v>
      </c>
      <c r="X9" s="88">
        <f t="shared" si="6"/>
        <v>53</v>
      </c>
      <c r="Y9" s="93">
        <f t="shared" si="7"/>
        <v>10</v>
      </c>
      <c r="Z9" s="91">
        <f t="shared" si="7"/>
        <v>0</v>
      </c>
      <c r="AA9" s="91">
        <f t="shared" si="8"/>
        <v>0</v>
      </c>
      <c r="AB9" s="91">
        <f t="shared" si="9"/>
        <v>0</v>
      </c>
      <c r="AC9" s="4" t="str">
        <f t="shared" si="9"/>
        <v/>
      </c>
      <c r="AD9" s="92">
        <f t="shared" si="9"/>
        <v>0</v>
      </c>
      <c r="AE9" s="80" t="str">
        <f t="shared" si="10"/>
        <v>계</v>
      </c>
      <c r="AF9" s="80" t="str">
        <f t="shared" si="11"/>
        <v>3/3</v>
      </c>
      <c r="AH9" s="20" t="str">
        <f t="shared" si="1"/>
        <v>남광하우스토리A단지</v>
      </c>
      <c r="AI9" s="88">
        <f t="shared" si="0"/>
        <v>53</v>
      </c>
      <c r="AJ9" s="80" t="str">
        <f t="shared" si="12"/>
        <v>A-</v>
      </c>
      <c r="AK9" s="80" t="s">
        <v>13</v>
      </c>
      <c r="AL9" s="80" t="s">
        <v>62</v>
      </c>
      <c r="AM9" s="80" t="s">
        <v>63</v>
      </c>
      <c r="AN9" s="80" t="str">
        <f t="shared" si="13"/>
        <v>C</v>
      </c>
      <c r="AO9" s="80" t="str">
        <f t="shared" si="14"/>
        <v/>
      </c>
      <c r="AP9" s="80" t="str">
        <f t="shared" si="15"/>
        <v/>
      </c>
      <c r="AQ9" s="80" t="str">
        <f t="shared" si="16"/>
        <v>O</v>
      </c>
      <c r="AR9" s="80" t="str">
        <f t="shared" si="17"/>
        <v>O</v>
      </c>
      <c r="AS9" s="80" t="s">
        <v>2</v>
      </c>
      <c r="AT9" s="80" t="str">
        <f t="shared" si="18"/>
        <v>X</v>
      </c>
      <c r="AU9" s="80" t="str">
        <f t="shared" si="19"/>
        <v>O</v>
      </c>
      <c r="AV9" s="80" t="str">
        <f t="shared" si="20"/>
        <v/>
      </c>
    </row>
    <row r="10" spans="1:48" x14ac:dyDescent="0.3">
      <c r="A10" s="9" t="s">
        <v>355</v>
      </c>
      <c r="B10" s="10" t="s">
        <v>904</v>
      </c>
      <c r="C10" s="89">
        <v>333</v>
      </c>
      <c r="D10" s="87">
        <v>193.3</v>
      </c>
      <c r="E10" s="88">
        <v>58</v>
      </c>
      <c r="F10" s="87">
        <v>157.4</v>
      </c>
      <c r="G10" s="17">
        <v>48</v>
      </c>
      <c r="H10" s="89">
        <v>70</v>
      </c>
      <c r="I10" s="90">
        <v>50000</v>
      </c>
      <c r="J10" s="90" t="s">
        <v>68</v>
      </c>
      <c r="K10" s="90"/>
      <c r="L10" s="90"/>
      <c r="M10" s="91">
        <f t="shared" si="2"/>
        <v>50000</v>
      </c>
      <c r="N10" s="4">
        <f t="shared" si="3"/>
        <v>0</v>
      </c>
      <c r="O10" s="92">
        <f t="shared" si="4"/>
        <v>862.06896551724139</v>
      </c>
      <c r="P10" s="92">
        <f t="shared" si="5"/>
        <v>0</v>
      </c>
      <c r="Q10" s="80">
        <v>3</v>
      </c>
      <c r="R10" s="80">
        <v>3</v>
      </c>
      <c r="S10" s="80" t="s">
        <v>61</v>
      </c>
      <c r="T10" s="5">
        <v>193</v>
      </c>
      <c r="U10" s="9"/>
      <c r="W10" s="87">
        <f t="shared" si="6"/>
        <v>193.3</v>
      </c>
      <c r="X10" s="88">
        <f t="shared" si="6"/>
        <v>58</v>
      </c>
      <c r="Y10" s="93">
        <f t="shared" si="7"/>
        <v>70</v>
      </c>
      <c r="Z10" s="91">
        <f t="shared" si="7"/>
        <v>50000</v>
      </c>
      <c r="AA10" s="91">
        <f t="shared" si="8"/>
        <v>0</v>
      </c>
      <c r="AB10" s="91">
        <f t="shared" si="9"/>
        <v>50000</v>
      </c>
      <c r="AC10" s="4">
        <f t="shared" si="9"/>
        <v>0</v>
      </c>
      <c r="AD10" s="92">
        <f t="shared" si="9"/>
        <v>862.06896551724139</v>
      </c>
      <c r="AE10" s="80" t="str">
        <f t="shared" si="10"/>
        <v>계</v>
      </c>
      <c r="AF10" s="80" t="str">
        <f t="shared" si="11"/>
        <v>3/3</v>
      </c>
      <c r="AH10" s="20" t="str">
        <f t="shared" si="1"/>
        <v>남광하우스토리A단지</v>
      </c>
      <c r="AI10" s="88">
        <f t="shared" si="0"/>
        <v>58</v>
      </c>
      <c r="AJ10" s="80" t="str">
        <f t="shared" si="12"/>
        <v>A-</v>
      </c>
      <c r="AK10" s="80" t="s">
        <v>13</v>
      </c>
      <c r="AL10" s="80" t="s">
        <v>62</v>
      </c>
      <c r="AM10" s="80" t="s">
        <v>63</v>
      </c>
      <c r="AN10" s="80" t="str">
        <f t="shared" si="13"/>
        <v>C</v>
      </c>
      <c r="AO10" s="80" t="str">
        <f t="shared" si="14"/>
        <v>X</v>
      </c>
      <c r="AP10" s="80" t="str">
        <f t="shared" si="15"/>
        <v>X</v>
      </c>
      <c r="AQ10" s="80" t="str">
        <f t="shared" si="16"/>
        <v>O</v>
      </c>
      <c r="AR10" s="80" t="str">
        <f t="shared" si="17"/>
        <v>X</v>
      </c>
      <c r="AS10" s="80" t="s">
        <v>2</v>
      </c>
      <c r="AT10" s="80" t="str">
        <f t="shared" si="18"/>
        <v>X</v>
      </c>
      <c r="AU10" s="80" t="str">
        <f t="shared" si="19"/>
        <v>O</v>
      </c>
      <c r="AV10" s="80" t="str">
        <f t="shared" si="20"/>
        <v>X</v>
      </c>
    </row>
    <row r="11" spans="1:48" x14ac:dyDescent="0.3">
      <c r="A11" s="9" t="s">
        <v>355</v>
      </c>
      <c r="B11" s="10" t="s">
        <v>904</v>
      </c>
      <c r="C11" s="89">
        <v>333</v>
      </c>
      <c r="D11" s="87">
        <v>228.8</v>
      </c>
      <c r="E11" s="88">
        <v>69</v>
      </c>
      <c r="F11" s="87">
        <v>183.3</v>
      </c>
      <c r="G11" s="17">
        <v>55</v>
      </c>
      <c r="H11" s="89">
        <v>4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5</v>
      </c>
      <c r="R11" s="80">
        <v>4</v>
      </c>
      <c r="S11" s="80" t="s">
        <v>61</v>
      </c>
      <c r="T11" s="5">
        <v>228</v>
      </c>
      <c r="U11" s="9"/>
      <c r="W11" s="87">
        <f t="shared" si="6"/>
        <v>228.8</v>
      </c>
      <c r="X11" s="88">
        <f t="shared" si="6"/>
        <v>69</v>
      </c>
      <c r="Y11" s="93">
        <f t="shared" si="7"/>
        <v>4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5/4</v>
      </c>
      <c r="AH11" s="20" t="str">
        <f t="shared" si="1"/>
        <v>남광하우스토리A단지</v>
      </c>
      <c r="AI11" s="88">
        <f t="shared" si="0"/>
        <v>69</v>
      </c>
      <c r="AJ11" s="80" t="str">
        <f t="shared" si="12"/>
        <v>A-</v>
      </c>
      <c r="AK11" s="80" t="s">
        <v>13</v>
      </c>
      <c r="AL11" s="80" t="s">
        <v>62</v>
      </c>
      <c r="AM11" s="80" t="s">
        <v>63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X</v>
      </c>
      <c r="AU11" s="80" t="str">
        <f t="shared" si="19"/>
        <v>O</v>
      </c>
      <c r="AV11" s="80" t="str">
        <f t="shared" si="20"/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사천동 사천동아1차('94.05.,461^)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361</v>
      </c>
      <c r="B13" s="10" t="s">
        <v>905</v>
      </c>
      <c r="C13" s="89">
        <v>461</v>
      </c>
      <c r="D13" s="87">
        <v>103.6</v>
      </c>
      <c r="E13" s="88">
        <v>31</v>
      </c>
      <c r="F13" s="87">
        <v>84.8</v>
      </c>
      <c r="G13" s="17">
        <v>26</v>
      </c>
      <c r="H13" s="89">
        <v>319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3</v>
      </c>
      <c r="R13" s="80">
        <v>2</v>
      </c>
      <c r="S13" s="80" t="s">
        <v>61</v>
      </c>
      <c r="T13" s="5">
        <v>103</v>
      </c>
      <c r="U13" s="9"/>
      <c r="W13" s="87">
        <f t="shared" ref="W13:X16" si="21">D13</f>
        <v>103.6</v>
      </c>
      <c r="X13" s="88">
        <f t="shared" si="21"/>
        <v>31</v>
      </c>
      <c r="Y13" s="93">
        <f t="shared" ref="Y13:Z16" si="22">H13</f>
        <v>319</v>
      </c>
      <c r="Z13" s="91">
        <f t="shared" si="22"/>
        <v>0</v>
      </c>
      <c r="AA13" s="91">
        <f>K13</f>
        <v>0</v>
      </c>
      <c r="AB13" s="91">
        <f t="shared" ref="AB13:AD16" si="23">M13</f>
        <v>0</v>
      </c>
      <c r="AC13" s="4" t="str">
        <f t="shared" si="23"/>
        <v/>
      </c>
      <c r="AD13" s="92">
        <f t="shared" si="23"/>
        <v>0</v>
      </c>
      <c r="AE13" s="80" t="str">
        <f>S13</f>
        <v>계</v>
      </c>
      <c r="AF13" s="80" t="str">
        <f>Q13&amp;"/"&amp;R13</f>
        <v>3/2</v>
      </c>
      <c r="AH13" s="20" t="str">
        <f t="shared" si="1"/>
        <v>사천동아1차</v>
      </c>
      <c r="AI13" s="88">
        <f t="shared" si="0"/>
        <v>31</v>
      </c>
      <c r="AJ13" s="80" t="str">
        <f>IF(AI13="","",$AJ$2)</f>
        <v>A-</v>
      </c>
      <c r="AK13" s="80" t="s">
        <v>13</v>
      </c>
      <c r="AL13" s="80" t="s">
        <v>62</v>
      </c>
      <c r="AM13" s="80" t="s">
        <v>63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/>
      </c>
    </row>
    <row r="14" spans="1:48" x14ac:dyDescent="0.3">
      <c r="A14" s="9" t="s">
        <v>361</v>
      </c>
      <c r="B14" s="10" t="s">
        <v>905</v>
      </c>
      <c r="C14" s="89">
        <v>461</v>
      </c>
      <c r="D14" s="87">
        <v>156</v>
      </c>
      <c r="E14" s="88">
        <v>47</v>
      </c>
      <c r="F14" s="87">
        <v>134.1</v>
      </c>
      <c r="G14" s="17">
        <v>41</v>
      </c>
      <c r="H14" s="89">
        <v>57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80">
        <v>4</v>
      </c>
      <c r="R14" s="80">
        <v>2</v>
      </c>
      <c r="S14" s="80" t="s">
        <v>61</v>
      </c>
      <c r="T14" s="5">
        <v>156</v>
      </c>
      <c r="U14" s="9"/>
      <c r="W14" s="87">
        <f t="shared" si="21"/>
        <v>156</v>
      </c>
      <c r="X14" s="88">
        <f t="shared" si="21"/>
        <v>47</v>
      </c>
      <c r="Y14" s="93">
        <f t="shared" si="22"/>
        <v>57</v>
      </c>
      <c r="Z14" s="91">
        <f t="shared" si="22"/>
        <v>0</v>
      </c>
      <c r="AA14" s="91">
        <f>K14</f>
        <v>0</v>
      </c>
      <c r="AB14" s="91">
        <f t="shared" si="23"/>
        <v>0</v>
      </c>
      <c r="AC14" s="4" t="str">
        <f t="shared" si="23"/>
        <v/>
      </c>
      <c r="AD14" s="92">
        <f t="shared" si="23"/>
        <v>0</v>
      </c>
      <c r="AE14" s="80" t="str">
        <f>S14</f>
        <v>계</v>
      </c>
      <c r="AF14" s="80" t="str">
        <f>Q14&amp;"/"&amp;R14</f>
        <v>4/2</v>
      </c>
      <c r="AH14" s="20" t="str">
        <f t="shared" si="1"/>
        <v>사천동아1차</v>
      </c>
      <c r="AI14" s="88">
        <f t="shared" si="0"/>
        <v>47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/>
      </c>
      <c r="AP14" s="80" t="str">
        <f>IF(I14="","",IF(I14&lt;=$AP$1,"O","X"))</f>
        <v/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X</v>
      </c>
      <c r="AU14" s="80" t="str">
        <f>IF(C14="","",IF(C14&gt;=$AU$1,"O","X"))</f>
        <v>O</v>
      </c>
      <c r="AV14" s="80" t="str">
        <f>IF(AO14="","",IF(AND(AO14="O",AP14="O",AR14="O",AT14="O",AU14="O"),"후보","X"))</f>
        <v/>
      </c>
    </row>
    <row r="15" spans="1:48" x14ac:dyDescent="0.3">
      <c r="A15" s="9" t="s">
        <v>361</v>
      </c>
      <c r="B15" s="10" t="s">
        <v>905</v>
      </c>
      <c r="C15" s="89">
        <v>461</v>
      </c>
      <c r="D15" s="87">
        <v>188.8</v>
      </c>
      <c r="E15" s="88">
        <v>57</v>
      </c>
      <c r="F15" s="87">
        <v>164.4</v>
      </c>
      <c r="G15" s="17">
        <v>50</v>
      </c>
      <c r="H15" s="89">
        <v>1</v>
      </c>
      <c r="I15" s="90"/>
      <c r="J15" s="90"/>
      <c r="K15" s="90"/>
      <c r="L15" s="90"/>
      <c r="M15" s="91">
        <f>I15-K15</f>
        <v>0</v>
      </c>
      <c r="N15" s="4" t="str">
        <f>IF(ISERROR(K15/I15),"",K15/I15)</f>
        <v/>
      </c>
      <c r="O15" s="92">
        <f>I15/E15</f>
        <v>0</v>
      </c>
      <c r="P15" s="92">
        <f>K15/E15</f>
        <v>0</v>
      </c>
      <c r="Q15" s="80">
        <v>4</v>
      </c>
      <c r="R15" s="80">
        <v>2</v>
      </c>
      <c r="S15" s="80" t="s">
        <v>61</v>
      </c>
      <c r="T15" s="5" t="s">
        <v>366</v>
      </c>
      <c r="U15" s="9"/>
      <c r="W15" s="87">
        <f t="shared" si="21"/>
        <v>188.8</v>
      </c>
      <c r="X15" s="88">
        <f t="shared" si="21"/>
        <v>57</v>
      </c>
      <c r="Y15" s="93">
        <f t="shared" si="22"/>
        <v>1</v>
      </c>
      <c r="Z15" s="91">
        <f t="shared" si="22"/>
        <v>0</v>
      </c>
      <c r="AA15" s="91">
        <f>K15</f>
        <v>0</v>
      </c>
      <c r="AB15" s="91">
        <f t="shared" si="23"/>
        <v>0</v>
      </c>
      <c r="AC15" s="4" t="str">
        <f t="shared" si="23"/>
        <v/>
      </c>
      <c r="AD15" s="92">
        <f t="shared" si="23"/>
        <v>0</v>
      </c>
      <c r="AE15" s="80" t="str">
        <f>S15</f>
        <v>계</v>
      </c>
      <c r="AF15" s="80" t="str">
        <f>Q15&amp;"/"&amp;R15</f>
        <v>4/2</v>
      </c>
      <c r="AH15" s="20" t="str">
        <f t="shared" si="1"/>
        <v>사천동아1차</v>
      </c>
      <c r="AI15" s="88">
        <f t="shared" si="0"/>
        <v>57</v>
      </c>
      <c r="AJ15" s="80" t="str">
        <f>IF(AI15="","",$AJ$2)</f>
        <v>A-</v>
      </c>
      <c r="AK15" s="80" t="s">
        <v>13</v>
      </c>
      <c r="AL15" s="80" t="s">
        <v>62</v>
      </c>
      <c r="AM15" s="80" t="s">
        <v>63</v>
      </c>
      <c r="AN15" s="80" t="str">
        <f>IF(AI15="","",$AN$2)</f>
        <v>C</v>
      </c>
      <c r="AO15" s="80" t="str">
        <f>IF(N15="","",IF(N15&gt;=$AO$1/100,"O","X"))</f>
        <v/>
      </c>
      <c r="AP15" s="80" t="str">
        <f>IF(I15="","",IF(I15&lt;=$AP$1,"O","X"))</f>
        <v/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X</v>
      </c>
      <c r="AU15" s="80" t="str">
        <f>IF(C15="","",IF(C15&gt;=$AU$1,"O","X"))</f>
        <v>O</v>
      </c>
      <c r="AV15" s="80" t="str">
        <f>IF(AO15="","",IF(AND(AO15="O",AP15="O",AR15="O",AT15="O",AU15="O"),"후보","X"))</f>
        <v/>
      </c>
    </row>
    <row r="16" spans="1:48" x14ac:dyDescent="0.3">
      <c r="A16" s="9" t="s">
        <v>361</v>
      </c>
      <c r="B16" s="10" t="s">
        <v>905</v>
      </c>
      <c r="C16" s="89">
        <v>461</v>
      </c>
      <c r="D16" s="87">
        <v>189</v>
      </c>
      <c r="E16" s="88">
        <v>57</v>
      </c>
      <c r="F16" s="87">
        <v>164.6</v>
      </c>
      <c r="G16" s="17">
        <v>50</v>
      </c>
      <c r="H16" s="89">
        <v>84</v>
      </c>
      <c r="I16" s="90"/>
      <c r="J16" s="90"/>
      <c r="K16" s="90"/>
      <c r="L16" s="90"/>
      <c r="M16" s="91">
        <f>I16-K16</f>
        <v>0</v>
      </c>
      <c r="N16" s="4" t="str">
        <f>IF(ISERROR(K16/I16),"",K16/I16)</f>
        <v/>
      </c>
      <c r="O16" s="92">
        <f>I16/E16</f>
        <v>0</v>
      </c>
      <c r="P16" s="92">
        <f>K16/E16</f>
        <v>0</v>
      </c>
      <c r="Q16" s="80">
        <v>4</v>
      </c>
      <c r="R16" s="80">
        <v>2</v>
      </c>
      <c r="S16" s="80" t="s">
        <v>61</v>
      </c>
      <c r="T16" s="5" t="s">
        <v>117</v>
      </c>
      <c r="U16" s="9"/>
      <c r="W16" s="87">
        <f t="shared" si="21"/>
        <v>189</v>
      </c>
      <c r="X16" s="88">
        <f t="shared" si="21"/>
        <v>57</v>
      </c>
      <c r="Y16" s="93">
        <f t="shared" si="22"/>
        <v>84</v>
      </c>
      <c r="Z16" s="91">
        <f t="shared" si="22"/>
        <v>0</v>
      </c>
      <c r="AA16" s="91">
        <f>K16</f>
        <v>0</v>
      </c>
      <c r="AB16" s="91">
        <f t="shared" si="23"/>
        <v>0</v>
      </c>
      <c r="AC16" s="4" t="str">
        <f t="shared" si="23"/>
        <v/>
      </c>
      <c r="AD16" s="92">
        <f t="shared" si="23"/>
        <v>0</v>
      </c>
      <c r="AE16" s="80" t="str">
        <f>S16</f>
        <v>계</v>
      </c>
      <c r="AF16" s="80" t="str">
        <f>Q16&amp;"/"&amp;R16</f>
        <v>4/2</v>
      </c>
      <c r="AH16" s="20" t="str">
        <f t="shared" si="1"/>
        <v>사천동아1차</v>
      </c>
      <c r="AI16" s="88">
        <f t="shared" si="0"/>
        <v>57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/>
      </c>
      <c r="AP16" s="80" t="str">
        <f>IF(I16="","",IF(I16&lt;=$AP$1,"O","X"))</f>
        <v/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X</v>
      </c>
      <c r="AU16" s="80" t="str">
        <f>IF(C16="","",IF(C16&gt;=$AU$1,"O","X"))</f>
        <v>O</v>
      </c>
      <c r="AV16" s="80" t="str">
        <f>IF(AO16="","",IF(AND(AO16="O",AP16="O",AR16="O",AT16="O",AU16="O"),"후보","X"))</f>
        <v/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사천동 덕성그린('97.11.,411^)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384</v>
      </c>
      <c r="B18" s="10" t="s">
        <v>906</v>
      </c>
      <c r="C18" s="89">
        <v>411</v>
      </c>
      <c r="D18" s="87">
        <v>46.8</v>
      </c>
      <c r="E18" s="88">
        <v>14</v>
      </c>
      <c r="F18" s="87">
        <v>33.299999999999997</v>
      </c>
      <c r="G18" s="17">
        <v>10</v>
      </c>
      <c r="H18" s="89">
        <v>355</v>
      </c>
      <c r="I18" s="90">
        <v>4500</v>
      </c>
      <c r="J18" s="90" t="s">
        <v>67</v>
      </c>
      <c r="K18" s="90"/>
      <c r="L18" s="90"/>
      <c r="M18" s="91">
        <f>I18-K18</f>
        <v>4500</v>
      </c>
      <c r="N18" s="4">
        <f>IF(ISERROR(K18/I18),"",K18/I18)</f>
        <v>0</v>
      </c>
      <c r="O18" s="92">
        <f>I18/E18</f>
        <v>321.42857142857144</v>
      </c>
      <c r="P18" s="92">
        <f>K18/E18</f>
        <v>0</v>
      </c>
      <c r="Q18" s="80">
        <v>2</v>
      </c>
      <c r="R18" s="80">
        <v>1</v>
      </c>
      <c r="S18" s="80" t="s">
        <v>85</v>
      </c>
      <c r="T18" s="5">
        <v>46</v>
      </c>
      <c r="U18" s="9"/>
      <c r="W18" s="87">
        <f>D18</f>
        <v>46.8</v>
      </c>
      <c r="X18" s="88">
        <f>E18</f>
        <v>14</v>
      </c>
      <c r="Y18" s="93">
        <f>H18</f>
        <v>355</v>
      </c>
      <c r="Z18" s="91">
        <f>I18</f>
        <v>4500</v>
      </c>
      <c r="AA18" s="91">
        <f>K18</f>
        <v>0</v>
      </c>
      <c r="AB18" s="91">
        <f t="shared" ref="AB18:AD19" si="24">M18</f>
        <v>4500</v>
      </c>
      <c r="AC18" s="4">
        <f t="shared" si="24"/>
        <v>0</v>
      </c>
      <c r="AD18" s="92">
        <f t="shared" si="24"/>
        <v>321.42857142857144</v>
      </c>
      <c r="AE18" s="80" t="str">
        <f>S18</f>
        <v>복</v>
      </c>
      <c r="AF18" s="80" t="str">
        <f>Q18&amp;"/"&amp;R18</f>
        <v>2/1</v>
      </c>
      <c r="AH18" s="20" t="str">
        <f t="shared" si="1"/>
        <v>덕성그린</v>
      </c>
      <c r="AI18" s="88">
        <f t="shared" si="0"/>
        <v>14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X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384</v>
      </c>
      <c r="B19" s="10" t="s">
        <v>906</v>
      </c>
      <c r="C19" s="89">
        <v>411</v>
      </c>
      <c r="D19" s="87">
        <v>50.4</v>
      </c>
      <c r="E19" s="88">
        <v>15</v>
      </c>
      <c r="F19" s="87">
        <v>35.9</v>
      </c>
      <c r="G19" s="17">
        <v>11</v>
      </c>
      <c r="H19" s="89">
        <v>56</v>
      </c>
      <c r="I19" s="90">
        <v>4700</v>
      </c>
      <c r="J19" s="90" t="s">
        <v>80</v>
      </c>
      <c r="K19" s="90"/>
      <c r="L19" s="90"/>
      <c r="M19" s="91">
        <f>I19-K19</f>
        <v>4700</v>
      </c>
      <c r="N19" s="4">
        <f>IF(ISERROR(K19/I19),"",K19/I19)</f>
        <v>0</v>
      </c>
      <c r="O19" s="92">
        <f>I19/E19</f>
        <v>313.33333333333331</v>
      </c>
      <c r="P19" s="92">
        <f>K19/E19</f>
        <v>0</v>
      </c>
      <c r="Q19" s="80">
        <v>2</v>
      </c>
      <c r="R19" s="80">
        <v>1</v>
      </c>
      <c r="S19" s="80" t="s">
        <v>85</v>
      </c>
      <c r="T19" s="5">
        <v>50</v>
      </c>
      <c r="U19" s="9"/>
      <c r="W19" s="87">
        <f>D19</f>
        <v>50.4</v>
      </c>
      <c r="X19" s="88">
        <f>E19</f>
        <v>15</v>
      </c>
      <c r="Y19" s="93">
        <f>H19</f>
        <v>56</v>
      </c>
      <c r="Z19" s="91">
        <f>I19</f>
        <v>4700</v>
      </c>
      <c r="AA19" s="91">
        <f>K19</f>
        <v>0</v>
      </c>
      <c r="AB19" s="91">
        <f t="shared" si="24"/>
        <v>4700</v>
      </c>
      <c r="AC19" s="4">
        <f t="shared" si="24"/>
        <v>0</v>
      </c>
      <c r="AD19" s="92">
        <f t="shared" si="24"/>
        <v>313.33333333333331</v>
      </c>
      <c r="AE19" s="80" t="str">
        <f>S19</f>
        <v>복</v>
      </c>
      <c r="AF19" s="80" t="str">
        <f>Q19&amp;"/"&amp;R19</f>
        <v>2/1</v>
      </c>
      <c r="AH19" s="20" t="str">
        <f t="shared" si="1"/>
        <v>덕성그린</v>
      </c>
      <c r="AI19" s="88">
        <f t="shared" si="0"/>
        <v>15</v>
      </c>
      <c r="AJ19" s="80" t="str">
        <f>IF(AI19="","",$AJ$2)</f>
        <v>A-</v>
      </c>
      <c r="AK19" s="80" t="s">
        <v>13</v>
      </c>
      <c r="AL19" s="80" t="s">
        <v>62</v>
      </c>
      <c r="AM19" s="80" t="s">
        <v>63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O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/>
      <c r="B20" s="80"/>
      <c r="C20" s="6"/>
      <c r="D20" s="9"/>
      <c r="E20" s="14"/>
      <c r="F20" s="87"/>
      <c r="G20" s="9"/>
      <c r="H20" s="9"/>
      <c r="I20" s="9"/>
      <c r="J20" s="9"/>
      <c r="K20" s="9"/>
      <c r="L20" s="9"/>
      <c r="M20" s="9"/>
      <c r="N20" s="9"/>
      <c r="O20" s="92"/>
      <c r="P20" s="92"/>
      <c r="Q20" s="88"/>
      <c r="R20" s="88"/>
      <c r="S20" s="9"/>
      <c r="T20" s="47"/>
      <c r="U20" s="9"/>
      <c r="W20" s="68" t="str">
        <f>$A$4&amp;" "&amp;A21&amp;"("&amp;B21&amp;","&amp;C21&amp;"^)"</f>
        <v>사천동 사천동아2차('96.02.,398^)</v>
      </c>
      <c r="X20" s="69"/>
      <c r="Y20" s="69"/>
      <c r="Z20" s="69"/>
      <c r="AA20" s="69"/>
      <c r="AB20" s="69"/>
      <c r="AC20" s="69"/>
      <c r="AD20" s="69"/>
      <c r="AE20" s="69"/>
      <c r="AF20" s="70"/>
      <c r="AH20" s="20" t="str">
        <f t="shared" si="1"/>
        <v/>
      </c>
      <c r="AI20" s="112" t="str">
        <f t="shared" si="0"/>
        <v/>
      </c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</row>
    <row r="21" spans="1:48" x14ac:dyDescent="0.3">
      <c r="A21" s="9" t="s">
        <v>389</v>
      </c>
      <c r="B21" s="10" t="s">
        <v>907</v>
      </c>
      <c r="C21" s="89">
        <v>398</v>
      </c>
      <c r="D21" s="87">
        <v>53.4</v>
      </c>
      <c r="E21" s="88">
        <v>16</v>
      </c>
      <c r="F21" s="87">
        <v>43.4</v>
      </c>
      <c r="G21" s="17">
        <v>13</v>
      </c>
      <c r="H21" s="89">
        <v>8</v>
      </c>
      <c r="I21" s="90"/>
      <c r="J21" s="90"/>
      <c r="K21" s="90"/>
      <c r="L21" s="90"/>
      <c r="M21" s="91">
        <f>I21-K21</f>
        <v>0</v>
      </c>
      <c r="N21" s="4" t="str">
        <f>IF(ISERROR(K21/I21),"",K21/I21)</f>
        <v/>
      </c>
      <c r="O21" s="92">
        <f>I21/E21</f>
        <v>0</v>
      </c>
      <c r="P21" s="92">
        <f>K21/E21</f>
        <v>0</v>
      </c>
      <c r="Q21" s="80">
        <v>2</v>
      </c>
      <c r="R21" s="80">
        <v>1</v>
      </c>
      <c r="S21" s="80" t="s">
        <v>61</v>
      </c>
      <c r="T21" s="5">
        <v>53</v>
      </c>
      <c r="U21" s="9"/>
      <c r="W21" s="87">
        <f t="shared" ref="W21:X24" si="25">D21</f>
        <v>53.4</v>
      </c>
      <c r="X21" s="88">
        <f t="shared" si="25"/>
        <v>16</v>
      </c>
      <c r="Y21" s="93">
        <f t="shared" ref="Y21:Z24" si="26">H21</f>
        <v>8</v>
      </c>
      <c r="Z21" s="91">
        <f t="shared" si="26"/>
        <v>0</v>
      </c>
      <c r="AA21" s="91">
        <f>K21</f>
        <v>0</v>
      </c>
      <c r="AB21" s="91">
        <f t="shared" ref="AB21:AD24" si="27">M21</f>
        <v>0</v>
      </c>
      <c r="AC21" s="4" t="str">
        <f t="shared" si="27"/>
        <v/>
      </c>
      <c r="AD21" s="92">
        <f t="shared" si="27"/>
        <v>0</v>
      </c>
      <c r="AE21" s="80" t="str">
        <f>S21</f>
        <v>계</v>
      </c>
      <c r="AF21" s="80" t="str">
        <f>Q21&amp;"/"&amp;R21</f>
        <v>2/1</v>
      </c>
      <c r="AH21" s="20" t="str">
        <f t="shared" si="1"/>
        <v>사천동아2차</v>
      </c>
      <c r="AI21" s="88">
        <f t="shared" si="0"/>
        <v>16</v>
      </c>
      <c r="AJ21" s="80" t="str">
        <f>IF(AI21="","",$AJ$2)</f>
        <v>A-</v>
      </c>
      <c r="AK21" s="80" t="s">
        <v>13</v>
      </c>
      <c r="AL21" s="80" t="s">
        <v>62</v>
      </c>
      <c r="AM21" s="80" t="s">
        <v>63</v>
      </c>
      <c r="AN21" s="80" t="str">
        <f>IF(AI21="","",$AN$2)</f>
        <v>C</v>
      </c>
      <c r="AO21" s="80" t="str">
        <f>IF(N21="","",IF(N21&gt;=$AO$1/100,"O","X"))</f>
        <v/>
      </c>
      <c r="AP21" s="80" t="str">
        <f>IF(I21="","",IF(I21&lt;=$AP$1,"O","X"))</f>
        <v/>
      </c>
      <c r="AQ21" s="80" t="str">
        <f>IF(O21="","",IF(O21&lt;=$AQ$1,"O","X"))</f>
        <v>O</v>
      </c>
      <c r="AR21" s="80" t="str">
        <f>IF(M21="","",IF(M21&lt;=$AR$1,"O","X"))</f>
        <v>O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/>
      </c>
    </row>
    <row r="22" spans="1:48" x14ac:dyDescent="0.3">
      <c r="A22" s="9" t="s">
        <v>389</v>
      </c>
      <c r="B22" s="10" t="s">
        <v>907</v>
      </c>
      <c r="C22" s="89">
        <v>398</v>
      </c>
      <c r="D22" s="87">
        <v>61.9</v>
      </c>
      <c r="E22" s="88">
        <v>19</v>
      </c>
      <c r="F22" s="87">
        <v>51.3</v>
      </c>
      <c r="G22" s="17">
        <v>16</v>
      </c>
      <c r="H22" s="89">
        <v>20</v>
      </c>
      <c r="I22" s="90">
        <v>8000</v>
      </c>
      <c r="J22" s="90" t="s">
        <v>59</v>
      </c>
      <c r="K22" s="90">
        <v>6000</v>
      </c>
      <c r="L22" s="90" t="s">
        <v>59</v>
      </c>
      <c r="M22" s="91">
        <f>I22-K22</f>
        <v>2000</v>
      </c>
      <c r="N22" s="4">
        <f>IF(ISERROR(K22/I22),"",K22/I22)</f>
        <v>0.75</v>
      </c>
      <c r="O22" s="92">
        <f>I22/E22</f>
        <v>421.05263157894734</v>
      </c>
      <c r="P22" s="92">
        <f>K22/E22</f>
        <v>315.78947368421052</v>
      </c>
      <c r="Q22" s="80">
        <v>2</v>
      </c>
      <c r="R22" s="80">
        <v>1</v>
      </c>
      <c r="S22" s="80" t="s">
        <v>61</v>
      </c>
      <c r="T22" s="5">
        <v>61</v>
      </c>
      <c r="U22" s="9"/>
      <c r="W22" s="87">
        <f t="shared" si="25"/>
        <v>61.9</v>
      </c>
      <c r="X22" s="88">
        <f t="shared" si="25"/>
        <v>19</v>
      </c>
      <c r="Y22" s="93">
        <f t="shared" si="26"/>
        <v>20</v>
      </c>
      <c r="Z22" s="91">
        <f t="shared" si="26"/>
        <v>8000</v>
      </c>
      <c r="AA22" s="91">
        <f>K22</f>
        <v>6000</v>
      </c>
      <c r="AB22" s="91">
        <f t="shared" si="27"/>
        <v>2000</v>
      </c>
      <c r="AC22" s="4">
        <f t="shared" si="27"/>
        <v>0.75</v>
      </c>
      <c r="AD22" s="92">
        <f t="shared" si="27"/>
        <v>421.05263157894734</v>
      </c>
      <c r="AE22" s="80" t="str">
        <f>S22</f>
        <v>계</v>
      </c>
      <c r="AF22" s="80" t="str">
        <f>Q22&amp;"/"&amp;R22</f>
        <v>2/1</v>
      </c>
      <c r="AH22" s="20" t="str">
        <f t="shared" si="1"/>
        <v>사천동아2차</v>
      </c>
      <c r="AI22" s="88">
        <f t="shared" si="0"/>
        <v>19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 t="s">
        <v>389</v>
      </c>
      <c r="B23" s="10" t="s">
        <v>907</v>
      </c>
      <c r="C23" s="89">
        <v>398</v>
      </c>
      <c r="D23" s="87">
        <v>76.599999999999994</v>
      </c>
      <c r="E23" s="88">
        <v>23</v>
      </c>
      <c r="F23" s="87">
        <v>60</v>
      </c>
      <c r="G23" s="17">
        <v>18</v>
      </c>
      <c r="H23" s="89">
        <v>131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1</v>
      </c>
      <c r="S23" s="80" t="s">
        <v>61</v>
      </c>
      <c r="T23" s="5">
        <v>76</v>
      </c>
      <c r="U23" s="9"/>
      <c r="W23" s="87">
        <f t="shared" si="25"/>
        <v>76.599999999999994</v>
      </c>
      <c r="X23" s="88">
        <f t="shared" si="25"/>
        <v>23</v>
      </c>
      <c r="Y23" s="93">
        <f t="shared" si="26"/>
        <v>131</v>
      </c>
      <c r="Z23" s="91">
        <f t="shared" si="26"/>
        <v>0</v>
      </c>
      <c r="AA23" s="91">
        <f>K23</f>
        <v>0</v>
      </c>
      <c r="AB23" s="91">
        <f t="shared" si="27"/>
        <v>0</v>
      </c>
      <c r="AC23" s="4" t="str">
        <f t="shared" si="27"/>
        <v/>
      </c>
      <c r="AD23" s="92">
        <f t="shared" si="27"/>
        <v>0</v>
      </c>
      <c r="AE23" s="80" t="str">
        <f>S23</f>
        <v>계</v>
      </c>
      <c r="AF23" s="80" t="str">
        <f>Q23&amp;"/"&amp;R23</f>
        <v>3/1</v>
      </c>
      <c r="AH23" s="20" t="str">
        <f t="shared" si="1"/>
        <v>사천동아2차</v>
      </c>
      <c r="AI23" s="88">
        <f t="shared" si="0"/>
        <v>23</v>
      </c>
      <c r="AJ23" s="80" t="str">
        <f>IF(AI23="","",$AJ$2)</f>
        <v>A-</v>
      </c>
      <c r="AK23" s="80" t="s">
        <v>13</v>
      </c>
      <c r="AL23" s="80" t="s">
        <v>62</v>
      </c>
      <c r="AM23" s="80" t="s">
        <v>63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389</v>
      </c>
      <c r="B24" s="10" t="s">
        <v>907</v>
      </c>
      <c r="C24" s="89">
        <v>398</v>
      </c>
      <c r="D24" s="87">
        <v>104</v>
      </c>
      <c r="E24" s="88">
        <v>31</v>
      </c>
      <c r="F24" s="87">
        <v>85</v>
      </c>
      <c r="G24" s="17">
        <v>26</v>
      </c>
      <c r="H24" s="89">
        <v>239</v>
      </c>
      <c r="I24" s="90">
        <v>18200</v>
      </c>
      <c r="J24" s="90" t="s">
        <v>60</v>
      </c>
      <c r="K24" s="90"/>
      <c r="L24" s="90"/>
      <c r="M24" s="91">
        <f>I24-K24</f>
        <v>18200</v>
      </c>
      <c r="N24" s="4">
        <f>IF(ISERROR(K24/I24),"",K24/I24)</f>
        <v>0</v>
      </c>
      <c r="O24" s="92">
        <f>I24/E24</f>
        <v>587.09677419354841</v>
      </c>
      <c r="P24" s="92">
        <f>K24/E24</f>
        <v>0</v>
      </c>
      <c r="Q24" s="80">
        <v>3</v>
      </c>
      <c r="R24" s="80">
        <v>2</v>
      </c>
      <c r="S24" s="80" t="s">
        <v>61</v>
      </c>
      <c r="T24" s="5">
        <v>104</v>
      </c>
      <c r="U24" s="9"/>
      <c r="W24" s="87">
        <f t="shared" si="25"/>
        <v>104</v>
      </c>
      <c r="X24" s="88">
        <f t="shared" si="25"/>
        <v>31</v>
      </c>
      <c r="Y24" s="93">
        <f t="shared" si="26"/>
        <v>239</v>
      </c>
      <c r="Z24" s="91">
        <f t="shared" si="26"/>
        <v>18200</v>
      </c>
      <c r="AA24" s="91">
        <f>K24</f>
        <v>0</v>
      </c>
      <c r="AB24" s="91">
        <f t="shared" si="27"/>
        <v>18200</v>
      </c>
      <c r="AC24" s="4">
        <f t="shared" si="27"/>
        <v>0</v>
      </c>
      <c r="AD24" s="92">
        <f t="shared" si="27"/>
        <v>587.09677419354841</v>
      </c>
      <c r="AE24" s="80" t="str">
        <f>S24</f>
        <v>계</v>
      </c>
      <c r="AF24" s="80" t="str">
        <f>Q24&amp;"/"&amp;R24</f>
        <v>3/2</v>
      </c>
      <c r="AH24" s="20" t="str">
        <f t="shared" si="1"/>
        <v>사천동아2차</v>
      </c>
      <c r="AI24" s="88">
        <f t="shared" si="0"/>
        <v>31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8" t="str">
        <f>$A$4&amp;" "&amp;A26&amp;"("&amp;B26&amp;","&amp;C26&amp;"^)"</f>
        <v>사천동 청주사천푸르지오('18.08.,729^)</v>
      </c>
      <c r="X25" s="69"/>
      <c r="Y25" s="69"/>
      <c r="Z25" s="69"/>
      <c r="AA25" s="69"/>
      <c r="AB25" s="69"/>
      <c r="AC25" s="69"/>
      <c r="AD25" s="69"/>
      <c r="AE25" s="69"/>
      <c r="AF25" s="70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394</v>
      </c>
      <c r="B26" s="10" t="s">
        <v>908</v>
      </c>
      <c r="C26" s="89">
        <v>729</v>
      </c>
      <c r="D26" s="87">
        <v>84.8</v>
      </c>
      <c r="E26" s="88">
        <v>26</v>
      </c>
      <c r="F26" s="87">
        <v>60</v>
      </c>
      <c r="G26" s="17">
        <v>18</v>
      </c>
      <c r="H26" s="89">
        <v>204</v>
      </c>
      <c r="I26" s="90">
        <v>40000</v>
      </c>
      <c r="J26" s="90" t="s">
        <v>909</v>
      </c>
      <c r="K26" s="90">
        <v>29000</v>
      </c>
      <c r="L26" s="90" t="s">
        <v>89</v>
      </c>
      <c r="M26" s="91">
        <f>I26-K26</f>
        <v>11000</v>
      </c>
      <c r="N26" s="4">
        <f>IF(ISERROR(K26/I26),"",K26/I26)</f>
        <v>0.72499999999999998</v>
      </c>
      <c r="O26" s="92">
        <f>I26/E26</f>
        <v>1538.4615384615386</v>
      </c>
      <c r="P26" s="92">
        <f>K26/E26</f>
        <v>1115.3846153846155</v>
      </c>
      <c r="Q26" s="80">
        <v>3</v>
      </c>
      <c r="R26" s="80">
        <v>2</v>
      </c>
      <c r="S26" s="80" t="s">
        <v>61</v>
      </c>
      <c r="T26" s="5">
        <v>84</v>
      </c>
      <c r="U26" s="9"/>
      <c r="W26" s="87">
        <f t="shared" ref="W26:X28" si="28">D26</f>
        <v>84.8</v>
      </c>
      <c r="X26" s="88">
        <f t="shared" si="28"/>
        <v>26</v>
      </c>
      <c r="Y26" s="93">
        <f t="shared" ref="Y26:Z28" si="29">H26</f>
        <v>204</v>
      </c>
      <c r="Z26" s="91">
        <f t="shared" si="29"/>
        <v>40000</v>
      </c>
      <c r="AA26" s="91">
        <f>K26</f>
        <v>29000</v>
      </c>
      <c r="AB26" s="91">
        <f t="shared" ref="AB26:AD28" si="30">M26</f>
        <v>11000</v>
      </c>
      <c r="AC26" s="4">
        <f t="shared" si="30"/>
        <v>0.72499999999999998</v>
      </c>
      <c r="AD26" s="92">
        <f t="shared" si="30"/>
        <v>1538.4615384615386</v>
      </c>
      <c r="AE26" s="80" t="str">
        <f>S26</f>
        <v>계</v>
      </c>
      <c r="AF26" s="80" t="str">
        <f>Q26&amp;"/"&amp;R26</f>
        <v>3/2</v>
      </c>
      <c r="AH26" s="20" t="str">
        <f t="shared" si="1"/>
        <v>청주사천푸르지오</v>
      </c>
      <c r="AI26" s="88">
        <f t="shared" si="0"/>
        <v>26</v>
      </c>
      <c r="AJ26" s="80" t="str">
        <f>IF(AI26="","",$AJ$2)</f>
        <v>A-</v>
      </c>
      <c r="AK26" s="80" t="s">
        <v>13</v>
      </c>
      <c r="AL26" s="80" t="s">
        <v>62</v>
      </c>
      <c r="AM26" s="80" t="s">
        <v>63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X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 t="s">
        <v>394</v>
      </c>
      <c r="B27" s="10" t="s">
        <v>908</v>
      </c>
      <c r="C27" s="89">
        <v>729</v>
      </c>
      <c r="D27" s="87">
        <v>99</v>
      </c>
      <c r="E27" s="88">
        <v>30</v>
      </c>
      <c r="F27" s="87">
        <v>74.400000000000006</v>
      </c>
      <c r="G27" s="17">
        <v>23</v>
      </c>
      <c r="H27" s="89">
        <v>119</v>
      </c>
      <c r="I27" s="90">
        <v>48000</v>
      </c>
      <c r="J27" s="90" t="s">
        <v>104</v>
      </c>
      <c r="K27" s="90"/>
      <c r="L27" s="90"/>
      <c r="M27" s="91">
        <f>I27-K27</f>
        <v>48000</v>
      </c>
      <c r="N27" s="4">
        <f>IF(ISERROR(K27/I27),"",K27/I27)</f>
        <v>0</v>
      </c>
      <c r="O27" s="92">
        <f>I27/E27</f>
        <v>1600</v>
      </c>
      <c r="P27" s="92">
        <f>K27/E27</f>
        <v>0</v>
      </c>
      <c r="Q27" s="80">
        <v>3</v>
      </c>
      <c r="R27" s="80">
        <v>2</v>
      </c>
      <c r="S27" s="80" t="s">
        <v>61</v>
      </c>
      <c r="T27" s="5">
        <v>98</v>
      </c>
      <c r="U27" s="9"/>
      <c r="W27" s="87">
        <f t="shared" si="28"/>
        <v>99</v>
      </c>
      <c r="X27" s="88">
        <f t="shared" si="28"/>
        <v>30</v>
      </c>
      <c r="Y27" s="93">
        <f t="shared" si="29"/>
        <v>119</v>
      </c>
      <c r="Z27" s="91">
        <f t="shared" si="29"/>
        <v>48000</v>
      </c>
      <c r="AA27" s="91">
        <f>K27</f>
        <v>0</v>
      </c>
      <c r="AB27" s="91">
        <f t="shared" si="30"/>
        <v>48000</v>
      </c>
      <c r="AC27" s="4">
        <f t="shared" si="30"/>
        <v>0</v>
      </c>
      <c r="AD27" s="92">
        <f t="shared" si="30"/>
        <v>1600</v>
      </c>
      <c r="AE27" s="80" t="str">
        <f>S27</f>
        <v>계</v>
      </c>
      <c r="AF27" s="80" t="str">
        <f>Q27&amp;"/"&amp;R27</f>
        <v>3/2</v>
      </c>
      <c r="AH27" s="20" t="str">
        <f t="shared" si="1"/>
        <v>청주사천푸르지오</v>
      </c>
      <c r="AI27" s="88">
        <f t="shared" si="0"/>
        <v>30</v>
      </c>
      <c r="AJ27" s="80" t="str">
        <f>IF(AI27="","",$AJ$2)</f>
        <v>A-</v>
      </c>
      <c r="AK27" s="80" t="s">
        <v>13</v>
      </c>
      <c r="AL27" s="80" t="s">
        <v>62</v>
      </c>
      <c r="AM27" s="80" t="s">
        <v>63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X</v>
      </c>
      <c r="AQ27" s="80" t="str">
        <f>IF(O27="","",IF(O27&lt;=$AQ$1,"O","X"))</f>
        <v>X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x14ac:dyDescent="0.3">
      <c r="A28" s="9" t="s">
        <v>394</v>
      </c>
      <c r="B28" s="10" t="s">
        <v>908</v>
      </c>
      <c r="C28" s="89">
        <v>729</v>
      </c>
      <c r="D28" s="87">
        <v>112.1</v>
      </c>
      <c r="E28" s="88">
        <v>34</v>
      </c>
      <c r="F28" s="87">
        <v>85</v>
      </c>
      <c r="G28" s="17">
        <v>26</v>
      </c>
      <c r="H28" s="89">
        <v>406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4</v>
      </c>
      <c r="R28" s="80">
        <v>2</v>
      </c>
      <c r="S28" s="80" t="s">
        <v>61</v>
      </c>
      <c r="T28" s="5">
        <v>112</v>
      </c>
      <c r="U28" s="9"/>
      <c r="W28" s="87">
        <f t="shared" si="28"/>
        <v>112.1</v>
      </c>
      <c r="X28" s="88">
        <f t="shared" si="28"/>
        <v>34</v>
      </c>
      <c r="Y28" s="93">
        <f t="shared" si="29"/>
        <v>406</v>
      </c>
      <c r="Z28" s="91">
        <f t="shared" si="29"/>
        <v>0</v>
      </c>
      <c r="AA28" s="91">
        <f>K28</f>
        <v>0</v>
      </c>
      <c r="AB28" s="91">
        <f t="shared" si="30"/>
        <v>0</v>
      </c>
      <c r="AC28" s="4" t="str">
        <f t="shared" si="30"/>
        <v/>
      </c>
      <c r="AD28" s="92">
        <f t="shared" si="30"/>
        <v>0</v>
      </c>
      <c r="AE28" s="80" t="str">
        <f>S28</f>
        <v>계</v>
      </c>
      <c r="AF28" s="80" t="str">
        <f>Q28&amp;"/"&amp;R28</f>
        <v>4/2</v>
      </c>
      <c r="AH28" s="20" t="str">
        <f t="shared" si="1"/>
        <v>청주사천푸르지오</v>
      </c>
      <c r="AI28" s="88">
        <f t="shared" si="0"/>
        <v>34</v>
      </c>
      <c r="AJ28" s="80" t="str">
        <f>IF(AI28="","",$AJ$2)</f>
        <v>A-</v>
      </c>
      <c r="AK28" s="80" t="s">
        <v>13</v>
      </c>
      <c r="AL28" s="80" t="s">
        <v>62</v>
      </c>
      <c r="AM28" s="80" t="s">
        <v>63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사천동 대창1차('98.04.,356^)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399</v>
      </c>
      <c r="B30" s="10" t="s">
        <v>910</v>
      </c>
      <c r="C30" s="89">
        <v>356</v>
      </c>
      <c r="D30" s="87">
        <v>60.4</v>
      </c>
      <c r="E30" s="88">
        <v>18</v>
      </c>
      <c r="F30" s="87">
        <v>44.2</v>
      </c>
      <c r="G30" s="17">
        <v>13</v>
      </c>
      <c r="H30" s="89">
        <v>25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2</v>
      </c>
      <c r="R30" s="80">
        <v>1</v>
      </c>
      <c r="S30" s="80" t="s">
        <v>61</v>
      </c>
      <c r="T30" s="5">
        <v>60</v>
      </c>
      <c r="U30" s="9"/>
      <c r="W30" s="87">
        <f t="shared" ref="W30:X32" si="31">D30</f>
        <v>60.4</v>
      </c>
      <c r="X30" s="88">
        <f t="shared" si="31"/>
        <v>18</v>
      </c>
      <c r="Y30" s="93">
        <f t="shared" ref="Y30:Z32" si="32">H30</f>
        <v>25</v>
      </c>
      <c r="Z30" s="91">
        <f t="shared" si="32"/>
        <v>0</v>
      </c>
      <c r="AA30" s="91">
        <f>K30</f>
        <v>0</v>
      </c>
      <c r="AB30" s="91">
        <f t="shared" ref="AB30:AD32" si="33">M30</f>
        <v>0</v>
      </c>
      <c r="AC30" s="4" t="str">
        <f t="shared" si="33"/>
        <v/>
      </c>
      <c r="AD30" s="92">
        <f t="shared" si="33"/>
        <v>0</v>
      </c>
      <c r="AE30" s="80" t="str">
        <f>S30</f>
        <v>계</v>
      </c>
      <c r="AF30" s="80" t="str">
        <f>Q30&amp;"/"&amp;R30</f>
        <v>2/1</v>
      </c>
      <c r="AH30" s="20" t="str">
        <f t="shared" si="1"/>
        <v>대창1차</v>
      </c>
      <c r="AI30" s="88">
        <f t="shared" si="0"/>
        <v>18</v>
      </c>
      <c r="AJ30" s="80" t="str">
        <f>IF(AI30="","",$AJ$2)</f>
        <v>A-</v>
      </c>
      <c r="AK30" s="80" t="s">
        <v>13</v>
      </c>
      <c r="AL30" s="80" t="s">
        <v>62</v>
      </c>
      <c r="AM30" s="80" t="s">
        <v>63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/>
      </c>
    </row>
    <row r="31" spans="1:48" x14ac:dyDescent="0.3">
      <c r="A31" s="9" t="s">
        <v>399</v>
      </c>
      <c r="B31" s="10" t="s">
        <v>910</v>
      </c>
      <c r="C31" s="89">
        <v>356</v>
      </c>
      <c r="D31" s="87">
        <v>67.7</v>
      </c>
      <c r="E31" s="88">
        <v>20</v>
      </c>
      <c r="F31" s="87">
        <v>49.5</v>
      </c>
      <c r="G31" s="17">
        <v>15</v>
      </c>
      <c r="H31" s="89">
        <v>105</v>
      </c>
      <c r="I31" s="90">
        <v>9700</v>
      </c>
      <c r="J31" s="90" t="s">
        <v>68</v>
      </c>
      <c r="K31" s="90"/>
      <c r="L31" s="90"/>
      <c r="M31" s="91">
        <f>I31-K31</f>
        <v>9700</v>
      </c>
      <c r="N31" s="4">
        <f>IF(ISERROR(K31/I31),"",K31/I31)</f>
        <v>0</v>
      </c>
      <c r="O31" s="92">
        <f>I31/E31</f>
        <v>485</v>
      </c>
      <c r="P31" s="92">
        <f>K31/E31</f>
        <v>0</v>
      </c>
      <c r="Q31" s="80">
        <v>2</v>
      </c>
      <c r="R31" s="80">
        <v>1</v>
      </c>
      <c r="S31" s="80" t="s">
        <v>61</v>
      </c>
      <c r="T31" s="5">
        <v>67</v>
      </c>
      <c r="U31" s="9"/>
      <c r="W31" s="87">
        <f t="shared" si="31"/>
        <v>67.7</v>
      </c>
      <c r="X31" s="88">
        <f t="shared" si="31"/>
        <v>20</v>
      </c>
      <c r="Y31" s="93">
        <f t="shared" si="32"/>
        <v>105</v>
      </c>
      <c r="Z31" s="91">
        <f t="shared" si="32"/>
        <v>9700</v>
      </c>
      <c r="AA31" s="91">
        <f>K31</f>
        <v>0</v>
      </c>
      <c r="AB31" s="91">
        <f t="shared" si="33"/>
        <v>9700</v>
      </c>
      <c r="AC31" s="4">
        <f t="shared" si="33"/>
        <v>0</v>
      </c>
      <c r="AD31" s="92">
        <f t="shared" si="33"/>
        <v>485</v>
      </c>
      <c r="AE31" s="80" t="str">
        <f>S31</f>
        <v>계</v>
      </c>
      <c r="AF31" s="80" t="str">
        <f>Q31&amp;"/"&amp;R31</f>
        <v>2/1</v>
      </c>
      <c r="AH31" s="20" t="str">
        <f t="shared" si="1"/>
        <v>대창1차</v>
      </c>
      <c r="AI31" s="88">
        <f t="shared" si="0"/>
        <v>20</v>
      </c>
      <c r="AJ31" s="80" t="str">
        <f>IF(AI31="","",$AJ$2)</f>
        <v>A-</v>
      </c>
      <c r="AK31" s="80" t="s">
        <v>13</v>
      </c>
      <c r="AL31" s="80" t="s">
        <v>62</v>
      </c>
      <c r="AM31" s="80" t="s">
        <v>63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399</v>
      </c>
      <c r="B32" s="10" t="s">
        <v>910</v>
      </c>
      <c r="C32" s="89">
        <v>356</v>
      </c>
      <c r="D32" s="87">
        <v>81.3</v>
      </c>
      <c r="E32" s="88">
        <v>25</v>
      </c>
      <c r="F32" s="87">
        <v>59.5</v>
      </c>
      <c r="G32" s="17">
        <v>18</v>
      </c>
      <c r="H32" s="89">
        <v>226</v>
      </c>
      <c r="I32" s="90">
        <v>11800</v>
      </c>
      <c r="J32" s="90" t="s">
        <v>59</v>
      </c>
      <c r="K32" s="90">
        <v>11500</v>
      </c>
      <c r="L32" s="90" t="s">
        <v>59</v>
      </c>
      <c r="M32" s="91">
        <f>I32-K32</f>
        <v>300</v>
      </c>
      <c r="N32" s="4">
        <f>IF(ISERROR(K32/I32),"",K32/I32)</f>
        <v>0.97457627118644063</v>
      </c>
      <c r="O32" s="92">
        <f>I32/E32</f>
        <v>472</v>
      </c>
      <c r="P32" s="92">
        <f>K32/E32</f>
        <v>460</v>
      </c>
      <c r="Q32" s="80">
        <v>3</v>
      </c>
      <c r="R32" s="80">
        <v>1</v>
      </c>
      <c r="S32" s="80" t="s">
        <v>61</v>
      </c>
      <c r="T32" s="5">
        <v>81</v>
      </c>
      <c r="U32" s="9"/>
      <c r="W32" s="87">
        <f t="shared" si="31"/>
        <v>81.3</v>
      </c>
      <c r="X32" s="88">
        <f t="shared" si="31"/>
        <v>25</v>
      </c>
      <c r="Y32" s="93">
        <f t="shared" si="32"/>
        <v>226</v>
      </c>
      <c r="Z32" s="91">
        <f t="shared" si="32"/>
        <v>11800</v>
      </c>
      <c r="AA32" s="91">
        <f>K32</f>
        <v>11500</v>
      </c>
      <c r="AB32" s="91">
        <f t="shared" si="33"/>
        <v>300</v>
      </c>
      <c r="AC32" s="4">
        <f t="shared" si="33"/>
        <v>0.97457627118644063</v>
      </c>
      <c r="AD32" s="92">
        <f t="shared" si="33"/>
        <v>472</v>
      </c>
      <c r="AE32" s="80" t="str">
        <f>S32</f>
        <v>계</v>
      </c>
      <c r="AF32" s="80" t="str">
        <f>Q32&amp;"/"&amp;R32</f>
        <v>3/1</v>
      </c>
      <c r="AH32" s="20" t="str">
        <f t="shared" si="1"/>
        <v>대창1차</v>
      </c>
      <c r="AI32" s="88">
        <f t="shared" si="0"/>
        <v>25</v>
      </c>
      <c r="AJ32" s="80" t="str">
        <f>IF(AI32="","",$AJ$2)</f>
        <v>A-</v>
      </c>
      <c r="AK32" s="80" t="s">
        <v>13</v>
      </c>
      <c r="AL32" s="80" t="s">
        <v>62</v>
      </c>
      <c r="AM32" s="80" t="s">
        <v>63</v>
      </c>
      <c r="AN32" s="80" t="str">
        <f>IF(AI32="","",$AN$2)</f>
        <v>C</v>
      </c>
      <c r="AO32" s="80" t="str">
        <f>IF(N32="","",IF(N32&gt;=$AO$1/100,"O","X"))</f>
        <v>O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후보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사천동 신동아('93.05.,958^)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404</v>
      </c>
      <c r="B34" s="10" t="s">
        <v>911</v>
      </c>
      <c r="C34" s="89">
        <v>958</v>
      </c>
      <c r="D34" s="87">
        <v>87.8</v>
      </c>
      <c r="E34" s="88">
        <v>27</v>
      </c>
      <c r="F34" s="87">
        <v>72.3</v>
      </c>
      <c r="G34" s="17">
        <v>22</v>
      </c>
      <c r="H34" s="89">
        <v>45</v>
      </c>
      <c r="I34" s="90">
        <v>16000</v>
      </c>
      <c r="J34" s="90" t="s">
        <v>80</v>
      </c>
      <c r="K34" s="90"/>
      <c r="L34" s="90"/>
      <c r="M34" s="91">
        <f>I34-K34</f>
        <v>16000</v>
      </c>
      <c r="N34" s="4">
        <f>IF(ISERROR(K34/I34),"",K34/I34)</f>
        <v>0</v>
      </c>
      <c r="O34" s="92">
        <f>I34/E34</f>
        <v>592.59259259259261</v>
      </c>
      <c r="P34" s="92">
        <f>K34/E34</f>
        <v>0</v>
      </c>
      <c r="Q34" s="80">
        <v>3</v>
      </c>
      <c r="R34" s="80">
        <v>1</v>
      </c>
      <c r="S34" s="80" t="s">
        <v>61</v>
      </c>
      <c r="T34" s="5" t="s">
        <v>406</v>
      </c>
      <c r="U34" s="9"/>
      <c r="W34" s="87">
        <f t="shared" ref="W34:X37" si="34">D34</f>
        <v>87.8</v>
      </c>
      <c r="X34" s="88">
        <f t="shared" si="34"/>
        <v>27</v>
      </c>
      <c r="Y34" s="93">
        <f t="shared" ref="Y34:Z37" si="35">H34</f>
        <v>45</v>
      </c>
      <c r="Z34" s="91">
        <f t="shared" si="35"/>
        <v>16000</v>
      </c>
      <c r="AA34" s="91">
        <f>K34</f>
        <v>0</v>
      </c>
      <c r="AB34" s="91">
        <f t="shared" ref="AB34:AD37" si="36">M34</f>
        <v>16000</v>
      </c>
      <c r="AC34" s="4">
        <f t="shared" si="36"/>
        <v>0</v>
      </c>
      <c r="AD34" s="92">
        <f t="shared" si="36"/>
        <v>592.59259259259261</v>
      </c>
      <c r="AE34" s="80" t="str">
        <f>S34</f>
        <v>계</v>
      </c>
      <c r="AF34" s="80" t="str">
        <f>Q34&amp;"/"&amp;R34</f>
        <v>3/1</v>
      </c>
      <c r="AH34" s="20" t="str">
        <f t="shared" si="1"/>
        <v>신동아</v>
      </c>
      <c r="AI34" s="88">
        <f t="shared" si="0"/>
        <v>27</v>
      </c>
      <c r="AJ34" s="80" t="str">
        <f>IF(AI34="","",$AJ$2)</f>
        <v>A-</v>
      </c>
      <c r="AK34" s="80" t="s">
        <v>13</v>
      </c>
      <c r="AL34" s="80" t="s">
        <v>62</v>
      </c>
      <c r="AM34" s="80" t="s">
        <v>63</v>
      </c>
      <c r="AN34" s="80" t="str">
        <f>IF(AI34="","",$AN$2)</f>
        <v>C</v>
      </c>
      <c r="AO34" s="80" t="str">
        <f>IF(N34="","",IF(N34&gt;=$AO$1/100,"O","X"))</f>
        <v>X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X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X</v>
      </c>
    </row>
    <row r="35" spans="1:48" x14ac:dyDescent="0.3">
      <c r="A35" s="9" t="s">
        <v>404</v>
      </c>
      <c r="B35" s="10" t="s">
        <v>911</v>
      </c>
      <c r="C35" s="89">
        <v>958</v>
      </c>
      <c r="D35" s="87">
        <v>88.7</v>
      </c>
      <c r="E35" s="88">
        <v>27</v>
      </c>
      <c r="F35" s="87">
        <v>72.8</v>
      </c>
      <c r="G35" s="17">
        <v>22</v>
      </c>
      <c r="H35" s="89">
        <v>191</v>
      </c>
      <c r="I35" s="90">
        <v>15500</v>
      </c>
      <c r="J35" s="90" t="s">
        <v>77</v>
      </c>
      <c r="K35" s="90"/>
      <c r="L35" s="90"/>
      <c r="M35" s="91">
        <f>I35-K35</f>
        <v>15500</v>
      </c>
      <c r="N35" s="4">
        <f>IF(ISERROR(K35/I35),"",K35/I35)</f>
        <v>0</v>
      </c>
      <c r="O35" s="92">
        <f>I35/E35</f>
        <v>574.07407407407402</v>
      </c>
      <c r="P35" s="92">
        <f>K35/E35</f>
        <v>0</v>
      </c>
      <c r="Q35" s="80">
        <v>3</v>
      </c>
      <c r="R35" s="80">
        <v>1</v>
      </c>
      <c r="S35" s="80" t="s">
        <v>61</v>
      </c>
      <c r="T35" s="5" t="s">
        <v>118</v>
      </c>
      <c r="U35" s="9"/>
      <c r="W35" s="87">
        <f t="shared" si="34"/>
        <v>88.7</v>
      </c>
      <c r="X35" s="88">
        <f t="shared" si="34"/>
        <v>27</v>
      </c>
      <c r="Y35" s="93">
        <f t="shared" si="35"/>
        <v>191</v>
      </c>
      <c r="Z35" s="91">
        <f t="shared" si="35"/>
        <v>15500</v>
      </c>
      <c r="AA35" s="91">
        <f>K35</f>
        <v>0</v>
      </c>
      <c r="AB35" s="91">
        <f t="shared" si="36"/>
        <v>15500</v>
      </c>
      <c r="AC35" s="4">
        <f t="shared" si="36"/>
        <v>0</v>
      </c>
      <c r="AD35" s="92">
        <f t="shared" si="36"/>
        <v>574.07407407407402</v>
      </c>
      <c r="AE35" s="80" t="str">
        <f>S35</f>
        <v>계</v>
      </c>
      <c r="AF35" s="80" t="str">
        <f>Q35&amp;"/"&amp;R35</f>
        <v>3/1</v>
      </c>
      <c r="AH35" s="20" t="str">
        <f t="shared" si="1"/>
        <v>신동아</v>
      </c>
      <c r="AI35" s="88">
        <f t="shared" si="0"/>
        <v>27</v>
      </c>
      <c r="AJ35" s="80" t="str">
        <f>IF(AI35="","",$AJ$2)</f>
        <v>A-</v>
      </c>
      <c r="AK35" s="80" t="s">
        <v>13</v>
      </c>
      <c r="AL35" s="80" t="s">
        <v>62</v>
      </c>
      <c r="AM35" s="80" t="s">
        <v>63</v>
      </c>
      <c r="AN35" s="80" t="str">
        <f>IF(AI35="","",$AN$2)</f>
        <v>C</v>
      </c>
      <c r="AO35" s="80" t="str">
        <f>IF(N35="","",IF(N35&gt;=$AO$1/100,"O","X"))</f>
        <v>X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X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X</v>
      </c>
    </row>
    <row r="36" spans="1:48" x14ac:dyDescent="0.3">
      <c r="A36" s="9" t="s">
        <v>404</v>
      </c>
      <c r="B36" s="10" t="s">
        <v>911</v>
      </c>
      <c r="C36" s="89">
        <v>958</v>
      </c>
      <c r="D36" s="87">
        <v>103</v>
      </c>
      <c r="E36" s="88">
        <v>31</v>
      </c>
      <c r="F36" s="87">
        <v>84.8</v>
      </c>
      <c r="G36" s="17">
        <v>26</v>
      </c>
      <c r="H36" s="89">
        <v>544</v>
      </c>
      <c r="I36" s="90">
        <v>16900</v>
      </c>
      <c r="J36" s="90" t="s">
        <v>59</v>
      </c>
      <c r="K36" s="90"/>
      <c r="L36" s="90"/>
      <c r="M36" s="91">
        <f>I36-K36</f>
        <v>16900</v>
      </c>
      <c r="N36" s="4">
        <f>IF(ISERROR(K36/I36),"",K36/I36)</f>
        <v>0</v>
      </c>
      <c r="O36" s="92">
        <f>I36/E36</f>
        <v>545.16129032258061</v>
      </c>
      <c r="P36" s="92">
        <f>K36/E36</f>
        <v>0</v>
      </c>
      <c r="Q36" s="80">
        <v>3</v>
      </c>
      <c r="R36" s="80">
        <v>2</v>
      </c>
      <c r="S36" s="80" t="s">
        <v>61</v>
      </c>
      <c r="T36" s="5">
        <v>103</v>
      </c>
      <c r="U36" s="9"/>
      <c r="W36" s="87">
        <f t="shared" si="34"/>
        <v>103</v>
      </c>
      <c r="X36" s="88">
        <f t="shared" si="34"/>
        <v>31</v>
      </c>
      <c r="Y36" s="93">
        <f t="shared" si="35"/>
        <v>544</v>
      </c>
      <c r="Z36" s="91">
        <f t="shared" si="35"/>
        <v>16900</v>
      </c>
      <c r="AA36" s="91">
        <f>K36</f>
        <v>0</v>
      </c>
      <c r="AB36" s="91">
        <f t="shared" si="36"/>
        <v>16900</v>
      </c>
      <c r="AC36" s="4">
        <f t="shared" si="36"/>
        <v>0</v>
      </c>
      <c r="AD36" s="92">
        <f t="shared" si="36"/>
        <v>545.16129032258061</v>
      </c>
      <c r="AE36" s="80" t="str">
        <f>S36</f>
        <v>계</v>
      </c>
      <c r="AF36" s="80" t="str">
        <f>Q36&amp;"/"&amp;R36</f>
        <v>3/2</v>
      </c>
      <c r="AH36" s="20" t="str">
        <f t="shared" si="1"/>
        <v>신동아</v>
      </c>
      <c r="AI36" s="88">
        <f t="shared" si="0"/>
        <v>31</v>
      </c>
      <c r="AJ36" s="80" t="str">
        <f>IF(AI36="","",$AJ$2)</f>
        <v>A-</v>
      </c>
      <c r="AK36" s="80" t="s">
        <v>13</v>
      </c>
      <c r="AL36" s="80" t="s">
        <v>62</v>
      </c>
      <c r="AM36" s="80" t="s">
        <v>63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O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x14ac:dyDescent="0.3">
      <c r="A37" s="9" t="s">
        <v>404</v>
      </c>
      <c r="B37" s="10" t="s">
        <v>911</v>
      </c>
      <c r="C37" s="89">
        <v>958</v>
      </c>
      <c r="D37" s="87">
        <v>146</v>
      </c>
      <c r="E37" s="88">
        <v>44</v>
      </c>
      <c r="F37" s="87">
        <v>123.8</v>
      </c>
      <c r="G37" s="17">
        <v>37</v>
      </c>
      <c r="H37" s="89">
        <v>178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4</v>
      </c>
      <c r="R37" s="80">
        <v>2</v>
      </c>
      <c r="S37" s="80" t="s">
        <v>61</v>
      </c>
      <c r="T37" s="5">
        <v>145</v>
      </c>
      <c r="U37" s="9"/>
      <c r="W37" s="87">
        <f t="shared" si="34"/>
        <v>146</v>
      </c>
      <c r="X37" s="88">
        <f t="shared" si="34"/>
        <v>44</v>
      </c>
      <c r="Y37" s="93">
        <f t="shared" si="35"/>
        <v>178</v>
      </c>
      <c r="Z37" s="91">
        <f t="shared" si="35"/>
        <v>0</v>
      </c>
      <c r="AA37" s="91">
        <f>K37</f>
        <v>0</v>
      </c>
      <c r="AB37" s="91">
        <f t="shared" si="36"/>
        <v>0</v>
      </c>
      <c r="AC37" s="4" t="str">
        <f t="shared" si="36"/>
        <v/>
      </c>
      <c r="AD37" s="92">
        <f t="shared" si="36"/>
        <v>0</v>
      </c>
      <c r="AE37" s="80" t="str">
        <f>S37</f>
        <v>계</v>
      </c>
      <c r="AF37" s="80" t="str">
        <f>Q37&amp;"/"&amp;R37</f>
        <v>4/2</v>
      </c>
      <c r="AH37" s="20" t="str">
        <f t="shared" si="1"/>
        <v>신동아</v>
      </c>
      <c r="AI37" s="88">
        <f t="shared" si="0"/>
        <v>44</v>
      </c>
      <c r="AJ37" s="80" t="str">
        <f>IF(AI37="","",$AJ$2)</f>
        <v>A-</v>
      </c>
      <c r="AK37" s="80" t="s">
        <v>13</v>
      </c>
      <c r="AL37" s="80" t="s">
        <v>62</v>
      </c>
      <c r="AM37" s="80" t="s">
        <v>63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X</v>
      </c>
      <c r="AU37" s="80" t="str">
        <f>IF(C37="","",IF(C37&gt;=$AU$1,"O","X"))</f>
        <v>O</v>
      </c>
      <c r="AV37" s="80" t="str">
        <f>IF(AO37="","",IF(AND(AO37="O",AP37="O",AR37="O",AT37="O",AU37="O"),"후보","X"))</f>
        <v/>
      </c>
    </row>
    <row r="38" spans="1:48" x14ac:dyDescent="0.3">
      <c r="A38" s="9"/>
      <c r="B38" s="80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8" t="str">
        <f>$A$4&amp;" "&amp;A39&amp;"("&amp;B39&amp;","&amp;C39&amp;"^)"</f>
        <v>사천동 정도드림-빌('99.11.,499^)</v>
      </c>
      <c r="X38" s="69"/>
      <c r="Y38" s="69"/>
      <c r="Z38" s="69"/>
      <c r="AA38" s="69"/>
      <c r="AB38" s="69"/>
      <c r="AC38" s="69"/>
      <c r="AD38" s="69"/>
      <c r="AE38" s="69"/>
      <c r="AF38" s="70"/>
      <c r="AH38" s="20" t="str">
        <f t="shared" si="1"/>
        <v/>
      </c>
      <c r="AI38" s="112" t="str">
        <f t="shared" si="0"/>
        <v/>
      </c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</row>
    <row r="39" spans="1:48" x14ac:dyDescent="0.3">
      <c r="A39" s="9" t="s">
        <v>410</v>
      </c>
      <c r="B39" s="10" t="s">
        <v>912</v>
      </c>
      <c r="C39" s="89">
        <v>499</v>
      </c>
      <c r="D39" s="87">
        <v>41.1</v>
      </c>
      <c r="E39" s="88">
        <v>12</v>
      </c>
      <c r="F39" s="87">
        <v>29.9</v>
      </c>
      <c r="G39" s="17">
        <v>9</v>
      </c>
      <c r="H39" s="89">
        <v>499</v>
      </c>
      <c r="I39" s="90">
        <v>4600</v>
      </c>
      <c r="J39" s="90" t="s">
        <v>68</v>
      </c>
      <c r="K39" s="90"/>
      <c r="L39" s="90"/>
      <c r="M39" s="91">
        <f>I39-K39</f>
        <v>4600</v>
      </c>
      <c r="N39" s="4">
        <f>IF(ISERROR(K39/I39),"",K39/I39)</f>
        <v>0</v>
      </c>
      <c r="O39" s="92">
        <f>I39/E39</f>
        <v>383.33333333333331</v>
      </c>
      <c r="P39" s="92">
        <f>K39/E39</f>
        <v>0</v>
      </c>
      <c r="Q39" s="80">
        <v>1</v>
      </c>
      <c r="R39" s="80">
        <v>1</v>
      </c>
      <c r="S39" s="80" t="s">
        <v>85</v>
      </c>
      <c r="T39" s="5">
        <v>41</v>
      </c>
      <c r="U39" s="9"/>
      <c r="W39" s="87">
        <f>D39</f>
        <v>41.1</v>
      </c>
      <c r="X39" s="88">
        <f>E39</f>
        <v>12</v>
      </c>
      <c r="Y39" s="93">
        <f>H39</f>
        <v>499</v>
      </c>
      <c r="Z39" s="91">
        <f>I39</f>
        <v>4600</v>
      </c>
      <c r="AA39" s="91">
        <f>K39</f>
        <v>0</v>
      </c>
      <c r="AB39" s="91">
        <f>M39</f>
        <v>4600</v>
      </c>
      <c r="AC39" s="4">
        <f>N39</f>
        <v>0</v>
      </c>
      <c r="AD39" s="92">
        <f>O39</f>
        <v>383.33333333333331</v>
      </c>
      <c r="AE39" s="80" t="str">
        <f>S39</f>
        <v>복</v>
      </c>
      <c r="AF39" s="80" t="str">
        <f>Q39&amp;"/"&amp;R39</f>
        <v>1/1</v>
      </c>
      <c r="AH39" s="20" t="str">
        <f t="shared" si="1"/>
        <v>정도드림-빌</v>
      </c>
      <c r="AI39" s="88">
        <f t="shared" si="0"/>
        <v>12</v>
      </c>
      <c r="AJ39" s="80" t="str">
        <f>IF(AI39="","",$AJ$2)</f>
        <v>A-</v>
      </c>
      <c r="AK39" s="80" t="s">
        <v>13</v>
      </c>
      <c r="AL39" s="80" t="s">
        <v>62</v>
      </c>
      <c r="AM39" s="80" t="s">
        <v>63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X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x14ac:dyDescent="0.3">
      <c r="A40" s="9"/>
      <c r="B40" s="80"/>
      <c r="C40" s="6"/>
      <c r="D40" s="9"/>
      <c r="E40" s="14"/>
      <c r="F40" s="87"/>
      <c r="G40" s="9"/>
      <c r="H40" s="9"/>
      <c r="I40" s="9"/>
      <c r="J40" s="9"/>
      <c r="K40" s="9"/>
      <c r="L40" s="9"/>
      <c r="M40" s="9"/>
      <c r="N40" s="9"/>
      <c r="O40" s="92"/>
      <c r="P40" s="92"/>
      <c r="Q40" s="88"/>
      <c r="R40" s="88"/>
      <c r="S40" s="9"/>
      <c r="T40" s="47"/>
      <c r="U40" s="9"/>
      <c r="W40" s="68" t="str">
        <f>$A$4&amp;" "&amp;A41&amp;"("&amp;B41&amp;","&amp;C41&amp;"^)"</f>
        <v>사천동 남광하우스토리B단지('11.01.,478^)</v>
      </c>
      <c r="X40" s="69"/>
      <c r="Y40" s="69"/>
      <c r="Z40" s="69"/>
      <c r="AA40" s="69"/>
      <c r="AB40" s="69"/>
      <c r="AC40" s="69"/>
      <c r="AD40" s="69"/>
      <c r="AE40" s="69"/>
      <c r="AF40" s="70"/>
      <c r="AH40" s="20" t="str">
        <f t="shared" si="1"/>
        <v/>
      </c>
      <c r="AI40" s="112" t="str">
        <f t="shared" si="0"/>
        <v/>
      </c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</row>
    <row r="41" spans="1:48" x14ac:dyDescent="0.3">
      <c r="A41" s="9" t="s">
        <v>428</v>
      </c>
      <c r="B41" s="10" t="s">
        <v>904</v>
      </c>
      <c r="C41" s="89">
        <v>478</v>
      </c>
      <c r="D41" s="87">
        <v>112.8</v>
      </c>
      <c r="E41" s="88">
        <v>34</v>
      </c>
      <c r="F41" s="87">
        <v>84.5</v>
      </c>
      <c r="G41" s="17">
        <v>26</v>
      </c>
      <c r="H41" s="89">
        <v>155</v>
      </c>
      <c r="I41" s="90"/>
      <c r="J41" s="90"/>
      <c r="K41" s="90"/>
      <c r="L41" s="90"/>
      <c r="M41" s="91">
        <f t="shared" ref="M41:M46" si="37">I41-K41</f>
        <v>0</v>
      </c>
      <c r="N41" s="4" t="str">
        <f t="shared" ref="N41:N46" si="38">IF(ISERROR(K41/I41),"",K41/I41)</f>
        <v/>
      </c>
      <c r="O41" s="92">
        <f t="shared" ref="O41:O46" si="39">I41/E41</f>
        <v>0</v>
      </c>
      <c r="P41" s="92">
        <f t="shared" ref="P41:P46" si="40">K41/E41</f>
        <v>0</v>
      </c>
      <c r="Q41" s="80">
        <v>3</v>
      </c>
      <c r="R41" s="80">
        <v>2</v>
      </c>
      <c r="S41" s="80" t="s">
        <v>61</v>
      </c>
      <c r="T41" s="5" t="s">
        <v>87</v>
      </c>
      <c r="U41" s="9"/>
      <c r="W41" s="87">
        <f t="shared" ref="W41:X46" si="41">D41</f>
        <v>112.8</v>
      </c>
      <c r="X41" s="88">
        <f t="shared" si="41"/>
        <v>34</v>
      </c>
      <c r="Y41" s="93">
        <f t="shared" ref="Y41:Z46" si="42">H41</f>
        <v>155</v>
      </c>
      <c r="Z41" s="91">
        <f t="shared" si="42"/>
        <v>0</v>
      </c>
      <c r="AA41" s="91">
        <f t="shared" ref="AA41:AA46" si="43">K41</f>
        <v>0</v>
      </c>
      <c r="AB41" s="91">
        <f t="shared" ref="AB41:AD46" si="44">M41</f>
        <v>0</v>
      </c>
      <c r="AC41" s="4" t="str">
        <f t="shared" si="44"/>
        <v/>
      </c>
      <c r="AD41" s="92">
        <f t="shared" si="44"/>
        <v>0</v>
      </c>
      <c r="AE41" s="80" t="str">
        <f t="shared" ref="AE41:AE46" si="45">S41</f>
        <v>계</v>
      </c>
      <c r="AF41" s="80" t="str">
        <f t="shared" ref="AF41:AF46" si="46">Q41&amp;"/"&amp;R41</f>
        <v>3/2</v>
      </c>
      <c r="AH41" s="20" t="str">
        <f t="shared" si="1"/>
        <v>남광하우스토리B단지</v>
      </c>
      <c r="AI41" s="88">
        <f t="shared" si="0"/>
        <v>34</v>
      </c>
      <c r="AJ41" s="80" t="str">
        <f t="shared" ref="AJ41:AJ46" si="47">IF(AI41="","",$AJ$2)</f>
        <v>A-</v>
      </c>
      <c r="AK41" s="80" t="s">
        <v>13</v>
      </c>
      <c r="AL41" s="80" t="s">
        <v>62</v>
      </c>
      <c r="AM41" s="80" t="s">
        <v>63</v>
      </c>
      <c r="AN41" s="80" t="str">
        <f t="shared" ref="AN41:AN46" si="48">IF(AI41="","",$AN$2)</f>
        <v>C</v>
      </c>
      <c r="AO41" s="80" t="str">
        <f t="shared" ref="AO41:AO46" si="49">IF(N41="","",IF(N41&gt;=$AO$1/100,"O","X"))</f>
        <v/>
      </c>
      <c r="AP41" s="80" t="str">
        <f t="shared" ref="AP41:AP46" si="50">IF(I41="","",IF(I41&lt;=$AP$1,"O","X"))</f>
        <v/>
      </c>
      <c r="AQ41" s="80" t="str">
        <f t="shared" ref="AQ41:AQ46" si="51">IF(O41="","",IF(O41&lt;=$AQ$1,"O","X"))</f>
        <v>O</v>
      </c>
      <c r="AR41" s="80" t="str">
        <f t="shared" ref="AR41:AR46" si="52">IF(M41="","",IF(M41&lt;=$AR$1,"O","X"))</f>
        <v>O</v>
      </c>
      <c r="AS41" s="80" t="s">
        <v>2</v>
      </c>
      <c r="AT41" s="80" t="str">
        <f t="shared" ref="AT41:AT46" si="53">IF(OR(F41="",AI41=""),"",IF(AND((F41&lt;=85),(AI41&gt;=15)),"O","X"))</f>
        <v>O</v>
      </c>
      <c r="AU41" s="80" t="str">
        <f t="shared" ref="AU41:AU46" si="54">IF(C41="","",IF(C41&gt;=$AU$1,"O","X"))</f>
        <v>O</v>
      </c>
      <c r="AV41" s="80" t="str">
        <f t="shared" ref="AV41:AV46" si="55">IF(AO41="","",IF(AND(AO41="O",AP41="O",AR41="O",AT41="O",AU41="O"),"후보","X"))</f>
        <v/>
      </c>
    </row>
    <row r="42" spans="1:48" x14ac:dyDescent="0.3">
      <c r="A42" s="9" t="s">
        <v>428</v>
      </c>
      <c r="B42" s="10" t="s">
        <v>904</v>
      </c>
      <c r="C42" s="89">
        <v>478</v>
      </c>
      <c r="D42" s="87">
        <v>114.3</v>
      </c>
      <c r="E42" s="88">
        <v>35</v>
      </c>
      <c r="F42" s="87">
        <v>84.1</v>
      </c>
      <c r="G42" s="17">
        <v>25</v>
      </c>
      <c r="H42" s="89">
        <v>49</v>
      </c>
      <c r="I42" s="90"/>
      <c r="J42" s="90"/>
      <c r="K42" s="90"/>
      <c r="L42" s="90"/>
      <c r="M42" s="91">
        <f t="shared" si="37"/>
        <v>0</v>
      </c>
      <c r="N42" s="4" t="str">
        <f t="shared" si="38"/>
        <v/>
      </c>
      <c r="O42" s="92">
        <f t="shared" si="39"/>
        <v>0</v>
      </c>
      <c r="P42" s="92">
        <f t="shared" si="40"/>
        <v>0</v>
      </c>
      <c r="Q42" s="80">
        <v>3</v>
      </c>
      <c r="R42" s="80">
        <v>2</v>
      </c>
      <c r="S42" s="80" t="s">
        <v>61</v>
      </c>
      <c r="T42" s="5" t="s">
        <v>78</v>
      </c>
      <c r="U42" s="9"/>
      <c r="W42" s="87">
        <f t="shared" si="41"/>
        <v>114.3</v>
      </c>
      <c r="X42" s="88">
        <f t="shared" si="41"/>
        <v>35</v>
      </c>
      <c r="Y42" s="93">
        <f t="shared" si="42"/>
        <v>49</v>
      </c>
      <c r="Z42" s="91">
        <f t="shared" si="42"/>
        <v>0</v>
      </c>
      <c r="AA42" s="91">
        <f t="shared" si="43"/>
        <v>0</v>
      </c>
      <c r="AB42" s="91">
        <f t="shared" si="44"/>
        <v>0</v>
      </c>
      <c r="AC42" s="4" t="str">
        <f t="shared" si="44"/>
        <v/>
      </c>
      <c r="AD42" s="92">
        <f t="shared" si="44"/>
        <v>0</v>
      </c>
      <c r="AE42" s="80" t="str">
        <f t="shared" si="45"/>
        <v>계</v>
      </c>
      <c r="AF42" s="80" t="str">
        <f t="shared" si="46"/>
        <v>3/2</v>
      </c>
      <c r="AH42" s="20" t="str">
        <f t="shared" si="1"/>
        <v>남광하우스토리B단지</v>
      </c>
      <c r="AI42" s="88">
        <f t="shared" si="0"/>
        <v>35</v>
      </c>
      <c r="AJ42" s="80" t="str">
        <f t="shared" si="47"/>
        <v>A-</v>
      </c>
      <c r="AK42" s="80" t="s">
        <v>13</v>
      </c>
      <c r="AL42" s="80" t="s">
        <v>62</v>
      </c>
      <c r="AM42" s="80" t="s">
        <v>63</v>
      </c>
      <c r="AN42" s="80" t="str">
        <f t="shared" si="48"/>
        <v>C</v>
      </c>
      <c r="AO42" s="80" t="str">
        <f t="shared" si="49"/>
        <v/>
      </c>
      <c r="AP42" s="80" t="str">
        <f t="shared" si="50"/>
        <v/>
      </c>
      <c r="AQ42" s="80" t="str">
        <f t="shared" si="51"/>
        <v>O</v>
      </c>
      <c r="AR42" s="80" t="str">
        <f t="shared" si="52"/>
        <v>O</v>
      </c>
      <c r="AS42" s="80" t="s">
        <v>2</v>
      </c>
      <c r="AT42" s="80" t="str">
        <f t="shared" si="53"/>
        <v>O</v>
      </c>
      <c r="AU42" s="80" t="str">
        <f t="shared" si="54"/>
        <v>O</v>
      </c>
      <c r="AV42" s="80" t="str">
        <f t="shared" si="55"/>
        <v/>
      </c>
    </row>
    <row r="43" spans="1:48" x14ac:dyDescent="0.3">
      <c r="A43" s="9" t="s">
        <v>428</v>
      </c>
      <c r="B43" s="10" t="s">
        <v>904</v>
      </c>
      <c r="C43" s="89">
        <v>478</v>
      </c>
      <c r="D43" s="87">
        <v>130</v>
      </c>
      <c r="E43" s="88">
        <v>39</v>
      </c>
      <c r="F43" s="87">
        <v>102.2</v>
      </c>
      <c r="G43" s="17">
        <v>31</v>
      </c>
      <c r="H43" s="89">
        <v>108</v>
      </c>
      <c r="I43" s="90"/>
      <c r="J43" s="90"/>
      <c r="K43" s="90"/>
      <c r="L43" s="90"/>
      <c r="M43" s="91">
        <f t="shared" si="37"/>
        <v>0</v>
      </c>
      <c r="N43" s="4" t="str">
        <f t="shared" si="38"/>
        <v/>
      </c>
      <c r="O43" s="92">
        <f t="shared" si="39"/>
        <v>0</v>
      </c>
      <c r="P43" s="92">
        <f t="shared" si="40"/>
        <v>0</v>
      </c>
      <c r="Q43" s="80">
        <v>3</v>
      </c>
      <c r="R43" s="80">
        <v>2</v>
      </c>
      <c r="S43" s="80" t="s">
        <v>61</v>
      </c>
      <c r="T43" s="5">
        <v>130</v>
      </c>
      <c r="U43" s="9"/>
      <c r="W43" s="87">
        <f t="shared" si="41"/>
        <v>130</v>
      </c>
      <c r="X43" s="88">
        <f t="shared" si="41"/>
        <v>39</v>
      </c>
      <c r="Y43" s="93">
        <f t="shared" si="42"/>
        <v>108</v>
      </c>
      <c r="Z43" s="91">
        <f t="shared" si="42"/>
        <v>0</v>
      </c>
      <c r="AA43" s="91">
        <f t="shared" si="43"/>
        <v>0</v>
      </c>
      <c r="AB43" s="91">
        <f t="shared" si="44"/>
        <v>0</v>
      </c>
      <c r="AC43" s="4" t="str">
        <f t="shared" si="44"/>
        <v/>
      </c>
      <c r="AD43" s="92">
        <f t="shared" si="44"/>
        <v>0</v>
      </c>
      <c r="AE43" s="80" t="str">
        <f t="shared" si="45"/>
        <v>계</v>
      </c>
      <c r="AF43" s="80" t="str">
        <f t="shared" si="46"/>
        <v>3/2</v>
      </c>
      <c r="AH43" s="20" t="str">
        <f t="shared" si="1"/>
        <v>남광하우스토리B단지</v>
      </c>
      <c r="AI43" s="88">
        <f t="shared" si="0"/>
        <v>39</v>
      </c>
      <c r="AJ43" s="80" t="str">
        <f t="shared" si="47"/>
        <v>A-</v>
      </c>
      <c r="AK43" s="80" t="s">
        <v>13</v>
      </c>
      <c r="AL43" s="80" t="s">
        <v>62</v>
      </c>
      <c r="AM43" s="80" t="s">
        <v>63</v>
      </c>
      <c r="AN43" s="80" t="str">
        <f t="shared" si="48"/>
        <v>C</v>
      </c>
      <c r="AO43" s="80" t="str">
        <f t="shared" si="49"/>
        <v/>
      </c>
      <c r="AP43" s="80" t="str">
        <f t="shared" si="50"/>
        <v/>
      </c>
      <c r="AQ43" s="80" t="str">
        <f t="shared" si="51"/>
        <v>O</v>
      </c>
      <c r="AR43" s="80" t="str">
        <f t="shared" si="52"/>
        <v>O</v>
      </c>
      <c r="AS43" s="80" t="s">
        <v>2</v>
      </c>
      <c r="AT43" s="80" t="str">
        <f t="shared" si="53"/>
        <v>X</v>
      </c>
      <c r="AU43" s="80" t="str">
        <f t="shared" si="54"/>
        <v>O</v>
      </c>
      <c r="AV43" s="80" t="str">
        <f t="shared" si="55"/>
        <v/>
      </c>
    </row>
    <row r="44" spans="1:48" x14ac:dyDescent="0.3">
      <c r="A44" s="9" t="s">
        <v>428</v>
      </c>
      <c r="B44" s="10" t="s">
        <v>904</v>
      </c>
      <c r="C44" s="89">
        <v>478</v>
      </c>
      <c r="D44" s="87">
        <v>154.1</v>
      </c>
      <c r="E44" s="88">
        <v>47</v>
      </c>
      <c r="F44" s="87">
        <v>124.6</v>
      </c>
      <c r="G44" s="17">
        <v>38</v>
      </c>
      <c r="H44" s="89">
        <v>88</v>
      </c>
      <c r="I44" s="90">
        <v>47000</v>
      </c>
      <c r="J44" s="90" t="s">
        <v>69</v>
      </c>
      <c r="K44" s="90">
        <v>35000</v>
      </c>
      <c r="L44" s="90" t="s">
        <v>65</v>
      </c>
      <c r="M44" s="91">
        <f t="shared" si="37"/>
        <v>12000</v>
      </c>
      <c r="N44" s="4">
        <f t="shared" si="38"/>
        <v>0.74468085106382975</v>
      </c>
      <c r="O44" s="92">
        <f t="shared" si="39"/>
        <v>1000</v>
      </c>
      <c r="P44" s="92">
        <f t="shared" si="40"/>
        <v>744.68085106382978</v>
      </c>
      <c r="Q44" s="80">
        <v>4</v>
      </c>
      <c r="R44" s="80">
        <v>2</v>
      </c>
      <c r="S44" s="80" t="s">
        <v>61</v>
      </c>
      <c r="T44" s="5">
        <v>154</v>
      </c>
      <c r="U44" s="9"/>
      <c r="W44" s="87">
        <f t="shared" si="41"/>
        <v>154.1</v>
      </c>
      <c r="X44" s="88">
        <f t="shared" si="41"/>
        <v>47</v>
      </c>
      <c r="Y44" s="93">
        <f t="shared" si="42"/>
        <v>88</v>
      </c>
      <c r="Z44" s="91">
        <f t="shared" si="42"/>
        <v>47000</v>
      </c>
      <c r="AA44" s="91">
        <f t="shared" si="43"/>
        <v>35000</v>
      </c>
      <c r="AB44" s="91">
        <f t="shared" si="44"/>
        <v>12000</v>
      </c>
      <c r="AC44" s="4">
        <f t="shared" si="44"/>
        <v>0.74468085106382975</v>
      </c>
      <c r="AD44" s="92">
        <f t="shared" si="44"/>
        <v>1000</v>
      </c>
      <c r="AE44" s="80" t="str">
        <f t="shared" si="45"/>
        <v>계</v>
      </c>
      <c r="AF44" s="80" t="str">
        <f t="shared" si="46"/>
        <v>4/2</v>
      </c>
      <c r="AH44" s="20" t="str">
        <f t="shared" si="1"/>
        <v>남광하우스토리B단지</v>
      </c>
      <c r="AI44" s="88">
        <f t="shared" si="0"/>
        <v>47</v>
      </c>
      <c r="AJ44" s="80" t="str">
        <f t="shared" si="47"/>
        <v>A-</v>
      </c>
      <c r="AK44" s="80" t="s">
        <v>13</v>
      </c>
      <c r="AL44" s="80" t="s">
        <v>62</v>
      </c>
      <c r="AM44" s="80" t="s">
        <v>63</v>
      </c>
      <c r="AN44" s="80" t="str">
        <f t="shared" si="48"/>
        <v>C</v>
      </c>
      <c r="AO44" s="80" t="str">
        <f t="shared" si="49"/>
        <v>X</v>
      </c>
      <c r="AP44" s="80" t="str">
        <f t="shared" si="50"/>
        <v>X</v>
      </c>
      <c r="AQ44" s="80" t="str">
        <f t="shared" si="51"/>
        <v>O</v>
      </c>
      <c r="AR44" s="80" t="str">
        <f t="shared" si="52"/>
        <v>X</v>
      </c>
      <c r="AS44" s="80" t="s">
        <v>2</v>
      </c>
      <c r="AT44" s="80" t="str">
        <f t="shared" si="53"/>
        <v>X</v>
      </c>
      <c r="AU44" s="80" t="str">
        <f t="shared" si="54"/>
        <v>O</v>
      </c>
      <c r="AV44" s="80" t="str">
        <f t="shared" si="55"/>
        <v>X</v>
      </c>
    </row>
    <row r="45" spans="1:48" x14ac:dyDescent="0.3">
      <c r="A45" s="9" t="s">
        <v>428</v>
      </c>
      <c r="B45" s="10" t="s">
        <v>904</v>
      </c>
      <c r="C45" s="89">
        <v>478</v>
      </c>
      <c r="D45" s="87">
        <v>193.7</v>
      </c>
      <c r="E45" s="88">
        <v>59</v>
      </c>
      <c r="F45" s="87">
        <v>157.4</v>
      </c>
      <c r="G45" s="17">
        <v>48</v>
      </c>
      <c r="H45" s="89">
        <v>72</v>
      </c>
      <c r="I45" s="90">
        <v>60000</v>
      </c>
      <c r="J45" s="90" t="s">
        <v>86</v>
      </c>
      <c r="K45" s="90"/>
      <c r="L45" s="90"/>
      <c r="M45" s="91">
        <f t="shared" si="37"/>
        <v>60000</v>
      </c>
      <c r="N45" s="4">
        <f t="shared" si="38"/>
        <v>0</v>
      </c>
      <c r="O45" s="92">
        <f t="shared" si="39"/>
        <v>1016.9491525423729</v>
      </c>
      <c r="P45" s="92">
        <f t="shared" si="40"/>
        <v>0</v>
      </c>
      <c r="Q45" s="80">
        <v>4</v>
      </c>
      <c r="R45" s="80">
        <v>2</v>
      </c>
      <c r="S45" s="80" t="s">
        <v>61</v>
      </c>
      <c r="T45" s="5">
        <v>193</v>
      </c>
      <c r="U45" s="9"/>
      <c r="W45" s="87">
        <f t="shared" si="41"/>
        <v>193.7</v>
      </c>
      <c r="X45" s="88">
        <f t="shared" si="41"/>
        <v>59</v>
      </c>
      <c r="Y45" s="93">
        <f t="shared" si="42"/>
        <v>72</v>
      </c>
      <c r="Z45" s="91">
        <f t="shared" si="42"/>
        <v>60000</v>
      </c>
      <c r="AA45" s="91">
        <f t="shared" si="43"/>
        <v>0</v>
      </c>
      <c r="AB45" s="91">
        <f t="shared" si="44"/>
        <v>60000</v>
      </c>
      <c r="AC45" s="4">
        <f t="shared" si="44"/>
        <v>0</v>
      </c>
      <c r="AD45" s="92">
        <f t="shared" si="44"/>
        <v>1016.9491525423729</v>
      </c>
      <c r="AE45" s="80" t="str">
        <f t="shared" si="45"/>
        <v>계</v>
      </c>
      <c r="AF45" s="80" t="str">
        <f t="shared" si="46"/>
        <v>4/2</v>
      </c>
      <c r="AH45" s="20" t="str">
        <f t="shared" si="1"/>
        <v>남광하우스토리B단지</v>
      </c>
      <c r="AI45" s="88">
        <f t="shared" si="0"/>
        <v>59</v>
      </c>
      <c r="AJ45" s="80" t="str">
        <f t="shared" si="47"/>
        <v>A-</v>
      </c>
      <c r="AK45" s="80" t="s">
        <v>13</v>
      </c>
      <c r="AL45" s="80" t="s">
        <v>62</v>
      </c>
      <c r="AM45" s="80" t="s">
        <v>63</v>
      </c>
      <c r="AN45" s="80" t="str">
        <f t="shared" si="48"/>
        <v>C</v>
      </c>
      <c r="AO45" s="80" t="str">
        <f t="shared" si="49"/>
        <v>X</v>
      </c>
      <c r="AP45" s="80" t="str">
        <f t="shared" si="50"/>
        <v>X</v>
      </c>
      <c r="AQ45" s="80" t="str">
        <f t="shared" si="51"/>
        <v>X</v>
      </c>
      <c r="AR45" s="80" t="str">
        <f t="shared" si="52"/>
        <v>X</v>
      </c>
      <c r="AS45" s="80" t="s">
        <v>2</v>
      </c>
      <c r="AT45" s="80" t="str">
        <f t="shared" si="53"/>
        <v>X</v>
      </c>
      <c r="AU45" s="80" t="str">
        <f t="shared" si="54"/>
        <v>O</v>
      </c>
      <c r="AV45" s="80" t="str">
        <f t="shared" si="55"/>
        <v>X</v>
      </c>
    </row>
    <row r="46" spans="1:48" x14ac:dyDescent="0.3">
      <c r="A46" s="9" t="s">
        <v>428</v>
      </c>
      <c r="B46" s="10" t="s">
        <v>904</v>
      </c>
      <c r="C46" s="89">
        <v>478</v>
      </c>
      <c r="D46" s="87">
        <v>229.7</v>
      </c>
      <c r="E46" s="88">
        <v>69</v>
      </c>
      <c r="F46" s="87">
        <v>183.3</v>
      </c>
      <c r="G46" s="17">
        <v>55</v>
      </c>
      <c r="H46" s="89">
        <v>6</v>
      </c>
      <c r="I46" s="90"/>
      <c r="J46" s="90"/>
      <c r="K46" s="90"/>
      <c r="L46" s="90"/>
      <c r="M46" s="91">
        <f t="shared" si="37"/>
        <v>0</v>
      </c>
      <c r="N46" s="4" t="str">
        <f t="shared" si="38"/>
        <v/>
      </c>
      <c r="O46" s="92">
        <f t="shared" si="39"/>
        <v>0</v>
      </c>
      <c r="P46" s="92">
        <f t="shared" si="40"/>
        <v>0</v>
      </c>
      <c r="Q46" s="80">
        <v>5</v>
      </c>
      <c r="R46" s="80">
        <v>3</v>
      </c>
      <c r="S46" s="80" t="s">
        <v>61</v>
      </c>
      <c r="T46" s="5">
        <v>229</v>
      </c>
      <c r="U46" s="9"/>
      <c r="W46" s="87">
        <f t="shared" si="41"/>
        <v>229.7</v>
      </c>
      <c r="X46" s="88">
        <f t="shared" si="41"/>
        <v>69</v>
      </c>
      <c r="Y46" s="93">
        <f t="shared" si="42"/>
        <v>6</v>
      </c>
      <c r="Z46" s="91">
        <f t="shared" si="42"/>
        <v>0</v>
      </c>
      <c r="AA46" s="91">
        <f t="shared" si="43"/>
        <v>0</v>
      </c>
      <c r="AB46" s="91">
        <f t="shared" si="44"/>
        <v>0</v>
      </c>
      <c r="AC46" s="4" t="str">
        <f t="shared" si="44"/>
        <v/>
      </c>
      <c r="AD46" s="92">
        <f t="shared" si="44"/>
        <v>0</v>
      </c>
      <c r="AE46" s="80" t="str">
        <f t="shared" si="45"/>
        <v>계</v>
      </c>
      <c r="AF46" s="80" t="str">
        <f t="shared" si="46"/>
        <v>5/3</v>
      </c>
      <c r="AH46" s="20" t="str">
        <f t="shared" si="1"/>
        <v>남광하우스토리B단지</v>
      </c>
      <c r="AI46" s="88">
        <f t="shared" si="0"/>
        <v>69</v>
      </c>
      <c r="AJ46" s="80" t="str">
        <f t="shared" si="47"/>
        <v>A-</v>
      </c>
      <c r="AK46" s="80" t="s">
        <v>13</v>
      </c>
      <c r="AL46" s="80" t="s">
        <v>62</v>
      </c>
      <c r="AM46" s="80" t="s">
        <v>63</v>
      </c>
      <c r="AN46" s="80" t="str">
        <f t="shared" si="48"/>
        <v>C</v>
      </c>
      <c r="AO46" s="80" t="str">
        <f t="shared" si="49"/>
        <v/>
      </c>
      <c r="AP46" s="80" t="str">
        <f t="shared" si="50"/>
        <v/>
      </c>
      <c r="AQ46" s="80" t="str">
        <f t="shared" si="51"/>
        <v>O</v>
      </c>
      <c r="AR46" s="80" t="str">
        <f t="shared" si="52"/>
        <v>O</v>
      </c>
      <c r="AS46" s="80" t="s">
        <v>2</v>
      </c>
      <c r="AT46" s="80" t="str">
        <f t="shared" si="53"/>
        <v>X</v>
      </c>
      <c r="AU46" s="80" t="str">
        <f t="shared" si="54"/>
        <v>O</v>
      </c>
      <c r="AV46" s="80" t="str">
        <f t="shared" si="55"/>
        <v/>
      </c>
    </row>
  </sheetData>
  <mergeCells count="1">
    <mergeCell ref="AJ1:AN1"/>
  </mergeCells>
  <phoneticPr fontId="2" type="noConversion"/>
  <conditionalFormatting sqref="AV4:AV6">
    <cfRule type="expression" dxfId="3693" priority="668">
      <formula>AV4="X"</formula>
    </cfRule>
    <cfRule type="expression" dxfId="3692" priority="669">
      <formula>AV4="후보"</formula>
    </cfRule>
  </conditionalFormatting>
  <conditionalFormatting sqref="AC1:AC2 AC4:AC6 N4:N5">
    <cfRule type="cellIs" dxfId="3691" priority="665" operator="greaterThan">
      <formula>0.9</formula>
    </cfRule>
    <cfRule type="cellIs" dxfId="3690" priority="666" operator="greaterThan">
      <formula>0.85</formula>
    </cfRule>
  </conditionalFormatting>
  <conditionalFormatting sqref="N1:N2">
    <cfRule type="cellIs" dxfId="3689" priority="663" operator="greaterThan">
      <formula>0.9</formula>
    </cfRule>
    <cfRule type="cellIs" dxfId="3688" priority="664" operator="greaterThan">
      <formula>0.85</formula>
    </cfRule>
  </conditionalFormatting>
  <conditionalFormatting sqref="N6">
    <cfRule type="cellIs" dxfId="3687" priority="661" operator="greaterThan">
      <formula>0.9</formula>
    </cfRule>
    <cfRule type="cellIs" dxfId="3686" priority="662" operator="greaterThan">
      <formula>0.85</formula>
    </cfRule>
  </conditionalFormatting>
  <conditionalFormatting sqref="E6">
    <cfRule type="expression" dxfId="3685" priority="657">
      <formula>AND(IF(OR($Q6=1,$Q6=2),1,0),IF($X6&lt;=20,1,0))</formula>
    </cfRule>
    <cfRule type="expression" dxfId="3684" priority="658">
      <formula>AND(IF($Q6=2,1,0),IF($X6&lt;30,1,0))</formula>
    </cfRule>
    <cfRule type="expression" dxfId="3683" priority="659">
      <formula>AND(IF($Q6=3,1,0),IF($X6&lt;30,1,0))</formula>
    </cfRule>
    <cfRule type="expression" dxfId="3682" priority="660">
      <formula>AND(IF($Q6=3,1,IF($Q6=4,1,0)),IF($F6&lt;=85,1,0))</formula>
    </cfRule>
  </conditionalFormatting>
  <conditionalFormatting sqref="X6">
    <cfRule type="expression" dxfId="3681" priority="653">
      <formula>AND(IF(OR($Q6=1,$Q6=2),1,0),IF($X6&lt;=20,1,0))</formula>
    </cfRule>
    <cfRule type="expression" dxfId="3680" priority="654">
      <formula>AND(IF($Q6=2,1,0),IF($X6&lt;30,1,0))</formula>
    </cfRule>
    <cfRule type="expression" dxfId="3679" priority="655">
      <formula>AND(IF($Q6=3,1,0),IF($X6&lt;30,1,0))</formula>
    </cfRule>
    <cfRule type="expression" dxfId="3678" priority="656">
      <formula>AND(IF($Q6=3,1,IF($Q6=4,1,0)),IF($F6&lt;=85,1,0))</formula>
    </cfRule>
  </conditionalFormatting>
  <conditionalFormatting sqref="AI6">
    <cfRule type="expression" dxfId="3677" priority="649">
      <formula>AND(IF(OR($Q6=1,$Q6=2),1,0),IF($X6&lt;=20,1,0))</formula>
    </cfRule>
    <cfRule type="expression" dxfId="3676" priority="650">
      <formula>AND(IF($Q6=2,1,0),IF($X6&lt;30,1,0))</formula>
    </cfRule>
    <cfRule type="expression" dxfId="3675" priority="651">
      <formula>AND(IF($Q6=3,1,0),IF($X6&lt;30,1,0))</formula>
    </cfRule>
    <cfRule type="expression" dxfId="3674" priority="652">
      <formula>AND(IF($Q6=3,1,IF($Q6=4,1,0)),IF($F6&lt;=85,1,0))</formula>
    </cfRule>
  </conditionalFormatting>
  <conditionalFormatting sqref="AV7">
    <cfRule type="expression" dxfId="3673" priority="647">
      <formula>AV7="X"</formula>
    </cfRule>
    <cfRule type="expression" dxfId="3672" priority="648">
      <formula>AV7="후보"</formula>
    </cfRule>
  </conditionalFormatting>
  <conditionalFormatting sqref="AC7">
    <cfRule type="cellIs" dxfId="3671" priority="644" operator="greaterThan">
      <formula>0.9</formula>
    </cfRule>
    <cfRule type="cellIs" dxfId="3670" priority="645" operator="greaterThan">
      <formula>0.85</formula>
    </cfRule>
  </conditionalFormatting>
  <conditionalFormatting sqref="N7">
    <cfRule type="cellIs" dxfId="3669" priority="642" operator="greaterThan">
      <formula>0.9</formula>
    </cfRule>
    <cfRule type="cellIs" dxfId="3668" priority="643" operator="greaterThan">
      <formula>0.85</formula>
    </cfRule>
  </conditionalFormatting>
  <conditionalFormatting sqref="E7">
    <cfRule type="expression" dxfId="3667" priority="638">
      <formula>AND(IF(OR($Q7=1,$Q7=2),1,0),IF($X7&lt;=20,1,0))</formula>
    </cfRule>
    <cfRule type="expression" dxfId="3666" priority="639">
      <formula>AND(IF($Q7=2,1,0),IF($X7&lt;30,1,0))</formula>
    </cfRule>
    <cfRule type="expression" dxfId="3665" priority="640">
      <formula>AND(IF($Q7=3,1,0),IF($X7&lt;30,1,0))</formula>
    </cfRule>
    <cfRule type="expression" dxfId="3664" priority="641">
      <formula>AND(IF($Q7=3,1,IF($Q7=4,1,0)),IF($F7&lt;=85,1,0))</formula>
    </cfRule>
  </conditionalFormatting>
  <conditionalFormatting sqref="X7">
    <cfRule type="expression" dxfId="3663" priority="634">
      <formula>AND(IF(OR($Q7=1,$Q7=2),1,0),IF($X7&lt;=20,1,0))</formula>
    </cfRule>
    <cfRule type="expression" dxfId="3662" priority="635">
      <formula>AND(IF($Q7=2,1,0),IF($X7&lt;30,1,0))</formula>
    </cfRule>
    <cfRule type="expression" dxfId="3661" priority="636">
      <formula>AND(IF($Q7=3,1,0),IF($X7&lt;30,1,0))</formula>
    </cfRule>
    <cfRule type="expression" dxfId="3660" priority="637">
      <formula>AND(IF($Q7=3,1,IF($Q7=4,1,0)),IF($F7&lt;=85,1,0))</formula>
    </cfRule>
  </conditionalFormatting>
  <conditionalFormatting sqref="AI7">
    <cfRule type="expression" dxfId="3659" priority="630">
      <formula>AND(IF(OR($Q7=1,$Q7=2),1,0),IF($X7&lt;=20,1,0))</formula>
    </cfRule>
    <cfRule type="expression" dxfId="3658" priority="631">
      <formula>AND(IF($Q7=2,1,0),IF($X7&lt;30,1,0))</formula>
    </cfRule>
    <cfRule type="expression" dxfId="3657" priority="632">
      <formula>AND(IF($Q7=3,1,0),IF($X7&lt;30,1,0))</formula>
    </cfRule>
    <cfRule type="expression" dxfId="3656" priority="633">
      <formula>AND(IF($Q7=3,1,IF($Q7=4,1,0)),IF($F7&lt;=85,1,0))</formula>
    </cfRule>
  </conditionalFormatting>
  <conditionalFormatting sqref="AV8">
    <cfRule type="expression" dxfId="3655" priority="628">
      <formula>AV8="X"</formula>
    </cfRule>
    <cfRule type="expression" dxfId="3654" priority="629">
      <formula>AV8="후보"</formula>
    </cfRule>
  </conditionalFormatting>
  <conditionalFormatting sqref="AC8">
    <cfRule type="cellIs" dxfId="3653" priority="625" operator="greaterThan">
      <formula>0.9</formula>
    </cfRule>
    <cfRule type="cellIs" dxfId="3652" priority="626" operator="greaterThan">
      <formula>0.85</formula>
    </cfRule>
  </conditionalFormatting>
  <conditionalFormatting sqref="N8">
    <cfRule type="cellIs" dxfId="3651" priority="623" operator="greaterThan">
      <formula>0.9</formula>
    </cfRule>
    <cfRule type="cellIs" dxfId="3650" priority="624" operator="greaterThan">
      <formula>0.85</formula>
    </cfRule>
  </conditionalFormatting>
  <conditionalFormatting sqref="E8">
    <cfRule type="expression" dxfId="3649" priority="619">
      <formula>AND(IF(OR($Q8=1,$Q8=2),1,0),IF($X8&lt;=20,1,0))</formula>
    </cfRule>
    <cfRule type="expression" dxfId="3648" priority="620">
      <formula>AND(IF($Q8=2,1,0),IF($X8&lt;30,1,0))</formula>
    </cfRule>
    <cfRule type="expression" dxfId="3647" priority="621">
      <formula>AND(IF($Q8=3,1,0),IF($X8&lt;30,1,0))</formula>
    </cfRule>
    <cfRule type="expression" dxfId="3646" priority="622">
      <formula>AND(IF($Q8=3,1,IF($Q8=4,1,0)),IF($F8&lt;=85,1,0))</formula>
    </cfRule>
  </conditionalFormatting>
  <conditionalFormatting sqref="X8">
    <cfRule type="expression" dxfId="3645" priority="615">
      <formula>AND(IF(OR($Q8=1,$Q8=2),1,0),IF($X8&lt;=20,1,0))</formula>
    </cfRule>
    <cfRule type="expression" dxfId="3644" priority="616">
      <formula>AND(IF($Q8=2,1,0),IF($X8&lt;30,1,0))</formula>
    </cfRule>
    <cfRule type="expression" dxfId="3643" priority="617">
      <formula>AND(IF($Q8=3,1,0),IF($X8&lt;30,1,0))</formula>
    </cfRule>
    <cfRule type="expression" dxfId="3642" priority="618">
      <formula>AND(IF($Q8=3,1,IF($Q8=4,1,0)),IF($F8&lt;=85,1,0))</formula>
    </cfRule>
  </conditionalFormatting>
  <conditionalFormatting sqref="AI8">
    <cfRule type="expression" dxfId="3641" priority="611">
      <formula>AND(IF(OR($Q8=1,$Q8=2),1,0),IF($X8&lt;=20,1,0))</formula>
    </cfRule>
    <cfRule type="expression" dxfId="3640" priority="612">
      <formula>AND(IF($Q8=2,1,0),IF($X8&lt;30,1,0))</formula>
    </cfRule>
    <cfRule type="expression" dxfId="3639" priority="613">
      <formula>AND(IF($Q8=3,1,0),IF($X8&lt;30,1,0))</formula>
    </cfRule>
    <cfRule type="expression" dxfId="3638" priority="614">
      <formula>AND(IF($Q8=3,1,IF($Q8=4,1,0)),IF($F8&lt;=85,1,0))</formula>
    </cfRule>
  </conditionalFormatting>
  <conditionalFormatting sqref="AV9">
    <cfRule type="expression" dxfId="3637" priority="609">
      <formula>AV9="X"</formula>
    </cfRule>
    <cfRule type="expression" dxfId="3636" priority="610">
      <formula>AV9="후보"</formula>
    </cfRule>
  </conditionalFormatting>
  <conditionalFormatting sqref="AC9">
    <cfRule type="cellIs" dxfId="3635" priority="606" operator="greaterThan">
      <formula>0.9</formula>
    </cfRule>
    <cfRule type="cellIs" dxfId="3634" priority="607" operator="greaterThan">
      <formula>0.85</formula>
    </cfRule>
  </conditionalFormatting>
  <conditionalFormatting sqref="N9">
    <cfRule type="cellIs" dxfId="3633" priority="604" operator="greaterThan">
      <formula>0.9</formula>
    </cfRule>
    <cfRule type="cellIs" dxfId="3632" priority="605" operator="greaterThan">
      <formula>0.85</formula>
    </cfRule>
  </conditionalFormatting>
  <conditionalFormatting sqref="E9">
    <cfRule type="expression" dxfId="3631" priority="600">
      <formula>AND(IF(OR($Q9=1,$Q9=2),1,0),IF($X9&lt;=20,1,0))</formula>
    </cfRule>
    <cfRule type="expression" dxfId="3630" priority="601">
      <formula>AND(IF($Q9=2,1,0),IF($X9&lt;30,1,0))</formula>
    </cfRule>
    <cfRule type="expression" dxfId="3629" priority="602">
      <formula>AND(IF($Q9=3,1,0),IF($X9&lt;30,1,0))</formula>
    </cfRule>
    <cfRule type="expression" dxfId="3628" priority="603">
      <formula>AND(IF($Q9=3,1,IF($Q9=4,1,0)),IF($F9&lt;=85,1,0))</formula>
    </cfRule>
  </conditionalFormatting>
  <conditionalFormatting sqref="X9">
    <cfRule type="expression" dxfId="3627" priority="596">
      <formula>AND(IF(OR($Q9=1,$Q9=2),1,0),IF($X9&lt;=20,1,0))</formula>
    </cfRule>
    <cfRule type="expression" dxfId="3626" priority="597">
      <formula>AND(IF($Q9=2,1,0),IF($X9&lt;30,1,0))</formula>
    </cfRule>
    <cfRule type="expression" dxfId="3625" priority="598">
      <formula>AND(IF($Q9=3,1,0),IF($X9&lt;30,1,0))</formula>
    </cfRule>
    <cfRule type="expression" dxfId="3624" priority="599">
      <formula>AND(IF($Q9=3,1,IF($Q9=4,1,0)),IF($F9&lt;=85,1,0))</formula>
    </cfRule>
  </conditionalFormatting>
  <conditionalFormatting sqref="AI9">
    <cfRule type="expression" dxfId="3623" priority="592">
      <formula>AND(IF(OR($Q9=1,$Q9=2),1,0),IF($X9&lt;=20,1,0))</formula>
    </cfRule>
    <cfRule type="expression" dxfId="3622" priority="593">
      <formula>AND(IF($Q9=2,1,0),IF($X9&lt;30,1,0))</formula>
    </cfRule>
    <cfRule type="expression" dxfId="3621" priority="594">
      <formula>AND(IF($Q9=3,1,0),IF($X9&lt;30,1,0))</formula>
    </cfRule>
    <cfRule type="expression" dxfId="3620" priority="595">
      <formula>AND(IF($Q9=3,1,IF($Q9=4,1,0)),IF($F9&lt;=85,1,0))</formula>
    </cfRule>
  </conditionalFormatting>
  <conditionalFormatting sqref="AV10">
    <cfRule type="expression" dxfId="3619" priority="590">
      <formula>AV10="X"</formula>
    </cfRule>
    <cfRule type="expression" dxfId="3618" priority="591">
      <formula>AV10="후보"</formula>
    </cfRule>
  </conditionalFormatting>
  <conditionalFormatting sqref="AC10">
    <cfRule type="cellIs" dxfId="3617" priority="587" operator="greaterThan">
      <formula>0.9</formula>
    </cfRule>
    <cfRule type="cellIs" dxfId="3616" priority="588" operator="greaterThan">
      <formula>0.85</formula>
    </cfRule>
  </conditionalFormatting>
  <conditionalFormatting sqref="N10">
    <cfRule type="cellIs" dxfId="3615" priority="585" operator="greaterThan">
      <formula>0.9</formula>
    </cfRule>
    <cfRule type="cellIs" dxfId="3614" priority="586" operator="greaterThan">
      <formula>0.85</formula>
    </cfRule>
  </conditionalFormatting>
  <conditionalFormatting sqref="E10">
    <cfRule type="expression" dxfId="3613" priority="581">
      <formula>AND(IF(OR($Q10=1,$Q10=2),1,0),IF($X10&lt;=20,1,0))</formula>
    </cfRule>
    <cfRule type="expression" dxfId="3612" priority="582">
      <formula>AND(IF($Q10=2,1,0),IF($X10&lt;30,1,0))</formula>
    </cfRule>
    <cfRule type="expression" dxfId="3611" priority="583">
      <formula>AND(IF($Q10=3,1,0),IF($X10&lt;30,1,0))</formula>
    </cfRule>
    <cfRule type="expression" dxfId="3610" priority="584">
      <formula>AND(IF($Q10=3,1,IF($Q10=4,1,0)),IF($F10&lt;=85,1,0))</formula>
    </cfRule>
  </conditionalFormatting>
  <conditionalFormatting sqref="X10">
    <cfRule type="expression" dxfId="3609" priority="577">
      <formula>AND(IF(OR($Q10=1,$Q10=2),1,0),IF($X10&lt;=20,1,0))</formula>
    </cfRule>
    <cfRule type="expression" dxfId="3608" priority="578">
      <formula>AND(IF($Q10=2,1,0),IF($X10&lt;30,1,0))</formula>
    </cfRule>
    <cfRule type="expression" dxfId="3607" priority="579">
      <formula>AND(IF($Q10=3,1,0),IF($X10&lt;30,1,0))</formula>
    </cfRule>
    <cfRule type="expression" dxfId="3606" priority="580">
      <formula>AND(IF($Q10=3,1,IF($Q10=4,1,0)),IF($F10&lt;=85,1,0))</formula>
    </cfRule>
  </conditionalFormatting>
  <conditionalFormatting sqref="AI10">
    <cfRule type="expression" dxfId="3605" priority="573">
      <formula>AND(IF(OR($Q10=1,$Q10=2),1,0),IF($X10&lt;=20,1,0))</formula>
    </cfRule>
    <cfRule type="expression" dxfId="3604" priority="574">
      <formula>AND(IF($Q10=2,1,0),IF($X10&lt;30,1,0))</formula>
    </cfRule>
    <cfRule type="expression" dxfId="3603" priority="575">
      <formula>AND(IF($Q10=3,1,0),IF($X10&lt;30,1,0))</formula>
    </cfRule>
    <cfRule type="expression" dxfId="3602" priority="576">
      <formula>AND(IF($Q10=3,1,IF($Q10=4,1,0)),IF($F10&lt;=85,1,0))</formula>
    </cfRule>
  </conditionalFormatting>
  <conditionalFormatting sqref="AV11">
    <cfRule type="expression" dxfId="3601" priority="571">
      <formula>AV11="X"</formula>
    </cfRule>
    <cfRule type="expression" dxfId="3600" priority="572">
      <formula>AV11="후보"</formula>
    </cfRule>
  </conditionalFormatting>
  <conditionalFormatting sqref="AC11">
    <cfRule type="cellIs" dxfId="3599" priority="568" operator="greaterThan">
      <formula>0.9</formula>
    </cfRule>
    <cfRule type="cellIs" dxfId="3598" priority="569" operator="greaterThan">
      <formula>0.85</formula>
    </cfRule>
  </conditionalFormatting>
  <conditionalFormatting sqref="N11">
    <cfRule type="cellIs" dxfId="3597" priority="566" operator="greaterThan">
      <formula>0.9</formula>
    </cfRule>
    <cfRule type="cellIs" dxfId="3596" priority="567" operator="greaterThan">
      <formula>0.85</formula>
    </cfRule>
  </conditionalFormatting>
  <conditionalFormatting sqref="E11">
    <cfRule type="expression" dxfId="3595" priority="562">
      <formula>AND(IF(OR($Q11=1,$Q11=2),1,0),IF($X11&lt;=20,1,0))</formula>
    </cfRule>
    <cfRule type="expression" dxfId="3594" priority="563">
      <formula>AND(IF($Q11=2,1,0),IF($X11&lt;30,1,0))</formula>
    </cfRule>
    <cfRule type="expression" dxfId="3593" priority="564">
      <formula>AND(IF($Q11=3,1,0),IF($X11&lt;30,1,0))</formula>
    </cfRule>
    <cfRule type="expression" dxfId="3592" priority="565">
      <formula>AND(IF($Q11=3,1,IF($Q11=4,1,0)),IF($F11&lt;=85,1,0))</formula>
    </cfRule>
  </conditionalFormatting>
  <conditionalFormatting sqref="X11">
    <cfRule type="expression" dxfId="3591" priority="558">
      <formula>AND(IF(OR($Q11=1,$Q11=2),1,0),IF($X11&lt;=20,1,0))</formula>
    </cfRule>
    <cfRule type="expression" dxfId="3590" priority="559">
      <formula>AND(IF($Q11=2,1,0),IF($X11&lt;30,1,0))</formula>
    </cfRule>
    <cfRule type="expression" dxfId="3589" priority="560">
      <formula>AND(IF($Q11=3,1,0),IF($X11&lt;30,1,0))</formula>
    </cfRule>
    <cfRule type="expression" dxfId="3588" priority="561">
      <formula>AND(IF($Q11=3,1,IF($Q11=4,1,0)),IF($F11&lt;=85,1,0))</formula>
    </cfRule>
  </conditionalFormatting>
  <conditionalFormatting sqref="AI11">
    <cfRule type="expression" dxfId="3587" priority="554">
      <formula>AND(IF(OR($Q11=1,$Q11=2),1,0),IF($X11&lt;=20,1,0))</formula>
    </cfRule>
    <cfRule type="expression" dxfId="3586" priority="555">
      <formula>AND(IF($Q11=2,1,0),IF($X11&lt;30,1,0))</formula>
    </cfRule>
    <cfRule type="expression" dxfId="3585" priority="556">
      <formula>AND(IF($Q11=3,1,0),IF($X11&lt;30,1,0))</formula>
    </cfRule>
    <cfRule type="expression" dxfId="3584" priority="557">
      <formula>AND(IF($Q11=3,1,IF($Q11=4,1,0)),IF($F11&lt;=85,1,0))</formula>
    </cfRule>
  </conditionalFormatting>
  <conditionalFormatting sqref="AV12">
    <cfRule type="expression" dxfId="3583" priority="552">
      <formula>AV12="X"</formula>
    </cfRule>
    <cfRule type="expression" dxfId="3582" priority="553">
      <formula>AV12="후보"</formula>
    </cfRule>
  </conditionalFormatting>
  <conditionalFormatting sqref="AC12 N12">
    <cfRule type="cellIs" dxfId="3581" priority="549" operator="greaterThan">
      <formula>0.9</formula>
    </cfRule>
    <cfRule type="cellIs" dxfId="3580" priority="550" operator="greaterThan">
      <formula>0.85</formula>
    </cfRule>
  </conditionalFormatting>
  <conditionalFormatting sqref="AV13">
    <cfRule type="expression" dxfId="3579" priority="547">
      <formula>AV13="X"</formula>
    </cfRule>
    <cfRule type="expression" dxfId="3578" priority="548">
      <formula>AV13="후보"</formula>
    </cfRule>
  </conditionalFormatting>
  <conditionalFormatting sqref="AC13">
    <cfRule type="cellIs" dxfId="3577" priority="544" operator="greaterThan">
      <formula>0.9</formula>
    </cfRule>
    <cfRule type="cellIs" dxfId="3576" priority="545" operator="greaterThan">
      <formula>0.85</formula>
    </cfRule>
  </conditionalFormatting>
  <conditionalFormatting sqref="N13">
    <cfRule type="cellIs" dxfId="3575" priority="542" operator="greaterThan">
      <formula>0.9</formula>
    </cfRule>
    <cfRule type="cellIs" dxfId="3574" priority="543" operator="greaterThan">
      <formula>0.85</formula>
    </cfRule>
  </conditionalFormatting>
  <conditionalFormatting sqref="E13">
    <cfRule type="expression" dxfId="3573" priority="538">
      <formula>AND(IF(OR($Q13=1,$Q13=2),1,0),IF($X13&lt;=20,1,0))</formula>
    </cfRule>
    <cfRule type="expression" dxfId="3572" priority="539">
      <formula>AND(IF($Q13=2,1,0),IF($X13&lt;30,1,0))</formula>
    </cfRule>
    <cfRule type="expression" dxfId="3571" priority="540">
      <formula>AND(IF($Q13=3,1,0),IF($X13&lt;30,1,0))</formula>
    </cfRule>
    <cfRule type="expression" dxfId="3570" priority="541">
      <formula>AND(IF($Q13=3,1,IF($Q13=4,1,0)),IF($F13&lt;=85,1,0))</formula>
    </cfRule>
  </conditionalFormatting>
  <conditionalFormatting sqref="X13">
    <cfRule type="expression" dxfId="3569" priority="534">
      <formula>AND(IF(OR($Q13=1,$Q13=2),1,0),IF($X13&lt;=20,1,0))</formula>
    </cfRule>
    <cfRule type="expression" dxfId="3568" priority="535">
      <formula>AND(IF($Q13=2,1,0),IF($X13&lt;30,1,0))</formula>
    </cfRule>
    <cfRule type="expression" dxfId="3567" priority="536">
      <formula>AND(IF($Q13=3,1,0),IF($X13&lt;30,1,0))</formula>
    </cfRule>
    <cfRule type="expression" dxfId="3566" priority="537">
      <formula>AND(IF($Q13=3,1,IF($Q13=4,1,0)),IF($F13&lt;=85,1,0))</formula>
    </cfRule>
  </conditionalFormatting>
  <conditionalFormatting sqref="AI13">
    <cfRule type="expression" dxfId="3565" priority="530">
      <formula>AND(IF(OR($Q13=1,$Q13=2),1,0),IF($X13&lt;=20,1,0))</formula>
    </cfRule>
    <cfRule type="expression" dxfId="3564" priority="531">
      <formula>AND(IF($Q13=2,1,0),IF($X13&lt;30,1,0))</formula>
    </cfRule>
    <cfRule type="expression" dxfId="3563" priority="532">
      <formula>AND(IF($Q13=3,1,0),IF($X13&lt;30,1,0))</formula>
    </cfRule>
    <cfRule type="expression" dxfId="3562" priority="533">
      <formula>AND(IF($Q13=3,1,IF($Q13=4,1,0)),IF($F13&lt;=85,1,0))</formula>
    </cfRule>
  </conditionalFormatting>
  <conditionalFormatting sqref="AV14">
    <cfRule type="expression" dxfId="3561" priority="528">
      <formula>AV14="X"</formula>
    </cfRule>
    <cfRule type="expression" dxfId="3560" priority="529">
      <formula>AV14="후보"</formula>
    </cfRule>
  </conditionalFormatting>
  <conditionalFormatting sqref="AC14">
    <cfRule type="cellIs" dxfId="3559" priority="525" operator="greaterThan">
      <formula>0.9</formula>
    </cfRule>
    <cfRule type="cellIs" dxfId="3558" priority="526" operator="greaterThan">
      <formula>0.85</formula>
    </cfRule>
  </conditionalFormatting>
  <conditionalFormatting sqref="N14">
    <cfRule type="cellIs" dxfId="3557" priority="523" operator="greaterThan">
      <formula>0.9</formula>
    </cfRule>
    <cfRule type="cellIs" dxfId="3556" priority="524" operator="greaterThan">
      <formula>0.85</formula>
    </cfRule>
  </conditionalFormatting>
  <conditionalFormatting sqref="E14">
    <cfRule type="expression" dxfId="3555" priority="519">
      <formula>AND(IF(OR($Q14=1,$Q14=2),1,0),IF($X14&lt;=20,1,0))</formula>
    </cfRule>
    <cfRule type="expression" dxfId="3554" priority="520">
      <formula>AND(IF($Q14=2,1,0),IF($X14&lt;30,1,0))</formula>
    </cfRule>
    <cfRule type="expression" dxfId="3553" priority="521">
      <formula>AND(IF($Q14=3,1,0),IF($X14&lt;30,1,0))</formula>
    </cfRule>
    <cfRule type="expression" dxfId="3552" priority="522">
      <formula>AND(IF($Q14=3,1,IF($Q14=4,1,0)),IF($F14&lt;=85,1,0))</formula>
    </cfRule>
  </conditionalFormatting>
  <conditionalFormatting sqref="X14">
    <cfRule type="expression" dxfId="3551" priority="515">
      <formula>AND(IF(OR($Q14=1,$Q14=2),1,0),IF($X14&lt;=20,1,0))</formula>
    </cfRule>
    <cfRule type="expression" dxfId="3550" priority="516">
      <formula>AND(IF($Q14=2,1,0),IF($X14&lt;30,1,0))</formula>
    </cfRule>
    <cfRule type="expression" dxfId="3549" priority="517">
      <formula>AND(IF($Q14=3,1,0),IF($X14&lt;30,1,0))</formula>
    </cfRule>
    <cfRule type="expression" dxfId="3548" priority="518">
      <formula>AND(IF($Q14=3,1,IF($Q14=4,1,0)),IF($F14&lt;=85,1,0))</formula>
    </cfRule>
  </conditionalFormatting>
  <conditionalFormatting sqref="AI14">
    <cfRule type="expression" dxfId="3547" priority="511">
      <formula>AND(IF(OR($Q14=1,$Q14=2),1,0),IF($X14&lt;=20,1,0))</formula>
    </cfRule>
    <cfRule type="expression" dxfId="3546" priority="512">
      <formula>AND(IF($Q14=2,1,0),IF($X14&lt;30,1,0))</formula>
    </cfRule>
    <cfRule type="expression" dxfId="3545" priority="513">
      <formula>AND(IF($Q14=3,1,0),IF($X14&lt;30,1,0))</formula>
    </cfRule>
    <cfRule type="expression" dxfId="3544" priority="514">
      <formula>AND(IF($Q14=3,1,IF($Q14=4,1,0)),IF($F14&lt;=85,1,0))</formula>
    </cfRule>
  </conditionalFormatting>
  <conditionalFormatting sqref="AV15">
    <cfRule type="expression" dxfId="3543" priority="509">
      <formula>AV15="X"</formula>
    </cfRule>
    <cfRule type="expression" dxfId="3542" priority="510">
      <formula>AV15="후보"</formula>
    </cfRule>
  </conditionalFormatting>
  <conditionalFormatting sqref="AC15">
    <cfRule type="cellIs" dxfId="3541" priority="506" operator="greaterThan">
      <formula>0.9</formula>
    </cfRule>
    <cfRule type="cellIs" dxfId="3540" priority="507" operator="greaterThan">
      <formula>0.85</formula>
    </cfRule>
  </conditionalFormatting>
  <conditionalFormatting sqref="N15">
    <cfRule type="cellIs" dxfId="3539" priority="504" operator="greaterThan">
      <formula>0.9</formula>
    </cfRule>
    <cfRule type="cellIs" dxfId="3538" priority="505" operator="greaterThan">
      <formula>0.85</formula>
    </cfRule>
  </conditionalFormatting>
  <conditionalFormatting sqref="E15">
    <cfRule type="expression" dxfId="3537" priority="500">
      <formula>AND(IF(OR($Q15=1,$Q15=2),1,0),IF($X15&lt;=20,1,0))</formula>
    </cfRule>
    <cfRule type="expression" dxfId="3536" priority="501">
      <formula>AND(IF($Q15=2,1,0),IF($X15&lt;30,1,0))</formula>
    </cfRule>
    <cfRule type="expression" dxfId="3535" priority="502">
      <formula>AND(IF($Q15=3,1,0),IF($X15&lt;30,1,0))</formula>
    </cfRule>
    <cfRule type="expression" dxfId="3534" priority="503">
      <formula>AND(IF($Q15=3,1,IF($Q15=4,1,0)),IF($F15&lt;=85,1,0))</formula>
    </cfRule>
  </conditionalFormatting>
  <conditionalFormatting sqref="X15">
    <cfRule type="expression" dxfId="3533" priority="496">
      <formula>AND(IF(OR($Q15=1,$Q15=2),1,0),IF($X15&lt;=20,1,0))</formula>
    </cfRule>
    <cfRule type="expression" dxfId="3532" priority="497">
      <formula>AND(IF($Q15=2,1,0),IF($X15&lt;30,1,0))</formula>
    </cfRule>
    <cfRule type="expression" dxfId="3531" priority="498">
      <formula>AND(IF($Q15=3,1,0),IF($X15&lt;30,1,0))</formula>
    </cfRule>
    <cfRule type="expression" dxfId="3530" priority="499">
      <formula>AND(IF($Q15=3,1,IF($Q15=4,1,0)),IF($F15&lt;=85,1,0))</formula>
    </cfRule>
  </conditionalFormatting>
  <conditionalFormatting sqref="AI15">
    <cfRule type="expression" dxfId="3529" priority="492">
      <formula>AND(IF(OR($Q15=1,$Q15=2),1,0),IF($X15&lt;=20,1,0))</formula>
    </cfRule>
    <cfRule type="expression" dxfId="3528" priority="493">
      <formula>AND(IF($Q15=2,1,0),IF($X15&lt;30,1,0))</formula>
    </cfRule>
    <cfRule type="expression" dxfId="3527" priority="494">
      <formula>AND(IF($Q15=3,1,0),IF($X15&lt;30,1,0))</formula>
    </cfRule>
    <cfRule type="expression" dxfId="3526" priority="495">
      <formula>AND(IF($Q15=3,1,IF($Q15=4,1,0)),IF($F15&lt;=85,1,0))</formula>
    </cfRule>
  </conditionalFormatting>
  <conditionalFormatting sqref="AV16">
    <cfRule type="expression" dxfId="3525" priority="490">
      <formula>AV16="X"</formula>
    </cfRule>
    <cfRule type="expression" dxfId="3524" priority="491">
      <formula>AV16="후보"</formula>
    </cfRule>
  </conditionalFormatting>
  <conditionalFormatting sqref="AC16">
    <cfRule type="cellIs" dxfId="3523" priority="487" operator="greaterThan">
      <formula>0.9</formula>
    </cfRule>
    <cfRule type="cellIs" dxfId="3522" priority="488" operator="greaterThan">
      <formula>0.85</formula>
    </cfRule>
  </conditionalFormatting>
  <conditionalFormatting sqref="N16">
    <cfRule type="cellIs" dxfId="3521" priority="485" operator="greaterThan">
      <formula>0.9</formula>
    </cfRule>
    <cfRule type="cellIs" dxfId="3520" priority="486" operator="greaterThan">
      <formula>0.85</formula>
    </cfRule>
  </conditionalFormatting>
  <conditionalFormatting sqref="E16">
    <cfRule type="expression" dxfId="3519" priority="481">
      <formula>AND(IF(OR($Q16=1,$Q16=2),1,0),IF($X16&lt;=20,1,0))</formula>
    </cfRule>
    <cfRule type="expression" dxfId="3518" priority="482">
      <formula>AND(IF($Q16=2,1,0),IF($X16&lt;30,1,0))</formula>
    </cfRule>
    <cfRule type="expression" dxfId="3517" priority="483">
      <formula>AND(IF($Q16=3,1,0),IF($X16&lt;30,1,0))</formula>
    </cfRule>
    <cfRule type="expression" dxfId="3516" priority="484">
      <formula>AND(IF($Q16=3,1,IF($Q16=4,1,0)),IF($F16&lt;=85,1,0))</formula>
    </cfRule>
  </conditionalFormatting>
  <conditionalFormatting sqref="X16">
    <cfRule type="expression" dxfId="3515" priority="477">
      <formula>AND(IF(OR($Q16=1,$Q16=2),1,0),IF($X16&lt;=20,1,0))</formula>
    </cfRule>
    <cfRule type="expression" dxfId="3514" priority="478">
      <formula>AND(IF($Q16=2,1,0),IF($X16&lt;30,1,0))</formula>
    </cfRule>
    <cfRule type="expression" dxfId="3513" priority="479">
      <formula>AND(IF($Q16=3,1,0),IF($X16&lt;30,1,0))</formula>
    </cfRule>
    <cfRule type="expression" dxfId="3512" priority="480">
      <formula>AND(IF($Q16=3,1,IF($Q16=4,1,0)),IF($F16&lt;=85,1,0))</formula>
    </cfRule>
  </conditionalFormatting>
  <conditionalFormatting sqref="AI16">
    <cfRule type="expression" dxfId="3511" priority="473">
      <formula>AND(IF(OR($Q16=1,$Q16=2),1,0),IF($X16&lt;=20,1,0))</formula>
    </cfRule>
    <cfRule type="expression" dxfId="3510" priority="474">
      <formula>AND(IF($Q16=2,1,0),IF($X16&lt;30,1,0))</formula>
    </cfRule>
    <cfRule type="expression" dxfId="3509" priority="475">
      <formula>AND(IF($Q16=3,1,0),IF($X16&lt;30,1,0))</formula>
    </cfRule>
    <cfRule type="expression" dxfId="3508" priority="476">
      <formula>AND(IF($Q16=3,1,IF($Q16=4,1,0)),IF($F16&lt;=85,1,0))</formula>
    </cfRule>
  </conditionalFormatting>
  <conditionalFormatting sqref="AV17">
    <cfRule type="expression" dxfId="3507" priority="471">
      <formula>AV17="X"</formula>
    </cfRule>
    <cfRule type="expression" dxfId="3506" priority="472">
      <formula>AV17="후보"</formula>
    </cfRule>
  </conditionalFormatting>
  <conditionalFormatting sqref="AC17 N17">
    <cfRule type="cellIs" dxfId="3505" priority="468" operator="greaterThan">
      <formula>0.9</formula>
    </cfRule>
    <cfRule type="cellIs" dxfId="3504" priority="469" operator="greaterThan">
      <formula>0.85</formula>
    </cfRule>
  </conditionalFormatting>
  <conditionalFormatting sqref="AV18">
    <cfRule type="expression" dxfId="3503" priority="466">
      <formula>AV18="X"</formula>
    </cfRule>
    <cfRule type="expression" dxfId="3502" priority="467">
      <formula>AV18="후보"</formula>
    </cfRule>
  </conditionalFormatting>
  <conditionalFormatting sqref="AC18">
    <cfRule type="cellIs" dxfId="3501" priority="463" operator="greaterThan">
      <formula>0.9</formula>
    </cfRule>
    <cfRule type="cellIs" dxfId="3500" priority="464" operator="greaterThan">
      <formula>0.85</formula>
    </cfRule>
  </conditionalFormatting>
  <conditionalFormatting sqref="N18">
    <cfRule type="cellIs" dxfId="3499" priority="461" operator="greaterThan">
      <formula>0.9</formula>
    </cfRule>
    <cfRule type="cellIs" dxfId="3498" priority="462" operator="greaterThan">
      <formula>0.85</formula>
    </cfRule>
  </conditionalFormatting>
  <conditionalFormatting sqref="E18">
    <cfRule type="expression" dxfId="3497" priority="457">
      <formula>AND(IF(OR($Q18=1,$Q18=2),1,0),IF($X18&lt;=20,1,0))</formula>
    </cfRule>
    <cfRule type="expression" dxfId="3496" priority="458">
      <formula>AND(IF($Q18=2,1,0),IF($X18&lt;30,1,0))</formula>
    </cfRule>
    <cfRule type="expression" dxfId="3495" priority="459">
      <formula>AND(IF($Q18=3,1,0),IF($X18&lt;30,1,0))</formula>
    </cfRule>
    <cfRule type="expression" dxfId="3494" priority="460">
      <formula>AND(IF($Q18=3,1,IF($Q18=4,1,0)),IF($F18&lt;=85,1,0))</formula>
    </cfRule>
  </conditionalFormatting>
  <conditionalFormatting sqref="X18">
    <cfRule type="expression" dxfId="3493" priority="453">
      <formula>AND(IF(OR($Q18=1,$Q18=2),1,0),IF($X18&lt;=20,1,0))</formula>
    </cfRule>
    <cfRule type="expression" dxfId="3492" priority="454">
      <formula>AND(IF($Q18=2,1,0),IF($X18&lt;30,1,0))</formula>
    </cfRule>
    <cfRule type="expression" dxfId="3491" priority="455">
      <formula>AND(IF($Q18=3,1,0),IF($X18&lt;30,1,0))</formula>
    </cfRule>
    <cfRule type="expression" dxfId="3490" priority="456">
      <formula>AND(IF($Q18=3,1,IF($Q18=4,1,0)),IF($F18&lt;=85,1,0))</formula>
    </cfRule>
  </conditionalFormatting>
  <conditionalFormatting sqref="AI18">
    <cfRule type="expression" dxfId="3489" priority="449">
      <formula>AND(IF(OR($Q18=1,$Q18=2),1,0),IF($X18&lt;=20,1,0))</formula>
    </cfRule>
    <cfRule type="expression" dxfId="3488" priority="450">
      <formula>AND(IF($Q18=2,1,0),IF($X18&lt;30,1,0))</formula>
    </cfRule>
    <cfRule type="expression" dxfId="3487" priority="451">
      <formula>AND(IF($Q18=3,1,0),IF($X18&lt;30,1,0))</formula>
    </cfRule>
    <cfRule type="expression" dxfId="3486" priority="452">
      <formula>AND(IF($Q18=3,1,IF($Q18=4,1,0)),IF($F18&lt;=85,1,0))</formula>
    </cfRule>
  </conditionalFormatting>
  <conditionalFormatting sqref="AV19">
    <cfRule type="expression" dxfId="3485" priority="447">
      <formula>AV19="X"</formula>
    </cfRule>
    <cfRule type="expression" dxfId="3484" priority="448">
      <formula>AV19="후보"</formula>
    </cfRule>
  </conditionalFormatting>
  <conditionalFormatting sqref="AC19">
    <cfRule type="cellIs" dxfId="3483" priority="444" operator="greaterThan">
      <formula>0.9</formula>
    </cfRule>
    <cfRule type="cellIs" dxfId="3482" priority="445" operator="greaterThan">
      <formula>0.85</formula>
    </cfRule>
  </conditionalFormatting>
  <conditionalFormatting sqref="N19">
    <cfRule type="cellIs" dxfId="3481" priority="442" operator="greaterThan">
      <formula>0.9</formula>
    </cfRule>
    <cfRule type="cellIs" dxfId="3480" priority="443" operator="greaterThan">
      <formula>0.85</formula>
    </cfRule>
  </conditionalFormatting>
  <conditionalFormatting sqref="E19">
    <cfRule type="expression" dxfId="3479" priority="438">
      <formula>AND(IF(OR($Q19=1,$Q19=2),1,0),IF($X19&lt;=20,1,0))</formula>
    </cfRule>
    <cfRule type="expression" dxfId="3478" priority="439">
      <formula>AND(IF($Q19=2,1,0),IF($X19&lt;30,1,0))</formula>
    </cfRule>
    <cfRule type="expression" dxfId="3477" priority="440">
      <formula>AND(IF($Q19=3,1,0),IF($X19&lt;30,1,0))</formula>
    </cfRule>
    <cfRule type="expression" dxfId="3476" priority="441">
      <formula>AND(IF($Q19=3,1,IF($Q19=4,1,0)),IF($F19&lt;=85,1,0))</formula>
    </cfRule>
  </conditionalFormatting>
  <conditionalFormatting sqref="X19">
    <cfRule type="expression" dxfId="3475" priority="434">
      <formula>AND(IF(OR($Q19=1,$Q19=2),1,0),IF($X19&lt;=20,1,0))</formula>
    </cfRule>
    <cfRule type="expression" dxfId="3474" priority="435">
      <formula>AND(IF($Q19=2,1,0),IF($X19&lt;30,1,0))</formula>
    </cfRule>
    <cfRule type="expression" dxfId="3473" priority="436">
      <formula>AND(IF($Q19=3,1,0),IF($X19&lt;30,1,0))</formula>
    </cfRule>
    <cfRule type="expression" dxfId="3472" priority="437">
      <formula>AND(IF($Q19=3,1,IF($Q19=4,1,0)),IF($F19&lt;=85,1,0))</formula>
    </cfRule>
  </conditionalFormatting>
  <conditionalFormatting sqref="AI19">
    <cfRule type="expression" dxfId="3471" priority="430">
      <formula>AND(IF(OR($Q19=1,$Q19=2),1,0),IF($X19&lt;=20,1,0))</formula>
    </cfRule>
    <cfRule type="expression" dxfId="3470" priority="431">
      <formula>AND(IF($Q19=2,1,0),IF($X19&lt;30,1,0))</formula>
    </cfRule>
    <cfRule type="expression" dxfId="3469" priority="432">
      <formula>AND(IF($Q19=3,1,0),IF($X19&lt;30,1,0))</formula>
    </cfRule>
    <cfRule type="expression" dxfId="3468" priority="433">
      <formula>AND(IF($Q19=3,1,IF($Q19=4,1,0)),IF($F19&lt;=85,1,0))</formula>
    </cfRule>
  </conditionalFormatting>
  <conditionalFormatting sqref="AV20">
    <cfRule type="expression" dxfId="3467" priority="428">
      <formula>AV20="X"</formula>
    </cfRule>
    <cfRule type="expression" dxfId="3466" priority="429">
      <formula>AV20="후보"</formula>
    </cfRule>
  </conditionalFormatting>
  <conditionalFormatting sqref="AC20 N20">
    <cfRule type="cellIs" dxfId="3465" priority="425" operator="greaterThan">
      <formula>0.9</formula>
    </cfRule>
    <cfRule type="cellIs" dxfId="3464" priority="426" operator="greaterThan">
      <formula>0.85</formula>
    </cfRule>
  </conditionalFormatting>
  <conditionalFormatting sqref="AV21">
    <cfRule type="expression" dxfId="3463" priority="423">
      <formula>AV21="X"</formula>
    </cfRule>
    <cfRule type="expression" dxfId="3462" priority="424">
      <formula>AV21="후보"</formula>
    </cfRule>
  </conditionalFormatting>
  <conditionalFormatting sqref="AC21">
    <cfRule type="cellIs" dxfId="3461" priority="420" operator="greaterThan">
      <formula>0.9</formula>
    </cfRule>
    <cfRule type="cellIs" dxfId="3460" priority="421" operator="greaterThan">
      <formula>0.85</formula>
    </cfRule>
  </conditionalFormatting>
  <conditionalFormatting sqref="N21">
    <cfRule type="cellIs" dxfId="3459" priority="418" operator="greaterThan">
      <formula>0.9</formula>
    </cfRule>
    <cfRule type="cellIs" dxfId="3458" priority="419" operator="greaterThan">
      <formula>0.85</formula>
    </cfRule>
  </conditionalFormatting>
  <conditionalFormatting sqref="E21">
    <cfRule type="expression" dxfId="3457" priority="414">
      <formula>AND(IF(OR($Q21=1,$Q21=2),1,0),IF($X21&lt;=20,1,0))</formula>
    </cfRule>
    <cfRule type="expression" dxfId="3456" priority="415">
      <formula>AND(IF($Q21=2,1,0),IF($X21&lt;30,1,0))</formula>
    </cfRule>
    <cfRule type="expression" dxfId="3455" priority="416">
      <formula>AND(IF($Q21=3,1,0),IF($X21&lt;30,1,0))</formula>
    </cfRule>
    <cfRule type="expression" dxfId="3454" priority="417">
      <formula>AND(IF($Q21=3,1,IF($Q21=4,1,0)),IF($F21&lt;=85,1,0))</formula>
    </cfRule>
  </conditionalFormatting>
  <conditionalFormatting sqref="X21">
    <cfRule type="expression" dxfId="3453" priority="410">
      <formula>AND(IF(OR($Q21=1,$Q21=2),1,0),IF($X21&lt;=20,1,0))</formula>
    </cfRule>
    <cfRule type="expression" dxfId="3452" priority="411">
      <formula>AND(IF($Q21=2,1,0),IF($X21&lt;30,1,0))</formula>
    </cfRule>
    <cfRule type="expression" dxfId="3451" priority="412">
      <formula>AND(IF($Q21=3,1,0),IF($X21&lt;30,1,0))</formula>
    </cfRule>
    <cfRule type="expression" dxfId="3450" priority="413">
      <formula>AND(IF($Q21=3,1,IF($Q21=4,1,0)),IF($F21&lt;=85,1,0))</formula>
    </cfRule>
  </conditionalFormatting>
  <conditionalFormatting sqref="AI21">
    <cfRule type="expression" dxfId="3449" priority="406">
      <formula>AND(IF(OR($Q21=1,$Q21=2),1,0),IF($X21&lt;=20,1,0))</formula>
    </cfRule>
    <cfRule type="expression" dxfId="3448" priority="407">
      <formula>AND(IF($Q21=2,1,0),IF($X21&lt;30,1,0))</formula>
    </cfRule>
    <cfRule type="expression" dxfId="3447" priority="408">
      <formula>AND(IF($Q21=3,1,0),IF($X21&lt;30,1,0))</formula>
    </cfRule>
    <cfRule type="expression" dxfId="3446" priority="409">
      <formula>AND(IF($Q21=3,1,IF($Q21=4,1,0)),IF($F21&lt;=85,1,0))</formula>
    </cfRule>
  </conditionalFormatting>
  <conditionalFormatting sqref="AV22">
    <cfRule type="expression" dxfId="3445" priority="404">
      <formula>AV22="X"</formula>
    </cfRule>
    <cfRule type="expression" dxfId="3444" priority="405">
      <formula>AV22="후보"</formula>
    </cfRule>
  </conditionalFormatting>
  <conditionalFormatting sqref="AC22">
    <cfRule type="cellIs" dxfId="3443" priority="401" operator="greaterThan">
      <formula>0.9</formula>
    </cfRule>
    <cfRule type="cellIs" dxfId="3442" priority="402" operator="greaterThan">
      <formula>0.85</formula>
    </cfRule>
  </conditionalFormatting>
  <conditionalFormatting sqref="N22">
    <cfRule type="cellIs" dxfId="3441" priority="399" operator="greaterThan">
      <formula>0.9</formula>
    </cfRule>
    <cfRule type="cellIs" dxfId="3440" priority="400" operator="greaterThan">
      <formula>0.85</formula>
    </cfRule>
  </conditionalFormatting>
  <conditionalFormatting sqref="E22">
    <cfRule type="expression" dxfId="3439" priority="395">
      <formula>AND(IF(OR($Q22=1,$Q22=2),1,0),IF($X22&lt;=20,1,0))</formula>
    </cfRule>
    <cfRule type="expression" dxfId="3438" priority="396">
      <formula>AND(IF($Q22=2,1,0),IF($X22&lt;30,1,0))</formula>
    </cfRule>
    <cfRule type="expression" dxfId="3437" priority="397">
      <formula>AND(IF($Q22=3,1,0),IF($X22&lt;30,1,0))</formula>
    </cfRule>
    <cfRule type="expression" dxfId="3436" priority="398">
      <formula>AND(IF($Q22=3,1,IF($Q22=4,1,0)),IF($F22&lt;=85,1,0))</formula>
    </cfRule>
  </conditionalFormatting>
  <conditionalFormatting sqref="X22">
    <cfRule type="expression" dxfId="3435" priority="391">
      <formula>AND(IF(OR($Q22=1,$Q22=2),1,0),IF($X22&lt;=20,1,0))</formula>
    </cfRule>
    <cfRule type="expression" dxfId="3434" priority="392">
      <formula>AND(IF($Q22=2,1,0),IF($X22&lt;30,1,0))</formula>
    </cfRule>
    <cfRule type="expression" dxfId="3433" priority="393">
      <formula>AND(IF($Q22=3,1,0),IF($X22&lt;30,1,0))</formula>
    </cfRule>
    <cfRule type="expression" dxfId="3432" priority="394">
      <formula>AND(IF($Q22=3,1,IF($Q22=4,1,0)),IF($F22&lt;=85,1,0))</formula>
    </cfRule>
  </conditionalFormatting>
  <conditionalFormatting sqref="AI22">
    <cfRule type="expression" dxfId="3431" priority="387">
      <formula>AND(IF(OR($Q22=1,$Q22=2),1,0),IF($X22&lt;=20,1,0))</formula>
    </cfRule>
    <cfRule type="expression" dxfId="3430" priority="388">
      <formula>AND(IF($Q22=2,1,0),IF($X22&lt;30,1,0))</formula>
    </cfRule>
    <cfRule type="expression" dxfId="3429" priority="389">
      <formula>AND(IF($Q22=3,1,0),IF($X22&lt;30,1,0))</formula>
    </cfRule>
    <cfRule type="expression" dxfId="3428" priority="390">
      <formula>AND(IF($Q22=3,1,IF($Q22=4,1,0)),IF($F22&lt;=85,1,0))</formula>
    </cfRule>
  </conditionalFormatting>
  <conditionalFormatting sqref="AV23">
    <cfRule type="expression" dxfId="3427" priority="385">
      <formula>AV23="X"</formula>
    </cfRule>
    <cfRule type="expression" dxfId="3426" priority="386">
      <formula>AV23="후보"</formula>
    </cfRule>
  </conditionalFormatting>
  <conditionalFormatting sqref="AC23">
    <cfRule type="cellIs" dxfId="3425" priority="382" operator="greaterThan">
      <formula>0.9</formula>
    </cfRule>
    <cfRule type="cellIs" dxfId="3424" priority="383" operator="greaterThan">
      <formula>0.85</formula>
    </cfRule>
  </conditionalFormatting>
  <conditionalFormatting sqref="N23">
    <cfRule type="cellIs" dxfId="3423" priority="380" operator="greaterThan">
      <formula>0.9</formula>
    </cfRule>
    <cfRule type="cellIs" dxfId="3422" priority="381" operator="greaterThan">
      <formula>0.85</formula>
    </cfRule>
  </conditionalFormatting>
  <conditionalFormatting sqref="E23">
    <cfRule type="expression" dxfId="3421" priority="376">
      <formula>AND(IF(OR($Q23=1,$Q23=2),1,0),IF($X23&lt;=20,1,0))</formula>
    </cfRule>
    <cfRule type="expression" dxfId="3420" priority="377">
      <formula>AND(IF($Q23=2,1,0),IF($X23&lt;30,1,0))</formula>
    </cfRule>
    <cfRule type="expression" dxfId="3419" priority="378">
      <formula>AND(IF($Q23=3,1,0),IF($X23&lt;30,1,0))</formula>
    </cfRule>
    <cfRule type="expression" dxfId="3418" priority="379">
      <formula>AND(IF($Q23=3,1,IF($Q23=4,1,0)),IF($F23&lt;=85,1,0))</formula>
    </cfRule>
  </conditionalFormatting>
  <conditionalFormatting sqref="X23">
    <cfRule type="expression" dxfId="3417" priority="372">
      <formula>AND(IF(OR($Q23=1,$Q23=2),1,0),IF($X23&lt;=20,1,0))</formula>
    </cfRule>
    <cfRule type="expression" dxfId="3416" priority="373">
      <formula>AND(IF($Q23=2,1,0),IF($X23&lt;30,1,0))</formula>
    </cfRule>
    <cfRule type="expression" dxfId="3415" priority="374">
      <formula>AND(IF($Q23=3,1,0),IF($X23&lt;30,1,0))</formula>
    </cfRule>
    <cfRule type="expression" dxfId="3414" priority="375">
      <formula>AND(IF($Q23=3,1,IF($Q23=4,1,0)),IF($F23&lt;=85,1,0))</formula>
    </cfRule>
  </conditionalFormatting>
  <conditionalFormatting sqref="AI23">
    <cfRule type="expression" dxfId="3413" priority="368">
      <formula>AND(IF(OR($Q23=1,$Q23=2),1,0),IF($X23&lt;=20,1,0))</formula>
    </cfRule>
    <cfRule type="expression" dxfId="3412" priority="369">
      <formula>AND(IF($Q23=2,1,0),IF($X23&lt;30,1,0))</formula>
    </cfRule>
    <cfRule type="expression" dxfId="3411" priority="370">
      <formula>AND(IF($Q23=3,1,0),IF($X23&lt;30,1,0))</formula>
    </cfRule>
    <cfRule type="expression" dxfId="3410" priority="371">
      <formula>AND(IF($Q23=3,1,IF($Q23=4,1,0)),IF($F23&lt;=85,1,0))</formula>
    </cfRule>
  </conditionalFormatting>
  <conditionalFormatting sqref="AV24">
    <cfRule type="expression" dxfId="3409" priority="366">
      <formula>AV24="X"</formula>
    </cfRule>
    <cfRule type="expression" dxfId="3408" priority="367">
      <formula>AV24="후보"</formula>
    </cfRule>
  </conditionalFormatting>
  <conditionalFormatting sqref="AC24">
    <cfRule type="cellIs" dxfId="3407" priority="363" operator="greaterThan">
      <formula>0.9</formula>
    </cfRule>
    <cfRule type="cellIs" dxfId="3406" priority="364" operator="greaterThan">
      <formula>0.85</formula>
    </cfRule>
  </conditionalFormatting>
  <conditionalFormatting sqref="N24">
    <cfRule type="cellIs" dxfId="3405" priority="361" operator="greaterThan">
      <formula>0.9</formula>
    </cfRule>
    <cfRule type="cellIs" dxfId="3404" priority="362" operator="greaterThan">
      <formula>0.85</formula>
    </cfRule>
  </conditionalFormatting>
  <conditionalFormatting sqref="E24">
    <cfRule type="expression" dxfId="3403" priority="357">
      <formula>AND(IF(OR($Q24=1,$Q24=2),1,0),IF($X24&lt;=20,1,0))</formula>
    </cfRule>
    <cfRule type="expression" dxfId="3402" priority="358">
      <formula>AND(IF($Q24=2,1,0),IF($X24&lt;30,1,0))</formula>
    </cfRule>
    <cfRule type="expression" dxfId="3401" priority="359">
      <formula>AND(IF($Q24=3,1,0),IF($X24&lt;30,1,0))</formula>
    </cfRule>
    <cfRule type="expression" dxfId="3400" priority="360">
      <formula>AND(IF($Q24=3,1,IF($Q24=4,1,0)),IF($F24&lt;=85,1,0))</formula>
    </cfRule>
  </conditionalFormatting>
  <conditionalFormatting sqref="X24">
    <cfRule type="expression" dxfId="3399" priority="353">
      <formula>AND(IF(OR($Q24=1,$Q24=2),1,0),IF($X24&lt;=20,1,0))</formula>
    </cfRule>
    <cfRule type="expression" dxfId="3398" priority="354">
      <formula>AND(IF($Q24=2,1,0),IF($X24&lt;30,1,0))</formula>
    </cfRule>
    <cfRule type="expression" dxfId="3397" priority="355">
      <formula>AND(IF($Q24=3,1,0),IF($X24&lt;30,1,0))</formula>
    </cfRule>
    <cfRule type="expression" dxfId="3396" priority="356">
      <formula>AND(IF($Q24=3,1,IF($Q24=4,1,0)),IF($F24&lt;=85,1,0))</formula>
    </cfRule>
  </conditionalFormatting>
  <conditionalFormatting sqref="AI24">
    <cfRule type="expression" dxfId="3395" priority="349">
      <formula>AND(IF(OR($Q24=1,$Q24=2),1,0),IF($X24&lt;=20,1,0))</formula>
    </cfRule>
    <cfRule type="expression" dxfId="3394" priority="350">
      <formula>AND(IF($Q24=2,1,0),IF($X24&lt;30,1,0))</formula>
    </cfRule>
    <cfRule type="expression" dxfId="3393" priority="351">
      <formula>AND(IF($Q24=3,1,0),IF($X24&lt;30,1,0))</formula>
    </cfRule>
    <cfRule type="expression" dxfId="3392" priority="352">
      <formula>AND(IF($Q24=3,1,IF($Q24=4,1,0)),IF($F24&lt;=85,1,0))</formula>
    </cfRule>
  </conditionalFormatting>
  <conditionalFormatting sqref="AV25">
    <cfRule type="expression" dxfId="3391" priority="347">
      <formula>AV25="X"</formula>
    </cfRule>
    <cfRule type="expression" dxfId="3390" priority="348">
      <formula>AV25="후보"</formula>
    </cfRule>
  </conditionalFormatting>
  <conditionalFormatting sqref="AC25 N25">
    <cfRule type="cellIs" dxfId="3389" priority="344" operator="greaterThan">
      <formula>0.9</formula>
    </cfRule>
    <cfRule type="cellIs" dxfId="3388" priority="345" operator="greaterThan">
      <formula>0.85</formula>
    </cfRule>
  </conditionalFormatting>
  <conditionalFormatting sqref="AV26">
    <cfRule type="expression" dxfId="3387" priority="342">
      <formula>AV26="X"</formula>
    </cfRule>
    <cfRule type="expression" dxfId="3386" priority="343">
      <formula>AV26="후보"</formula>
    </cfRule>
  </conditionalFormatting>
  <conditionalFormatting sqref="AC26">
    <cfRule type="cellIs" dxfId="3385" priority="339" operator="greaterThan">
      <formula>0.9</formula>
    </cfRule>
    <cfRule type="cellIs" dxfId="3384" priority="340" operator="greaterThan">
      <formula>0.85</formula>
    </cfRule>
  </conditionalFormatting>
  <conditionalFormatting sqref="N26">
    <cfRule type="cellIs" dxfId="3383" priority="337" operator="greaterThan">
      <formula>0.9</formula>
    </cfRule>
    <cfRule type="cellIs" dxfId="3382" priority="338" operator="greaterThan">
      <formula>0.85</formula>
    </cfRule>
  </conditionalFormatting>
  <conditionalFormatting sqref="E26">
    <cfRule type="expression" dxfId="3381" priority="333">
      <formula>AND(IF(OR($Q26=1,$Q26=2),1,0),IF($X26&lt;=20,1,0))</formula>
    </cfRule>
    <cfRule type="expression" dxfId="3380" priority="334">
      <formula>AND(IF($Q26=2,1,0),IF($X26&lt;30,1,0))</formula>
    </cfRule>
    <cfRule type="expression" dxfId="3379" priority="335">
      <formula>AND(IF($Q26=3,1,0),IF($X26&lt;30,1,0))</formula>
    </cfRule>
    <cfRule type="expression" dxfId="3378" priority="336">
      <formula>AND(IF($Q26=3,1,IF($Q26=4,1,0)),IF($F26&lt;=85,1,0))</formula>
    </cfRule>
  </conditionalFormatting>
  <conditionalFormatting sqref="X26">
    <cfRule type="expression" dxfId="3377" priority="329">
      <formula>AND(IF(OR($Q26=1,$Q26=2),1,0),IF($X26&lt;=20,1,0))</formula>
    </cfRule>
    <cfRule type="expression" dxfId="3376" priority="330">
      <formula>AND(IF($Q26=2,1,0),IF($X26&lt;30,1,0))</formula>
    </cfRule>
    <cfRule type="expression" dxfId="3375" priority="331">
      <formula>AND(IF($Q26=3,1,0),IF($X26&lt;30,1,0))</formula>
    </cfRule>
    <cfRule type="expression" dxfId="3374" priority="332">
      <formula>AND(IF($Q26=3,1,IF($Q26=4,1,0)),IF($F26&lt;=85,1,0))</formula>
    </cfRule>
  </conditionalFormatting>
  <conditionalFormatting sqref="AI26">
    <cfRule type="expression" dxfId="3373" priority="325">
      <formula>AND(IF(OR($Q26=1,$Q26=2),1,0),IF($X26&lt;=20,1,0))</formula>
    </cfRule>
    <cfRule type="expression" dxfId="3372" priority="326">
      <formula>AND(IF($Q26=2,1,0),IF($X26&lt;30,1,0))</formula>
    </cfRule>
    <cfRule type="expression" dxfId="3371" priority="327">
      <formula>AND(IF($Q26=3,1,0),IF($X26&lt;30,1,0))</formula>
    </cfRule>
    <cfRule type="expression" dxfId="3370" priority="328">
      <formula>AND(IF($Q26=3,1,IF($Q26=4,1,0)),IF($F26&lt;=85,1,0))</formula>
    </cfRule>
  </conditionalFormatting>
  <conditionalFormatting sqref="AV27">
    <cfRule type="expression" dxfId="3369" priority="323">
      <formula>AV27="X"</formula>
    </cfRule>
    <cfRule type="expression" dxfId="3368" priority="324">
      <formula>AV27="후보"</formula>
    </cfRule>
  </conditionalFormatting>
  <conditionalFormatting sqref="AC27">
    <cfRule type="cellIs" dxfId="3367" priority="320" operator="greaterThan">
      <formula>0.9</formula>
    </cfRule>
    <cfRule type="cellIs" dxfId="3366" priority="321" operator="greaterThan">
      <formula>0.85</formula>
    </cfRule>
  </conditionalFormatting>
  <conditionalFormatting sqref="N27">
    <cfRule type="cellIs" dxfId="3365" priority="318" operator="greaterThan">
      <formula>0.9</formula>
    </cfRule>
    <cfRule type="cellIs" dxfId="3364" priority="319" operator="greaterThan">
      <formula>0.85</formula>
    </cfRule>
  </conditionalFormatting>
  <conditionalFormatting sqref="E27">
    <cfRule type="expression" dxfId="3363" priority="314">
      <formula>AND(IF(OR($Q27=1,$Q27=2),1,0),IF($X27&lt;=20,1,0))</formula>
    </cfRule>
    <cfRule type="expression" dxfId="3362" priority="315">
      <formula>AND(IF($Q27=2,1,0),IF($X27&lt;30,1,0))</formula>
    </cfRule>
    <cfRule type="expression" dxfId="3361" priority="316">
      <formula>AND(IF($Q27=3,1,0),IF($X27&lt;30,1,0))</formula>
    </cfRule>
    <cfRule type="expression" dxfId="3360" priority="317">
      <formula>AND(IF($Q27=3,1,IF($Q27=4,1,0)),IF($F27&lt;=85,1,0))</formula>
    </cfRule>
  </conditionalFormatting>
  <conditionalFormatting sqref="X27">
    <cfRule type="expression" dxfId="3359" priority="310">
      <formula>AND(IF(OR($Q27=1,$Q27=2),1,0),IF($X27&lt;=20,1,0))</formula>
    </cfRule>
    <cfRule type="expression" dxfId="3358" priority="311">
      <formula>AND(IF($Q27=2,1,0),IF($X27&lt;30,1,0))</formula>
    </cfRule>
    <cfRule type="expression" dxfId="3357" priority="312">
      <formula>AND(IF($Q27=3,1,0),IF($X27&lt;30,1,0))</formula>
    </cfRule>
    <cfRule type="expression" dxfId="3356" priority="313">
      <formula>AND(IF($Q27=3,1,IF($Q27=4,1,0)),IF($F27&lt;=85,1,0))</formula>
    </cfRule>
  </conditionalFormatting>
  <conditionalFormatting sqref="AI27">
    <cfRule type="expression" dxfId="3355" priority="306">
      <formula>AND(IF(OR($Q27=1,$Q27=2),1,0),IF($X27&lt;=20,1,0))</formula>
    </cfRule>
    <cfRule type="expression" dxfId="3354" priority="307">
      <formula>AND(IF($Q27=2,1,0),IF($X27&lt;30,1,0))</formula>
    </cfRule>
    <cfRule type="expression" dxfId="3353" priority="308">
      <formula>AND(IF($Q27=3,1,0),IF($X27&lt;30,1,0))</formula>
    </cfRule>
    <cfRule type="expression" dxfId="3352" priority="309">
      <formula>AND(IF($Q27=3,1,IF($Q27=4,1,0)),IF($F27&lt;=85,1,0))</formula>
    </cfRule>
  </conditionalFormatting>
  <conditionalFormatting sqref="AV28">
    <cfRule type="expression" dxfId="3351" priority="304">
      <formula>AV28="X"</formula>
    </cfRule>
    <cfRule type="expression" dxfId="3350" priority="305">
      <formula>AV28="후보"</formula>
    </cfRule>
  </conditionalFormatting>
  <conditionalFormatting sqref="AC28">
    <cfRule type="cellIs" dxfId="3349" priority="301" operator="greaterThan">
      <formula>0.9</formula>
    </cfRule>
    <cfRule type="cellIs" dxfId="3348" priority="302" operator="greaterThan">
      <formula>0.85</formula>
    </cfRule>
  </conditionalFormatting>
  <conditionalFormatting sqref="N28">
    <cfRule type="cellIs" dxfId="3347" priority="299" operator="greaterThan">
      <formula>0.9</formula>
    </cfRule>
    <cfRule type="cellIs" dxfId="3346" priority="300" operator="greaterThan">
      <formula>0.85</formula>
    </cfRule>
  </conditionalFormatting>
  <conditionalFormatting sqref="E28">
    <cfRule type="expression" dxfId="3345" priority="295">
      <formula>AND(IF(OR($Q28=1,$Q28=2),1,0),IF($X28&lt;=20,1,0))</formula>
    </cfRule>
    <cfRule type="expression" dxfId="3344" priority="296">
      <formula>AND(IF($Q28=2,1,0),IF($X28&lt;30,1,0))</formula>
    </cfRule>
    <cfRule type="expression" dxfId="3343" priority="297">
      <formula>AND(IF($Q28=3,1,0),IF($X28&lt;30,1,0))</formula>
    </cfRule>
    <cfRule type="expression" dxfId="3342" priority="298">
      <formula>AND(IF($Q28=3,1,IF($Q28=4,1,0)),IF($F28&lt;=85,1,0))</formula>
    </cfRule>
  </conditionalFormatting>
  <conditionalFormatting sqref="X28">
    <cfRule type="expression" dxfId="3341" priority="291">
      <formula>AND(IF(OR($Q28=1,$Q28=2),1,0),IF($X28&lt;=20,1,0))</formula>
    </cfRule>
    <cfRule type="expression" dxfId="3340" priority="292">
      <formula>AND(IF($Q28=2,1,0),IF($X28&lt;30,1,0))</formula>
    </cfRule>
    <cfRule type="expression" dxfId="3339" priority="293">
      <formula>AND(IF($Q28=3,1,0),IF($X28&lt;30,1,0))</formula>
    </cfRule>
    <cfRule type="expression" dxfId="3338" priority="294">
      <formula>AND(IF($Q28=3,1,IF($Q28=4,1,0)),IF($F28&lt;=85,1,0))</formula>
    </cfRule>
  </conditionalFormatting>
  <conditionalFormatting sqref="AI28">
    <cfRule type="expression" dxfId="3337" priority="287">
      <formula>AND(IF(OR($Q28=1,$Q28=2),1,0),IF($X28&lt;=20,1,0))</formula>
    </cfRule>
    <cfRule type="expression" dxfId="3336" priority="288">
      <formula>AND(IF($Q28=2,1,0),IF($X28&lt;30,1,0))</formula>
    </cfRule>
    <cfRule type="expression" dxfId="3335" priority="289">
      <formula>AND(IF($Q28=3,1,0),IF($X28&lt;30,1,0))</formula>
    </cfRule>
    <cfRule type="expression" dxfId="3334" priority="290">
      <formula>AND(IF($Q28=3,1,IF($Q28=4,1,0)),IF($F28&lt;=85,1,0))</formula>
    </cfRule>
  </conditionalFormatting>
  <conditionalFormatting sqref="AV29">
    <cfRule type="expression" dxfId="3333" priority="285">
      <formula>AV29="X"</formula>
    </cfRule>
    <cfRule type="expression" dxfId="3332" priority="286">
      <formula>AV29="후보"</formula>
    </cfRule>
  </conditionalFormatting>
  <conditionalFormatting sqref="AC29 N29">
    <cfRule type="cellIs" dxfId="3331" priority="282" operator="greaterThan">
      <formula>0.9</formula>
    </cfRule>
    <cfRule type="cellIs" dxfId="3330" priority="283" operator="greaterThan">
      <formula>0.85</formula>
    </cfRule>
  </conditionalFormatting>
  <conditionalFormatting sqref="AV30">
    <cfRule type="expression" dxfId="3329" priority="280">
      <formula>AV30="X"</formula>
    </cfRule>
    <cfRule type="expression" dxfId="3328" priority="281">
      <formula>AV30="후보"</formula>
    </cfRule>
  </conditionalFormatting>
  <conditionalFormatting sqref="AC30">
    <cfRule type="cellIs" dxfId="3327" priority="277" operator="greaterThan">
      <formula>0.9</formula>
    </cfRule>
    <cfRule type="cellIs" dxfId="3326" priority="278" operator="greaterThan">
      <formula>0.85</formula>
    </cfRule>
  </conditionalFormatting>
  <conditionalFormatting sqref="N30">
    <cfRule type="cellIs" dxfId="3325" priority="275" operator="greaterThan">
      <formula>0.9</formula>
    </cfRule>
    <cfRule type="cellIs" dxfId="3324" priority="276" operator="greaterThan">
      <formula>0.85</formula>
    </cfRule>
  </conditionalFormatting>
  <conditionalFormatting sqref="E30">
    <cfRule type="expression" dxfId="3323" priority="271">
      <formula>AND(IF(OR($Q30=1,$Q30=2),1,0),IF($X30&lt;=20,1,0))</formula>
    </cfRule>
    <cfRule type="expression" dxfId="3322" priority="272">
      <formula>AND(IF($Q30=2,1,0),IF($X30&lt;30,1,0))</formula>
    </cfRule>
    <cfRule type="expression" dxfId="3321" priority="273">
      <formula>AND(IF($Q30=3,1,0),IF($X30&lt;30,1,0))</formula>
    </cfRule>
    <cfRule type="expression" dxfId="3320" priority="274">
      <formula>AND(IF($Q30=3,1,IF($Q30=4,1,0)),IF($F30&lt;=85,1,0))</formula>
    </cfRule>
  </conditionalFormatting>
  <conditionalFormatting sqref="X30">
    <cfRule type="expression" dxfId="3319" priority="267">
      <formula>AND(IF(OR($Q30=1,$Q30=2),1,0),IF($X30&lt;=20,1,0))</formula>
    </cfRule>
    <cfRule type="expression" dxfId="3318" priority="268">
      <formula>AND(IF($Q30=2,1,0),IF($X30&lt;30,1,0))</formula>
    </cfRule>
    <cfRule type="expression" dxfId="3317" priority="269">
      <formula>AND(IF($Q30=3,1,0),IF($X30&lt;30,1,0))</formula>
    </cfRule>
    <cfRule type="expression" dxfId="3316" priority="270">
      <formula>AND(IF($Q30=3,1,IF($Q30=4,1,0)),IF($F30&lt;=85,1,0))</formula>
    </cfRule>
  </conditionalFormatting>
  <conditionalFormatting sqref="AI30">
    <cfRule type="expression" dxfId="3315" priority="263">
      <formula>AND(IF(OR($Q30=1,$Q30=2),1,0),IF($X30&lt;=20,1,0))</formula>
    </cfRule>
    <cfRule type="expression" dxfId="3314" priority="264">
      <formula>AND(IF($Q30=2,1,0),IF($X30&lt;30,1,0))</formula>
    </cfRule>
    <cfRule type="expression" dxfId="3313" priority="265">
      <formula>AND(IF($Q30=3,1,0),IF($X30&lt;30,1,0))</formula>
    </cfRule>
    <cfRule type="expression" dxfId="3312" priority="266">
      <formula>AND(IF($Q30=3,1,IF($Q30=4,1,0)),IF($F30&lt;=85,1,0))</formula>
    </cfRule>
  </conditionalFormatting>
  <conditionalFormatting sqref="AV31">
    <cfRule type="expression" dxfId="3311" priority="261">
      <formula>AV31="X"</formula>
    </cfRule>
    <cfRule type="expression" dxfId="3310" priority="262">
      <formula>AV31="후보"</formula>
    </cfRule>
  </conditionalFormatting>
  <conditionalFormatting sqref="AC31">
    <cfRule type="cellIs" dxfId="3309" priority="258" operator="greaterThan">
      <formula>0.9</formula>
    </cfRule>
    <cfRule type="cellIs" dxfId="3308" priority="259" operator="greaterThan">
      <formula>0.85</formula>
    </cfRule>
  </conditionalFormatting>
  <conditionalFormatting sqref="N31">
    <cfRule type="cellIs" dxfId="3307" priority="256" operator="greaterThan">
      <formula>0.9</formula>
    </cfRule>
    <cfRule type="cellIs" dxfId="3306" priority="257" operator="greaterThan">
      <formula>0.85</formula>
    </cfRule>
  </conditionalFormatting>
  <conditionalFormatting sqref="E31">
    <cfRule type="expression" dxfId="3305" priority="252">
      <formula>AND(IF(OR($Q31=1,$Q31=2),1,0),IF($X31&lt;=20,1,0))</formula>
    </cfRule>
    <cfRule type="expression" dxfId="3304" priority="253">
      <formula>AND(IF($Q31=2,1,0),IF($X31&lt;30,1,0))</formula>
    </cfRule>
    <cfRule type="expression" dxfId="3303" priority="254">
      <formula>AND(IF($Q31=3,1,0),IF($X31&lt;30,1,0))</formula>
    </cfRule>
    <cfRule type="expression" dxfId="3302" priority="255">
      <formula>AND(IF($Q31=3,1,IF($Q31=4,1,0)),IF($F31&lt;=85,1,0))</formula>
    </cfRule>
  </conditionalFormatting>
  <conditionalFormatting sqref="X31">
    <cfRule type="expression" dxfId="3301" priority="248">
      <formula>AND(IF(OR($Q31=1,$Q31=2),1,0),IF($X31&lt;=20,1,0))</formula>
    </cfRule>
    <cfRule type="expression" dxfId="3300" priority="249">
      <formula>AND(IF($Q31=2,1,0),IF($X31&lt;30,1,0))</formula>
    </cfRule>
    <cfRule type="expression" dxfId="3299" priority="250">
      <formula>AND(IF($Q31=3,1,0),IF($X31&lt;30,1,0))</formula>
    </cfRule>
    <cfRule type="expression" dxfId="3298" priority="251">
      <formula>AND(IF($Q31=3,1,IF($Q31=4,1,0)),IF($F31&lt;=85,1,0))</formula>
    </cfRule>
  </conditionalFormatting>
  <conditionalFormatting sqref="AI31">
    <cfRule type="expression" dxfId="3297" priority="244">
      <formula>AND(IF(OR($Q31=1,$Q31=2),1,0),IF($X31&lt;=20,1,0))</formula>
    </cfRule>
    <cfRule type="expression" dxfId="3296" priority="245">
      <formula>AND(IF($Q31=2,1,0),IF($X31&lt;30,1,0))</formula>
    </cfRule>
    <cfRule type="expression" dxfId="3295" priority="246">
      <formula>AND(IF($Q31=3,1,0),IF($X31&lt;30,1,0))</formula>
    </cfRule>
    <cfRule type="expression" dxfId="3294" priority="247">
      <formula>AND(IF($Q31=3,1,IF($Q31=4,1,0)),IF($F31&lt;=85,1,0))</formula>
    </cfRule>
  </conditionalFormatting>
  <conditionalFormatting sqref="AV32">
    <cfRule type="expression" dxfId="3293" priority="242">
      <formula>AV32="X"</formula>
    </cfRule>
    <cfRule type="expression" dxfId="3292" priority="243">
      <formula>AV32="후보"</formula>
    </cfRule>
  </conditionalFormatting>
  <conditionalFormatting sqref="AC32">
    <cfRule type="cellIs" dxfId="3291" priority="239" operator="greaterThan">
      <formula>0.9</formula>
    </cfRule>
    <cfRule type="cellIs" dxfId="3290" priority="240" operator="greaterThan">
      <formula>0.85</formula>
    </cfRule>
  </conditionalFormatting>
  <conditionalFormatting sqref="N32">
    <cfRule type="cellIs" dxfId="3289" priority="237" operator="greaterThan">
      <formula>0.9</formula>
    </cfRule>
    <cfRule type="cellIs" dxfId="3288" priority="238" operator="greaterThan">
      <formula>0.85</formula>
    </cfRule>
  </conditionalFormatting>
  <conditionalFormatting sqref="E32">
    <cfRule type="expression" dxfId="3287" priority="233">
      <formula>AND(IF(OR($Q32=1,$Q32=2),1,0),IF($X32&lt;=20,1,0))</formula>
    </cfRule>
    <cfRule type="expression" dxfId="3286" priority="234">
      <formula>AND(IF($Q32=2,1,0),IF($X32&lt;30,1,0))</formula>
    </cfRule>
    <cfRule type="expression" dxfId="3285" priority="235">
      <formula>AND(IF($Q32=3,1,0),IF($X32&lt;30,1,0))</formula>
    </cfRule>
    <cfRule type="expression" dxfId="3284" priority="236">
      <formula>AND(IF($Q32=3,1,IF($Q32=4,1,0)),IF($F32&lt;=85,1,0))</formula>
    </cfRule>
  </conditionalFormatting>
  <conditionalFormatting sqref="X32">
    <cfRule type="expression" dxfId="3283" priority="229">
      <formula>AND(IF(OR($Q32=1,$Q32=2),1,0),IF($X32&lt;=20,1,0))</formula>
    </cfRule>
    <cfRule type="expression" dxfId="3282" priority="230">
      <formula>AND(IF($Q32=2,1,0),IF($X32&lt;30,1,0))</formula>
    </cfRule>
    <cfRule type="expression" dxfId="3281" priority="231">
      <formula>AND(IF($Q32=3,1,0),IF($X32&lt;30,1,0))</formula>
    </cfRule>
    <cfRule type="expression" dxfId="3280" priority="232">
      <formula>AND(IF($Q32=3,1,IF($Q32=4,1,0)),IF($F32&lt;=85,1,0))</formula>
    </cfRule>
  </conditionalFormatting>
  <conditionalFormatting sqref="AI32">
    <cfRule type="expression" dxfId="3279" priority="225">
      <formula>AND(IF(OR($Q32=1,$Q32=2),1,0),IF($X32&lt;=20,1,0))</formula>
    </cfRule>
    <cfRule type="expression" dxfId="3278" priority="226">
      <formula>AND(IF($Q32=2,1,0),IF($X32&lt;30,1,0))</formula>
    </cfRule>
    <cfRule type="expression" dxfId="3277" priority="227">
      <formula>AND(IF($Q32=3,1,0),IF($X32&lt;30,1,0))</formula>
    </cfRule>
    <cfRule type="expression" dxfId="3276" priority="228">
      <formula>AND(IF($Q32=3,1,IF($Q32=4,1,0)),IF($F32&lt;=85,1,0))</formula>
    </cfRule>
  </conditionalFormatting>
  <conditionalFormatting sqref="AV33">
    <cfRule type="expression" dxfId="3275" priority="223">
      <formula>AV33="X"</formula>
    </cfRule>
    <cfRule type="expression" dxfId="3274" priority="224">
      <formula>AV33="후보"</formula>
    </cfRule>
  </conditionalFormatting>
  <conditionalFormatting sqref="AC33 N33">
    <cfRule type="cellIs" dxfId="3273" priority="220" operator="greaterThan">
      <formula>0.9</formula>
    </cfRule>
    <cfRule type="cellIs" dxfId="3272" priority="221" operator="greaterThan">
      <formula>0.85</formula>
    </cfRule>
  </conditionalFormatting>
  <conditionalFormatting sqref="AV34">
    <cfRule type="expression" dxfId="3271" priority="218">
      <formula>AV34="X"</formula>
    </cfRule>
    <cfRule type="expression" dxfId="3270" priority="219">
      <formula>AV34="후보"</formula>
    </cfRule>
  </conditionalFormatting>
  <conditionalFormatting sqref="AC34">
    <cfRule type="cellIs" dxfId="3269" priority="215" operator="greaterThan">
      <formula>0.9</formula>
    </cfRule>
    <cfRule type="cellIs" dxfId="3268" priority="216" operator="greaterThan">
      <formula>0.85</formula>
    </cfRule>
  </conditionalFormatting>
  <conditionalFormatting sqref="N34">
    <cfRule type="cellIs" dxfId="3267" priority="213" operator="greaterThan">
      <formula>0.9</formula>
    </cfRule>
    <cfRule type="cellIs" dxfId="3266" priority="214" operator="greaterThan">
      <formula>0.85</formula>
    </cfRule>
  </conditionalFormatting>
  <conditionalFormatting sqref="E34">
    <cfRule type="expression" dxfId="3265" priority="209">
      <formula>AND(IF(OR($Q34=1,$Q34=2),1,0),IF($X34&lt;=20,1,0))</formula>
    </cfRule>
    <cfRule type="expression" dxfId="3264" priority="210">
      <formula>AND(IF($Q34=2,1,0),IF($X34&lt;30,1,0))</formula>
    </cfRule>
    <cfRule type="expression" dxfId="3263" priority="211">
      <formula>AND(IF($Q34=3,1,0),IF($X34&lt;30,1,0))</formula>
    </cfRule>
    <cfRule type="expression" dxfId="3262" priority="212">
      <formula>AND(IF($Q34=3,1,IF($Q34=4,1,0)),IF($F34&lt;=85,1,0))</formula>
    </cfRule>
  </conditionalFormatting>
  <conditionalFormatting sqref="X34">
    <cfRule type="expression" dxfId="3261" priority="205">
      <formula>AND(IF(OR($Q34=1,$Q34=2),1,0),IF($X34&lt;=20,1,0))</formula>
    </cfRule>
    <cfRule type="expression" dxfId="3260" priority="206">
      <formula>AND(IF($Q34=2,1,0),IF($X34&lt;30,1,0))</formula>
    </cfRule>
    <cfRule type="expression" dxfId="3259" priority="207">
      <formula>AND(IF($Q34=3,1,0),IF($X34&lt;30,1,0))</formula>
    </cfRule>
    <cfRule type="expression" dxfId="3258" priority="208">
      <formula>AND(IF($Q34=3,1,IF($Q34=4,1,0)),IF($F34&lt;=85,1,0))</formula>
    </cfRule>
  </conditionalFormatting>
  <conditionalFormatting sqref="AI34">
    <cfRule type="expression" dxfId="3257" priority="201">
      <formula>AND(IF(OR($Q34=1,$Q34=2),1,0),IF($X34&lt;=20,1,0))</formula>
    </cfRule>
    <cfRule type="expression" dxfId="3256" priority="202">
      <formula>AND(IF($Q34=2,1,0),IF($X34&lt;30,1,0))</formula>
    </cfRule>
    <cfRule type="expression" dxfId="3255" priority="203">
      <formula>AND(IF($Q34=3,1,0),IF($X34&lt;30,1,0))</formula>
    </cfRule>
    <cfRule type="expression" dxfId="3254" priority="204">
      <formula>AND(IF($Q34=3,1,IF($Q34=4,1,0)),IF($F34&lt;=85,1,0))</formula>
    </cfRule>
  </conditionalFormatting>
  <conditionalFormatting sqref="AV35">
    <cfRule type="expression" dxfId="3253" priority="199">
      <formula>AV35="X"</formula>
    </cfRule>
    <cfRule type="expression" dxfId="3252" priority="200">
      <formula>AV35="후보"</formula>
    </cfRule>
  </conditionalFormatting>
  <conditionalFormatting sqref="AC35">
    <cfRule type="cellIs" dxfId="3251" priority="196" operator="greaterThan">
      <formula>0.9</formula>
    </cfRule>
    <cfRule type="cellIs" dxfId="3250" priority="197" operator="greaterThan">
      <formula>0.85</formula>
    </cfRule>
  </conditionalFormatting>
  <conditionalFormatting sqref="N35">
    <cfRule type="cellIs" dxfId="3249" priority="194" operator="greaterThan">
      <formula>0.9</formula>
    </cfRule>
    <cfRule type="cellIs" dxfId="3248" priority="195" operator="greaterThan">
      <formula>0.85</formula>
    </cfRule>
  </conditionalFormatting>
  <conditionalFormatting sqref="E35">
    <cfRule type="expression" dxfId="3247" priority="190">
      <formula>AND(IF(OR($Q35=1,$Q35=2),1,0),IF($X35&lt;=20,1,0))</formula>
    </cfRule>
    <cfRule type="expression" dxfId="3246" priority="191">
      <formula>AND(IF($Q35=2,1,0),IF($X35&lt;30,1,0))</formula>
    </cfRule>
    <cfRule type="expression" dxfId="3245" priority="192">
      <formula>AND(IF($Q35=3,1,0),IF($X35&lt;30,1,0))</formula>
    </cfRule>
    <cfRule type="expression" dxfId="3244" priority="193">
      <formula>AND(IF($Q35=3,1,IF($Q35=4,1,0)),IF($F35&lt;=85,1,0))</formula>
    </cfRule>
  </conditionalFormatting>
  <conditionalFormatting sqref="X35">
    <cfRule type="expression" dxfId="3243" priority="186">
      <formula>AND(IF(OR($Q35=1,$Q35=2),1,0),IF($X35&lt;=20,1,0))</formula>
    </cfRule>
    <cfRule type="expression" dxfId="3242" priority="187">
      <formula>AND(IF($Q35=2,1,0),IF($X35&lt;30,1,0))</formula>
    </cfRule>
    <cfRule type="expression" dxfId="3241" priority="188">
      <formula>AND(IF($Q35=3,1,0),IF($X35&lt;30,1,0))</formula>
    </cfRule>
    <cfRule type="expression" dxfId="3240" priority="189">
      <formula>AND(IF($Q35=3,1,IF($Q35=4,1,0)),IF($F35&lt;=85,1,0))</formula>
    </cfRule>
  </conditionalFormatting>
  <conditionalFormatting sqref="AI35">
    <cfRule type="expression" dxfId="3239" priority="182">
      <formula>AND(IF(OR($Q35=1,$Q35=2),1,0),IF($X35&lt;=20,1,0))</formula>
    </cfRule>
    <cfRule type="expression" dxfId="3238" priority="183">
      <formula>AND(IF($Q35=2,1,0),IF($X35&lt;30,1,0))</formula>
    </cfRule>
    <cfRule type="expression" dxfId="3237" priority="184">
      <formula>AND(IF($Q35=3,1,0),IF($X35&lt;30,1,0))</formula>
    </cfRule>
    <cfRule type="expression" dxfId="3236" priority="185">
      <formula>AND(IF($Q35=3,1,IF($Q35=4,1,0)),IF($F35&lt;=85,1,0))</formula>
    </cfRule>
  </conditionalFormatting>
  <conditionalFormatting sqref="AV36">
    <cfRule type="expression" dxfId="3235" priority="180">
      <formula>AV36="X"</formula>
    </cfRule>
    <cfRule type="expression" dxfId="3234" priority="181">
      <formula>AV36="후보"</formula>
    </cfRule>
  </conditionalFormatting>
  <conditionalFormatting sqref="AC36">
    <cfRule type="cellIs" dxfId="3233" priority="177" operator="greaterThan">
      <formula>0.9</formula>
    </cfRule>
    <cfRule type="cellIs" dxfId="3232" priority="178" operator="greaterThan">
      <formula>0.85</formula>
    </cfRule>
  </conditionalFormatting>
  <conditionalFormatting sqref="N36">
    <cfRule type="cellIs" dxfId="3231" priority="175" operator="greaterThan">
      <formula>0.9</formula>
    </cfRule>
    <cfRule type="cellIs" dxfId="3230" priority="176" operator="greaterThan">
      <formula>0.85</formula>
    </cfRule>
  </conditionalFormatting>
  <conditionalFormatting sqref="E36">
    <cfRule type="expression" dxfId="3229" priority="171">
      <formula>AND(IF(OR($Q36=1,$Q36=2),1,0),IF($X36&lt;=20,1,0))</formula>
    </cfRule>
    <cfRule type="expression" dxfId="3228" priority="172">
      <formula>AND(IF($Q36=2,1,0),IF($X36&lt;30,1,0))</formula>
    </cfRule>
    <cfRule type="expression" dxfId="3227" priority="173">
      <formula>AND(IF($Q36=3,1,0),IF($X36&lt;30,1,0))</formula>
    </cfRule>
    <cfRule type="expression" dxfId="3226" priority="174">
      <formula>AND(IF($Q36=3,1,IF($Q36=4,1,0)),IF($F36&lt;=85,1,0))</formula>
    </cfRule>
  </conditionalFormatting>
  <conditionalFormatting sqref="X36">
    <cfRule type="expression" dxfId="3225" priority="167">
      <formula>AND(IF(OR($Q36=1,$Q36=2),1,0),IF($X36&lt;=20,1,0))</formula>
    </cfRule>
    <cfRule type="expression" dxfId="3224" priority="168">
      <formula>AND(IF($Q36=2,1,0),IF($X36&lt;30,1,0))</formula>
    </cfRule>
    <cfRule type="expression" dxfId="3223" priority="169">
      <formula>AND(IF($Q36=3,1,0),IF($X36&lt;30,1,0))</formula>
    </cfRule>
    <cfRule type="expression" dxfId="3222" priority="170">
      <formula>AND(IF($Q36=3,1,IF($Q36=4,1,0)),IF($F36&lt;=85,1,0))</formula>
    </cfRule>
  </conditionalFormatting>
  <conditionalFormatting sqref="AI36">
    <cfRule type="expression" dxfId="3221" priority="163">
      <formula>AND(IF(OR($Q36=1,$Q36=2),1,0),IF($X36&lt;=20,1,0))</formula>
    </cfRule>
    <cfRule type="expression" dxfId="3220" priority="164">
      <formula>AND(IF($Q36=2,1,0),IF($X36&lt;30,1,0))</formula>
    </cfRule>
    <cfRule type="expression" dxfId="3219" priority="165">
      <formula>AND(IF($Q36=3,1,0),IF($X36&lt;30,1,0))</formula>
    </cfRule>
    <cfRule type="expression" dxfId="3218" priority="166">
      <formula>AND(IF($Q36=3,1,IF($Q36=4,1,0)),IF($F36&lt;=85,1,0))</formula>
    </cfRule>
  </conditionalFormatting>
  <conditionalFormatting sqref="AV37">
    <cfRule type="expression" dxfId="3217" priority="161">
      <formula>AV37="X"</formula>
    </cfRule>
    <cfRule type="expression" dxfId="3216" priority="162">
      <formula>AV37="후보"</formula>
    </cfRule>
  </conditionalFormatting>
  <conditionalFormatting sqref="AC37">
    <cfRule type="cellIs" dxfId="3215" priority="158" operator="greaterThan">
      <formula>0.9</formula>
    </cfRule>
    <cfRule type="cellIs" dxfId="3214" priority="159" operator="greaterThan">
      <formula>0.85</formula>
    </cfRule>
  </conditionalFormatting>
  <conditionalFormatting sqref="N37">
    <cfRule type="cellIs" dxfId="3213" priority="156" operator="greaterThan">
      <formula>0.9</formula>
    </cfRule>
    <cfRule type="cellIs" dxfId="3212" priority="157" operator="greaterThan">
      <formula>0.85</formula>
    </cfRule>
  </conditionalFormatting>
  <conditionalFormatting sqref="E37">
    <cfRule type="expression" dxfId="3211" priority="152">
      <formula>AND(IF(OR($Q37=1,$Q37=2),1,0),IF($X37&lt;=20,1,0))</formula>
    </cfRule>
    <cfRule type="expression" dxfId="3210" priority="153">
      <formula>AND(IF($Q37=2,1,0),IF($X37&lt;30,1,0))</formula>
    </cfRule>
    <cfRule type="expression" dxfId="3209" priority="154">
      <formula>AND(IF($Q37=3,1,0),IF($X37&lt;30,1,0))</formula>
    </cfRule>
    <cfRule type="expression" dxfId="3208" priority="155">
      <formula>AND(IF($Q37=3,1,IF($Q37=4,1,0)),IF($F37&lt;=85,1,0))</formula>
    </cfRule>
  </conditionalFormatting>
  <conditionalFormatting sqref="X37">
    <cfRule type="expression" dxfId="3207" priority="148">
      <formula>AND(IF(OR($Q37=1,$Q37=2),1,0),IF($X37&lt;=20,1,0))</formula>
    </cfRule>
    <cfRule type="expression" dxfId="3206" priority="149">
      <formula>AND(IF($Q37=2,1,0),IF($X37&lt;30,1,0))</formula>
    </cfRule>
    <cfRule type="expression" dxfId="3205" priority="150">
      <formula>AND(IF($Q37=3,1,0),IF($X37&lt;30,1,0))</formula>
    </cfRule>
    <cfRule type="expression" dxfId="3204" priority="151">
      <formula>AND(IF($Q37=3,1,IF($Q37=4,1,0)),IF($F37&lt;=85,1,0))</formula>
    </cfRule>
  </conditionalFormatting>
  <conditionalFormatting sqref="AI37">
    <cfRule type="expression" dxfId="3203" priority="144">
      <formula>AND(IF(OR($Q37=1,$Q37=2),1,0),IF($X37&lt;=20,1,0))</formula>
    </cfRule>
    <cfRule type="expression" dxfId="3202" priority="145">
      <formula>AND(IF($Q37=2,1,0),IF($X37&lt;30,1,0))</formula>
    </cfRule>
    <cfRule type="expression" dxfId="3201" priority="146">
      <formula>AND(IF($Q37=3,1,0),IF($X37&lt;30,1,0))</formula>
    </cfRule>
    <cfRule type="expression" dxfId="3200" priority="147">
      <formula>AND(IF($Q37=3,1,IF($Q37=4,1,0)),IF($F37&lt;=85,1,0))</formula>
    </cfRule>
  </conditionalFormatting>
  <conditionalFormatting sqref="AV38">
    <cfRule type="expression" dxfId="3199" priority="142">
      <formula>AV38="X"</formula>
    </cfRule>
    <cfRule type="expression" dxfId="3198" priority="143">
      <formula>AV38="후보"</formula>
    </cfRule>
  </conditionalFormatting>
  <conditionalFormatting sqref="AC38 N38">
    <cfRule type="cellIs" dxfId="3197" priority="139" operator="greaterThan">
      <formula>0.9</formula>
    </cfRule>
    <cfRule type="cellIs" dxfId="3196" priority="140" operator="greaterThan">
      <formula>0.85</formula>
    </cfRule>
  </conditionalFormatting>
  <conditionalFormatting sqref="AV39">
    <cfRule type="expression" dxfId="3195" priority="137">
      <formula>AV39="X"</formula>
    </cfRule>
    <cfRule type="expression" dxfId="3194" priority="138">
      <formula>AV39="후보"</formula>
    </cfRule>
  </conditionalFormatting>
  <conditionalFormatting sqref="AC39">
    <cfRule type="cellIs" dxfId="3193" priority="134" operator="greaterThan">
      <formula>0.9</formula>
    </cfRule>
    <cfRule type="cellIs" dxfId="3192" priority="135" operator="greaterThan">
      <formula>0.85</formula>
    </cfRule>
  </conditionalFormatting>
  <conditionalFormatting sqref="N39">
    <cfRule type="cellIs" dxfId="3191" priority="132" operator="greaterThan">
      <formula>0.9</formula>
    </cfRule>
    <cfRule type="cellIs" dxfId="3190" priority="133" operator="greaterThan">
      <formula>0.85</formula>
    </cfRule>
  </conditionalFormatting>
  <conditionalFormatting sqref="E39">
    <cfRule type="expression" dxfId="3189" priority="128">
      <formula>AND(IF(OR($Q39=1,$Q39=2),1,0),IF($X39&lt;=20,1,0))</formula>
    </cfRule>
    <cfRule type="expression" dxfId="3188" priority="129">
      <formula>AND(IF($Q39=2,1,0),IF($X39&lt;30,1,0))</formula>
    </cfRule>
    <cfRule type="expression" dxfId="3187" priority="130">
      <formula>AND(IF($Q39=3,1,0),IF($X39&lt;30,1,0))</formula>
    </cfRule>
    <cfRule type="expression" dxfId="3186" priority="131">
      <formula>AND(IF($Q39=3,1,IF($Q39=4,1,0)),IF($F39&lt;=85,1,0))</formula>
    </cfRule>
  </conditionalFormatting>
  <conditionalFormatting sqref="X39">
    <cfRule type="expression" dxfId="3185" priority="124">
      <formula>AND(IF(OR($Q39=1,$Q39=2),1,0),IF($X39&lt;=20,1,0))</formula>
    </cfRule>
    <cfRule type="expression" dxfId="3184" priority="125">
      <formula>AND(IF($Q39=2,1,0),IF($X39&lt;30,1,0))</formula>
    </cfRule>
    <cfRule type="expression" dxfId="3183" priority="126">
      <formula>AND(IF($Q39=3,1,0),IF($X39&lt;30,1,0))</formula>
    </cfRule>
    <cfRule type="expression" dxfId="3182" priority="127">
      <formula>AND(IF($Q39=3,1,IF($Q39=4,1,0)),IF($F39&lt;=85,1,0))</formula>
    </cfRule>
  </conditionalFormatting>
  <conditionalFormatting sqref="AI39">
    <cfRule type="expression" dxfId="3181" priority="120">
      <formula>AND(IF(OR($Q39=1,$Q39=2),1,0),IF($X39&lt;=20,1,0))</formula>
    </cfRule>
    <cfRule type="expression" dxfId="3180" priority="121">
      <formula>AND(IF($Q39=2,1,0),IF($X39&lt;30,1,0))</formula>
    </cfRule>
    <cfRule type="expression" dxfId="3179" priority="122">
      <formula>AND(IF($Q39=3,1,0),IF($X39&lt;30,1,0))</formula>
    </cfRule>
    <cfRule type="expression" dxfId="3178" priority="123">
      <formula>AND(IF($Q39=3,1,IF($Q39=4,1,0)),IF($F39&lt;=85,1,0))</formula>
    </cfRule>
  </conditionalFormatting>
  <conditionalFormatting sqref="AV40">
    <cfRule type="expression" dxfId="3177" priority="118">
      <formula>AV40="X"</formula>
    </cfRule>
    <cfRule type="expression" dxfId="3176" priority="119">
      <formula>AV40="후보"</formula>
    </cfRule>
  </conditionalFormatting>
  <conditionalFormatting sqref="AC40 N40">
    <cfRule type="cellIs" dxfId="3175" priority="115" operator="greaterThan">
      <formula>0.9</formula>
    </cfRule>
    <cfRule type="cellIs" dxfId="3174" priority="116" operator="greaterThan">
      <formula>0.85</formula>
    </cfRule>
  </conditionalFormatting>
  <conditionalFormatting sqref="AV41">
    <cfRule type="expression" dxfId="3173" priority="113">
      <formula>AV41="X"</formula>
    </cfRule>
    <cfRule type="expression" dxfId="3172" priority="114">
      <formula>AV41="후보"</formula>
    </cfRule>
  </conditionalFormatting>
  <conditionalFormatting sqref="AC41">
    <cfRule type="cellIs" dxfId="3171" priority="110" operator="greaterThan">
      <formula>0.9</formula>
    </cfRule>
    <cfRule type="cellIs" dxfId="3170" priority="111" operator="greaterThan">
      <formula>0.85</formula>
    </cfRule>
  </conditionalFormatting>
  <conditionalFormatting sqref="N41">
    <cfRule type="cellIs" dxfId="3169" priority="108" operator="greaterThan">
      <formula>0.9</formula>
    </cfRule>
    <cfRule type="cellIs" dxfId="3168" priority="109" operator="greaterThan">
      <formula>0.85</formula>
    </cfRule>
  </conditionalFormatting>
  <conditionalFormatting sqref="E41">
    <cfRule type="expression" dxfId="3167" priority="104">
      <formula>AND(IF(OR($Q41=1,$Q41=2),1,0),IF($X41&lt;=20,1,0))</formula>
    </cfRule>
    <cfRule type="expression" dxfId="3166" priority="105">
      <formula>AND(IF($Q41=2,1,0),IF($X41&lt;30,1,0))</formula>
    </cfRule>
    <cfRule type="expression" dxfId="3165" priority="106">
      <formula>AND(IF($Q41=3,1,0),IF($X41&lt;30,1,0))</formula>
    </cfRule>
    <cfRule type="expression" dxfId="3164" priority="107">
      <formula>AND(IF($Q41=3,1,IF($Q41=4,1,0)),IF($F41&lt;=85,1,0))</formula>
    </cfRule>
  </conditionalFormatting>
  <conditionalFormatting sqref="X41">
    <cfRule type="expression" dxfId="3163" priority="100">
      <formula>AND(IF(OR($Q41=1,$Q41=2),1,0),IF($X41&lt;=20,1,0))</formula>
    </cfRule>
    <cfRule type="expression" dxfId="3162" priority="101">
      <formula>AND(IF($Q41=2,1,0),IF($X41&lt;30,1,0))</formula>
    </cfRule>
    <cfRule type="expression" dxfId="3161" priority="102">
      <formula>AND(IF($Q41=3,1,0),IF($X41&lt;30,1,0))</formula>
    </cfRule>
    <cfRule type="expression" dxfId="3160" priority="103">
      <formula>AND(IF($Q41=3,1,IF($Q41=4,1,0)),IF($F41&lt;=85,1,0))</formula>
    </cfRule>
  </conditionalFormatting>
  <conditionalFormatting sqref="AI41">
    <cfRule type="expression" dxfId="3159" priority="96">
      <formula>AND(IF(OR($Q41=1,$Q41=2),1,0),IF($X41&lt;=20,1,0))</formula>
    </cfRule>
    <cfRule type="expression" dxfId="3158" priority="97">
      <formula>AND(IF($Q41=2,1,0),IF($X41&lt;30,1,0))</formula>
    </cfRule>
    <cfRule type="expression" dxfId="3157" priority="98">
      <formula>AND(IF($Q41=3,1,0),IF($X41&lt;30,1,0))</formula>
    </cfRule>
    <cfRule type="expression" dxfId="3156" priority="99">
      <formula>AND(IF($Q41=3,1,IF($Q41=4,1,0)),IF($F41&lt;=85,1,0))</formula>
    </cfRule>
  </conditionalFormatting>
  <conditionalFormatting sqref="AV42">
    <cfRule type="expression" dxfId="3155" priority="94">
      <formula>AV42="X"</formula>
    </cfRule>
    <cfRule type="expression" dxfId="3154" priority="95">
      <formula>AV42="후보"</formula>
    </cfRule>
  </conditionalFormatting>
  <conditionalFormatting sqref="AC42">
    <cfRule type="cellIs" dxfId="3153" priority="91" operator="greaterThan">
      <formula>0.9</formula>
    </cfRule>
    <cfRule type="cellIs" dxfId="3152" priority="92" operator="greaterThan">
      <formula>0.85</formula>
    </cfRule>
  </conditionalFormatting>
  <conditionalFormatting sqref="N42">
    <cfRule type="cellIs" dxfId="3151" priority="89" operator="greaterThan">
      <formula>0.9</formula>
    </cfRule>
    <cfRule type="cellIs" dxfId="3150" priority="90" operator="greaterThan">
      <formula>0.85</formula>
    </cfRule>
  </conditionalFormatting>
  <conditionalFormatting sqref="E42">
    <cfRule type="expression" dxfId="3149" priority="85">
      <formula>AND(IF(OR($Q42=1,$Q42=2),1,0),IF($X42&lt;=20,1,0))</formula>
    </cfRule>
    <cfRule type="expression" dxfId="3148" priority="86">
      <formula>AND(IF($Q42=2,1,0),IF($X42&lt;30,1,0))</formula>
    </cfRule>
    <cfRule type="expression" dxfId="3147" priority="87">
      <formula>AND(IF($Q42=3,1,0),IF($X42&lt;30,1,0))</formula>
    </cfRule>
    <cfRule type="expression" dxfId="3146" priority="88">
      <formula>AND(IF($Q42=3,1,IF($Q42=4,1,0)),IF($F42&lt;=85,1,0))</formula>
    </cfRule>
  </conditionalFormatting>
  <conditionalFormatting sqref="X42">
    <cfRule type="expression" dxfId="3145" priority="81">
      <formula>AND(IF(OR($Q42=1,$Q42=2),1,0),IF($X42&lt;=20,1,0))</formula>
    </cfRule>
    <cfRule type="expression" dxfId="3144" priority="82">
      <formula>AND(IF($Q42=2,1,0),IF($X42&lt;30,1,0))</formula>
    </cfRule>
    <cfRule type="expression" dxfId="3143" priority="83">
      <formula>AND(IF($Q42=3,1,0),IF($X42&lt;30,1,0))</formula>
    </cfRule>
    <cfRule type="expression" dxfId="3142" priority="84">
      <formula>AND(IF($Q42=3,1,IF($Q42=4,1,0)),IF($F42&lt;=85,1,0))</formula>
    </cfRule>
  </conditionalFormatting>
  <conditionalFormatting sqref="AI42">
    <cfRule type="expression" dxfId="3141" priority="77">
      <formula>AND(IF(OR($Q42=1,$Q42=2),1,0),IF($X42&lt;=20,1,0))</formula>
    </cfRule>
    <cfRule type="expression" dxfId="3140" priority="78">
      <formula>AND(IF($Q42=2,1,0),IF($X42&lt;30,1,0))</formula>
    </cfRule>
    <cfRule type="expression" dxfId="3139" priority="79">
      <formula>AND(IF($Q42=3,1,0),IF($X42&lt;30,1,0))</formula>
    </cfRule>
    <cfRule type="expression" dxfId="3138" priority="80">
      <formula>AND(IF($Q42=3,1,IF($Q42=4,1,0)),IF($F42&lt;=85,1,0))</formula>
    </cfRule>
  </conditionalFormatting>
  <conditionalFormatting sqref="AV43">
    <cfRule type="expression" dxfId="3137" priority="75">
      <formula>AV43="X"</formula>
    </cfRule>
    <cfRule type="expression" dxfId="3136" priority="76">
      <formula>AV43="후보"</formula>
    </cfRule>
  </conditionalFormatting>
  <conditionalFormatting sqref="AC43">
    <cfRule type="cellIs" dxfId="3135" priority="72" operator="greaterThan">
      <formula>0.9</formula>
    </cfRule>
    <cfRule type="cellIs" dxfId="3134" priority="73" operator="greaterThan">
      <formula>0.85</formula>
    </cfRule>
  </conditionalFormatting>
  <conditionalFormatting sqref="N43">
    <cfRule type="cellIs" dxfId="3133" priority="70" operator="greaterThan">
      <formula>0.9</formula>
    </cfRule>
    <cfRule type="cellIs" dxfId="3132" priority="71" operator="greaterThan">
      <formula>0.85</formula>
    </cfRule>
  </conditionalFormatting>
  <conditionalFormatting sqref="E43">
    <cfRule type="expression" dxfId="3131" priority="66">
      <formula>AND(IF(OR($Q43=1,$Q43=2),1,0),IF($X43&lt;=20,1,0))</formula>
    </cfRule>
    <cfRule type="expression" dxfId="3130" priority="67">
      <formula>AND(IF($Q43=2,1,0),IF($X43&lt;30,1,0))</formula>
    </cfRule>
    <cfRule type="expression" dxfId="3129" priority="68">
      <formula>AND(IF($Q43=3,1,0),IF($X43&lt;30,1,0))</formula>
    </cfRule>
    <cfRule type="expression" dxfId="3128" priority="69">
      <formula>AND(IF($Q43=3,1,IF($Q43=4,1,0)),IF($F43&lt;=85,1,0))</formula>
    </cfRule>
  </conditionalFormatting>
  <conditionalFormatting sqref="X43">
    <cfRule type="expression" dxfId="3127" priority="62">
      <formula>AND(IF(OR($Q43=1,$Q43=2),1,0),IF($X43&lt;=20,1,0))</formula>
    </cfRule>
    <cfRule type="expression" dxfId="3126" priority="63">
      <formula>AND(IF($Q43=2,1,0),IF($X43&lt;30,1,0))</formula>
    </cfRule>
    <cfRule type="expression" dxfId="3125" priority="64">
      <formula>AND(IF($Q43=3,1,0),IF($X43&lt;30,1,0))</formula>
    </cfRule>
    <cfRule type="expression" dxfId="3124" priority="65">
      <formula>AND(IF($Q43=3,1,IF($Q43=4,1,0)),IF($F43&lt;=85,1,0))</formula>
    </cfRule>
  </conditionalFormatting>
  <conditionalFormatting sqref="AI43">
    <cfRule type="expression" dxfId="3123" priority="58">
      <formula>AND(IF(OR($Q43=1,$Q43=2),1,0),IF($X43&lt;=20,1,0))</formula>
    </cfRule>
    <cfRule type="expression" dxfId="3122" priority="59">
      <formula>AND(IF($Q43=2,1,0),IF($X43&lt;30,1,0))</formula>
    </cfRule>
    <cfRule type="expression" dxfId="3121" priority="60">
      <formula>AND(IF($Q43=3,1,0),IF($X43&lt;30,1,0))</formula>
    </cfRule>
    <cfRule type="expression" dxfId="3120" priority="61">
      <formula>AND(IF($Q43=3,1,IF($Q43=4,1,0)),IF($F43&lt;=85,1,0))</formula>
    </cfRule>
  </conditionalFormatting>
  <conditionalFormatting sqref="AV44">
    <cfRule type="expression" dxfId="3119" priority="56">
      <formula>AV44="X"</formula>
    </cfRule>
    <cfRule type="expression" dxfId="3118" priority="57">
      <formula>AV44="후보"</formula>
    </cfRule>
  </conditionalFormatting>
  <conditionalFormatting sqref="AC44">
    <cfRule type="cellIs" dxfId="3117" priority="53" operator="greaterThan">
      <formula>0.9</formula>
    </cfRule>
    <cfRule type="cellIs" dxfId="3116" priority="54" operator="greaterThan">
      <formula>0.85</formula>
    </cfRule>
  </conditionalFormatting>
  <conditionalFormatting sqref="N44">
    <cfRule type="cellIs" dxfId="3115" priority="51" operator="greaterThan">
      <formula>0.9</formula>
    </cfRule>
    <cfRule type="cellIs" dxfId="3114" priority="52" operator="greaterThan">
      <formula>0.85</formula>
    </cfRule>
  </conditionalFormatting>
  <conditionalFormatting sqref="E44">
    <cfRule type="expression" dxfId="3113" priority="47">
      <formula>AND(IF(OR($Q44=1,$Q44=2),1,0),IF($X44&lt;=20,1,0))</formula>
    </cfRule>
    <cfRule type="expression" dxfId="3112" priority="48">
      <formula>AND(IF($Q44=2,1,0),IF($X44&lt;30,1,0))</formula>
    </cfRule>
    <cfRule type="expression" dxfId="3111" priority="49">
      <formula>AND(IF($Q44=3,1,0),IF($X44&lt;30,1,0))</formula>
    </cfRule>
    <cfRule type="expression" dxfId="3110" priority="50">
      <formula>AND(IF($Q44=3,1,IF($Q44=4,1,0)),IF($F44&lt;=85,1,0))</formula>
    </cfRule>
  </conditionalFormatting>
  <conditionalFormatting sqref="X44">
    <cfRule type="expression" dxfId="3109" priority="43">
      <formula>AND(IF(OR($Q44=1,$Q44=2),1,0),IF($X44&lt;=20,1,0))</formula>
    </cfRule>
    <cfRule type="expression" dxfId="3108" priority="44">
      <formula>AND(IF($Q44=2,1,0),IF($X44&lt;30,1,0))</formula>
    </cfRule>
    <cfRule type="expression" dxfId="3107" priority="45">
      <formula>AND(IF($Q44=3,1,0),IF($X44&lt;30,1,0))</formula>
    </cfRule>
    <cfRule type="expression" dxfId="3106" priority="46">
      <formula>AND(IF($Q44=3,1,IF($Q44=4,1,0)),IF($F44&lt;=85,1,0))</formula>
    </cfRule>
  </conditionalFormatting>
  <conditionalFormatting sqref="AI44">
    <cfRule type="expression" dxfId="3105" priority="39">
      <formula>AND(IF(OR($Q44=1,$Q44=2),1,0),IF($X44&lt;=20,1,0))</formula>
    </cfRule>
    <cfRule type="expression" dxfId="3104" priority="40">
      <formula>AND(IF($Q44=2,1,0),IF($X44&lt;30,1,0))</formula>
    </cfRule>
    <cfRule type="expression" dxfId="3103" priority="41">
      <formula>AND(IF($Q44=3,1,0),IF($X44&lt;30,1,0))</formula>
    </cfRule>
    <cfRule type="expression" dxfId="3102" priority="42">
      <formula>AND(IF($Q44=3,1,IF($Q44=4,1,0)),IF($F44&lt;=85,1,0))</formula>
    </cfRule>
  </conditionalFormatting>
  <conditionalFormatting sqref="AV45">
    <cfRule type="expression" dxfId="3101" priority="37">
      <formula>AV45="X"</formula>
    </cfRule>
    <cfRule type="expression" dxfId="3100" priority="38">
      <formula>AV45="후보"</formula>
    </cfRule>
  </conditionalFormatting>
  <conditionalFormatting sqref="AC45">
    <cfRule type="cellIs" dxfId="3099" priority="34" operator="greaterThan">
      <formula>0.9</formula>
    </cfRule>
    <cfRule type="cellIs" dxfId="3098" priority="35" operator="greaterThan">
      <formula>0.85</formula>
    </cfRule>
  </conditionalFormatting>
  <conditionalFormatting sqref="N45">
    <cfRule type="cellIs" dxfId="3097" priority="32" operator="greaterThan">
      <formula>0.9</formula>
    </cfRule>
    <cfRule type="cellIs" dxfId="3096" priority="33" operator="greaterThan">
      <formula>0.85</formula>
    </cfRule>
  </conditionalFormatting>
  <conditionalFormatting sqref="E45">
    <cfRule type="expression" dxfId="3095" priority="28">
      <formula>AND(IF(OR($Q45=1,$Q45=2),1,0),IF($X45&lt;=20,1,0))</formula>
    </cfRule>
    <cfRule type="expression" dxfId="3094" priority="29">
      <formula>AND(IF($Q45=2,1,0),IF($X45&lt;30,1,0))</formula>
    </cfRule>
    <cfRule type="expression" dxfId="3093" priority="30">
      <formula>AND(IF($Q45=3,1,0),IF($X45&lt;30,1,0))</formula>
    </cfRule>
    <cfRule type="expression" dxfId="3092" priority="31">
      <formula>AND(IF($Q45=3,1,IF($Q45=4,1,0)),IF($F45&lt;=85,1,0))</formula>
    </cfRule>
  </conditionalFormatting>
  <conditionalFormatting sqref="X45">
    <cfRule type="expression" dxfId="3091" priority="24">
      <formula>AND(IF(OR($Q45=1,$Q45=2),1,0),IF($X45&lt;=20,1,0))</formula>
    </cfRule>
    <cfRule type="expression" dxfId="3090" priority="25">
      <formula>AND(IF($Q45=2,1,0),IF($X45&lt;30,1,0))</formula>
    </cfRule>
    <cfRule type="expression" dxfId="3089" priority="26">
      <formula>AND(IF($Q45=3,1,0),IF($X45&lt;30,1,0))</formula>
    </cfRule>
    <cfRule type="expression" dxfId="3088" priority="27">
      <formula>AND(IF($Q45=3,1,IF($Q45=4,1,0)),IF($F45&lt;=85,1,0))</formula>
    </cfRule>
  </conditionalFormatting>
  <conditionalFormatting sqref="AI45">
    <cfRule type="expression" dxfId="3087" priority="20">
      <formula>AND(IF(OR($Q45=1,$Q45=2),1,0),IF($X45&lt;=20,1,0))</formula>
    </cfRule>
    <cfRule type="expression" dxfId="3086" priority="21">
      <formula>AND(IF($Q45=2,1,0),IF($X45&lt;30,1,0))</formula>
    </cfRule>
    <cfRule type="expression" dxfId="3085" priority="22">
      <formula>AND(IF($Q45=3,1,0),IF($X45&lt;30,1,0))</formula>
    </cfRule>
    <cfRule type="expression" dxfId="3084" priority="23">
      <formula>AND(IF($Q45=3,1,IF($Q45=4,1,0)),IF($F45&lt;=85,1,0))</formula>
    </cfRule>
  </conditionalFormatting>
  <conditionalFormatting sqref="AV46">
    <cfRule type="expression" dxfId="3083" priority="18">
      <formula>AV46="X"</formula>
    </cfRule>
    <cfRule type="expression" dxfId="3082" priority="19">
      <formula>AV46="후보"</formula>
    </cfRule>
  </conditionalFormatting>
  <conditionalFormatting sqref="AC46">
    <cfRule type="cellIs" dxfId="3081" priority="15" operator="greaterThan">
      <formula>0.9</formula>
    </cfRule>
    <cfRule type="cellIs" dxfId="3080" priority="16" operator="greaterThan">
      <formula>0.85</formula>
    </cfRule>
  </conditionalFormatting>
  <conditionalFormatting sqref="N46">
    <cfRule type="cellIs" dxfId="3079" priority="13" operator="greaterThan">
      <formula>0.9</formula>
    </cfRule>
    <cfRule type="cellIs" dxfId="3078" priority="14" operator="greaterThan">
      <formula>0.85</formula>
    </cfRule>
  </conditionalFormatting>
  <conditionalFormatting sqref="E46">
    <cfRule type="expression" dxfId="3077" priority="9">
      <formula>AND(IF(OR($Q46=1,$Q46=2),1,0),IF($X46&lt;=20,1,0))</formula>
    </cfRule>
    <cfRule type="expression" dxfId="3076" priority="10">
      <formula>AND(IF($Q46=2,1,0),IF($X46&lt;30,1,0))</formula>
    </cfRule>
    <cfRule type="expression" dxfId="3075" priority="11">
      <formula>AND(IF($Q46=3,1,0),IF($X46&lt;30,1,0))</formula>
    </cfRule>
    <cfRule type="expression" dxfId="3074" priority="12">
      <formula>AND(IF($Q46=3,1,IF($Q46=4,1,0)),IF($F46&lt;=85,1,0))</formula>
    </cfRule>
  </conditionalFormatting>
  <conditionalFormatting sqref="X46">
    <cfRule type="expression" dxfId="3073" priority="5">
      <formula>AND(IF(OR($Q46=1,$Q46=2),1,0),IF($X46&lt;=20,1,0))</formula>
    </cfRule>
    <cfRule type="expression" dxfId="3072" priority="6">
      <formula>AND(IF($Q46=2,1,0),IF($X46&lt;30,1,0))</formula>
    </cfRule>
    <cfRule type="expression" dxfId="3071" priority="7">
      <formula>AND(IF($Q46=3,1,0),IF($X46&lt;30,1,0))</formula>
    </cfRule>
    <cfRule type="expression" dxfId="3070" priority="8">
      <formula>AND(IF($Q46=3,1,IF($Q46=4,1,0)),IF($F46&lt;=85,1,0))</formula>
    </cfRule>
  </conditionalFormatting>
  <conditionalFormatting sqref="AI46">
    <cfRule type="expression" dxfId="3069" priority="1">
      <formula>AND(IF(OR($Q46=1,$Q46=2),1,0),IF($X46&lt;=20,1,0))</formula>
    </cfRule>
    <cfRule type="expression" dxfId="3068" priority="2">
      <formula>AND(IF($Q46=2,1,0),IF($X46&lt;30,1,0))</formula>
    </cfRule>
    <cfRule type="expression" dxfId="3067" priority="3">
      <formula>AND(IF($Q46=3,1,0),IF($X46&lt;30,1,0))</formula>
    </cfRule>
    <cfRule type="expression" dxfId="3066" priority="4">
      <formula>AND(IF($Q46=3,1,IF($Q46=4,1,0)),IF($F46&lt;=85,1,0))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오창읍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오창읍 대원칸타빌(2블럭)('17.02.,592^)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438</v>
      </c>
      <c r="B6" s="10" t="s">
        <v>913</v>
      </c>
      <c r="C6" s="89">
        <v>592</v>
      </c>
      <c r="D6" s="87">
        <v>98.6</v>
      </c>
      <c r="E6" s="88">
        <v>30</v>
      </c>
      <c r="F6" s="87">
        <v>75.3</v>
      </c>
      <c r="G6" s="17">
        <v>23</v>
      </c>
      <c r="H6" s="89">
        <v>126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98</v>
      </c>
      <c r="U6" s="9"/>
      <c r="W6" s="87">
        <f t="shared" ref="W6:X8" si="2">D6</f>
        <v>98.6</v>
      </c>
      <c r="X6" s="88">
        <f t="shared" si="2"/>
        <v>30</v>
      </c>
      <c r="Y6" s="93">
        <f t="shared" ref="Y6:Z8" si="3">H6</f>
        <v>126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대원칸타빌(2블럭)</v>
      </c>
      <c r="AI6" s="88">
        <f t="shared" si="0"/>
        <v>30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438</v>
      </c>
      <c r="B7" s="10" t="s">
        <v>913</v>
      </c>
      <c r="C7" s="89">
        <v>592</v>
      </c>
      <c r="D7" s="87">
        <v>111.5</v>
      </c>
      <c r="E7" s="88">
        <v>34</v>
      </c>
      <c r="F7" s="87">
        <v>85</v>
      </c>
      <c r="G7" s="17">
        <v>26</v>
      </c>
      <c r="H7" s="89">
        <v>408</v>
      </c>
      <c r="I7" s="90">
        <v>39000</v>
      </c>
      <c r="J7" s="90" t="s">
        <v>70</v>
      </c>
      <c r="K7" s="90">
        <v>33000</v>
      </c>
      <c r="L7" s="90" t="s">
        <v>69</v>
      </c>
      <c r="M7" s="91">
        <f>I7-K7</f>
        <v>6000</v>
      </c>
      <c r="N7" s="4">
        <f>IF(ISERROR(K7/I7),"",K7/I7)</f>
        <v>0.84615384615384615</v>
      </c>
      <c r="O7" s="92">
        <f>I7/E7</f>
        <v>1147.0588235294117</v>
      </c>
      <c r="P7" s="92">
        <f>K7/E7</f>
        <v>970.58823529411768</v>
      </c>
      <c r="Q7" s="80">
        <v>3</v>
      </c>
      <c r="R7" s="80">
        <v>2</v>
      </c>
      <c r="S7" s="80" t="s">
        <v>61</v>
      </c>
      <c r="T7" s="5" t="s">
        <v>109</v>
      </c>
      <c r="U7" s="9"/>
      <c r="W7" s="87">
        <f t="shared" si="2"/>
        <v>111.5</v>
      </c>
      <c r="X7" s="88">
        <f t="shared" si="2"/>
        <v>34</v>
      </c>
      <c r="Y7" s="93">
        <f t="shared" si="3"/>
        <v>408</v>
      </c>
      <c r="Z7" s="91">
        <f t="shared" si="3"/>
        <v>39000</v>
      </c>
      <c r="AA7" s="91">
        <f>K7</f>
        <v>33000</v>
      </c>
      <c r="AB7" s="91">
        <f t="shared" si="4"/>
        <v>6000</v>
      </c>
      <c r="AC7" s="4">
        <f t="shared" si="4"/>
        <v>0.84615384615384615</v>
      </c>
      <c r="AD7" s="92">
        <f t="shared" si="4"/>
        <v>1147.0588235294117</v>
      </c>
      <c r="AE7" s="80" t="str">
        <f>S7</f>
        <v>계</v>
      </c>
      <c r="AF7" s="80" t="str">
        <f>Q7&amp;"/"&amp;R7</f>
        <v>3/2</v>
      </c>
      <c r="AH7" s="20" t="str">
        <f t="shared" si="1"/>
        <v>대원칸타빌(2블럭)</v>
      </c>
      <c r="AI7" s="88">
        <f t="shared" si="0"/>
        <v>34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 t="s">
        <v>438</v>
      </c>
      <c r="B8" s="10" t="s">
        <v>913</v>
      </c>
      <c r="C8" s="89">
        <v>592</v>
      </c>
      <c r="D8" s="87">
        <v>113</v>
      </c>
      <c r="E8" s="88">
        <v>34</v>
      </c>
      <c r="F8" s="87">
        <v>84.9</v>
      </c>
      <c r="G8" s="17">
        <v>26</v>
      </c>
      <c r="H8" s="89">
        <v>58</v>
      </c>
      <c r="I8" s="90">
        <v>42000</v>
      </c>
      <c r="J8" s="90" t="s">
        <v>69</v>
      </c>
      <c r="K8" s="90">
        <v>33000</v>
      </c>
      <c r="L8" s="90" t="s">
        <v>68</v>
      </c>
      <c r="M8" s="91">
        <f>I8-K8</f>
        <v>9000</v>
      </c>
      <c r="N8" s="4">
        <f>IF(ISERROR(K8/I8),"",K8/I8)</f>
        <v>0.7857142857142857</v>
      </c>
      <c r="O8" s="92">
        <f>I8/E8</f>
        <v>1235.2941176470588</v>
      </c>
      <c r="P8" s="92">
        <f>K8/E8</f>
        <v>970.58823529411768</v>
      </c>
      <c r="Q8" s="80">
        <v>3</v>
      </c>
      <c r="R8" s="80">
        <v>2</v>
      </c>
      <c r="S8" s="80" t="s">
        <v>61</v>
      </c>
      <c r="T8" s="5" t="s">
        <v>443</v>
      </c>
      <c r="U8" s="9"/>
      <c r="W8" s="87">
        <f t="shared" si="2"/>
        <v>113</v>
      </c>
      <c r="X8" s="88">
        <f t="shared" si="2"/>
        <v>34</v>
      </c>
      <c r="Y8" s="93">
        <f t="shared" si="3"/>
        <v>58</v>
      </c>
      <c r="Z8" s="91">
        <f t="shared" si="3"/>
        <v>42000</v>
      </c>
      <c r="AA8" s="91">
        <f>K8</f>
        <v>33000</v>
      </c>
      <c r="AB8" s="91">
        <f t="shared" si="4"/>
        <v>9000</v>
      </c>
      <c r="AC8" s="4">
        <f t="shared" si="4"/>
        <v>0.7857142857142857</v>
      </c>
      <c r="AD8" s="92">
        <f t="shared" si="4"/>
        <v>1235.2941176470588</v>
      </c>
      <c r="AE8" s="80" t="str">
        <f>S8</f>
        <v>계</v>
      </c>
      <c r="AF8" s="80" t="str">
        <f>Q8&amp;"/"&amp;R8</f>
        <v>3/2</v>
      </c>
      <c r="AH8" s="20" t="str">
        <f t="shared" si="1"/>
        <v>대원칸타빌(2블럭)</v>
      </c>
      <c r="AI8" s="88">
        <f t="shared" si="0"/>
        <v>34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오창읍 오창모아미래도와이드시티('16.01.,472^)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444</v>
      </c>
      <c r="B10" s="10" t="s">
        <v>914</v>
      </c>
      <c r="C10" s="89">
        <v>472</v>
      </c>
      <c r="D10" s="87">
        <v>99.1</v>
      </c>
      <c r="E10" s="88">
        <v>30</v>
      </c>
      <c r="F10" s="87">
        <v>74.8</v>
      </c>
      <c r="G10" s="17">
        <v>23</v>
      </c>
      <c r="H10" s="89">
        <v>71</v>
      </c>
      <c r="I10" s="90">
        <v>34500</v>
      </c>
      <c r="J10" s="90" t="s">
        <v>70</v>
      </c>
      <c r="K10" s="90"/>
      <c r="L10" s="90"/>
      <c r="M10" s="91">
        <f>I10-K10</f>
        <v>34500</v>
      </c>
      <c r="N10" s="4">
        <f>IF(ISERROR(K10/I10),"",K10/I10)</f>
        <v>0</v>
      </c>
      <c r="O10" s="92">
        <f>I10/E10</f>
        <v>1150</v>
      </c>
      <c r="P10" s="92">
        <f>K10/E10</f>
        <v>0</v>
      </c>
      <c r="Q10" s="80">
        <v>3</v>
      </c>
      <c r="R10" s="80">
        <v>2</v>
      </c>
      <c r="S10" s="80" t="s">
        <v>61</v>
      </c>
      <c r="T10" s="5">
        <v>99</v>
      </c>
      <c r="U10" s="9"/>
      <c r="W10" s="87">
        <f>D10</f>
        <v>99.1</v>
      </c>
      <c r="X10" s="88">
        <f>E10</f>
        <v>30</v>
      </c>
      <c r="Y10" s="93">
        <f>H10</f>
        <v>71</v>
      </c>
      <c r="Z10" s="91">
        <f>I10</f>
        <v>34500</v>
      </c>
      <c r="AA10" s="91">
        <f>K10</f>
        <v>0</v>
      </c>
      <c r="AB10" s="91">
        <f t="shared" ref="AB10:AD11" si="5">M10</f>
        <v>34500</v>
      </c>
      <c r="AC10" s="4">
        <f t="shared" si="5"/>
        <v>0</v>
      </c>
      <c r="AD10" s="92">
        <f t="shared" si="5"/>
        <v>1150</v>
      </c>
      <c r="AE10" s="80" t="str">
        <f>S10</f>
        <v>계</v>
      </c>
      <c r="AF10" s="80" t="str">
        <f>Q10&amp;"/"&amp;R10</f>
        <v>3/2</v>
      </c>
      <c r="AH10" s="20" t="str">
        <f t="shared" si="1"/>
        <v>오창모아미래도와이드시티</v>
      </c>
      <c r="AI10" s="88">
        <f t="shared" si="0"/>
        <v>30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444</v>
      </c>
      <c r="B11" s="10" t="s">
        <v>914</v>
      </c>
      <c r="C11" s="89">
        <v>472</v>
      </c>
      <c r="D11" s="87">
        <v>110.5</v>
      </c>
      <c r="E11" s="88">
        <v>33</v>
      </c>
      <c r="F11" s="87">
        <v>85</v>
      </c>
      <c r="G11" s="17">
        <v>26</v>
      </c>
      <c r="H11" s="89">
        <v>401</v>
      </c>
      <c r="I11" s="90">
        <v>40000</v>
      </c>
      <c r="J11" s="90" t="s">
        <v>68</v>
      </c>
      <c r="K11" s="90">
        <v>32000</v>
      </c>
      <c r="L11" s="90" t="s">
        <v>68</v>
      </c>
      <c r="M11" s="91">
        <f>I11-K11</f>
        <v>8000</v>
      </c>
      <c r="N11" s="4">
        <f>IF(ISERROR(K11/I11),"",K11/I11)</f>
        <v>0.8</v>
      </c>
      <c r="O11" s="92">
        <f>I11/E11</f>
        <v>1212.121212121212</v>
      </c>
      <c r="P11" s="92">
        <f>K11/E11</f>
        <v>969.69696969696975</v>
      </c>
      <c r="Q11" s="80">
        <v>3</v>
      </c>
      <c r="R11" s="80">
        <v>2</v>
      </c>
      <c r="S11" s="80" t="s">
        <v>61</v>
      </c>
      <c r="T11" s="5">
        <v>110</v>
      </c>
      <c r="U11" s="9"/>
      <c r="W11" s="87">
        <f>D11</f>
        <v>110.5</v>
      </c>
      <c r="X11" s="88">
        <f>E11</f>
        <v>33</v>
      </c>
      <c r="Y11" s="93">
        <f>H11</f>
        <v>401</v>
      </c>
      <c r="Z11" s="91">
        <f>I11</f>
        <v>40000</v>
      </c>
      <c r="AA11" s="91">
        <f>K11</f>
        <v>32000</v>
      </c>
      <c r="AB11" s="91">
        <f t="shared" si="5"/>
        <v>8000</v>
      </c>
      <c r="AC11" s="4">
        <f t="shared" si="5"/>
        <v>0.8</v>
      </c>
      <c r="AD11" s="92">
        <f t="shared" si="5"/>
        <v>1212.121212121212</v>
      </c>
      <c r="AE11" s="80" t="str">
        <f>S11</f>
        <v>계</v>
      </c>
      <c r="AF11" s="80" t="str">
        <f>Q11&amp;"/"&amp;R11</f>
        <v>3/2</v>
      </c>
      <c r="AH11" s="20" t="str">
        <f t="shared" si="1"/>
        <v>오창모아미래도와이드시티</v>
      </c>
      <c r="AI11" s="88">
        <f t="shared" si="0"/>
        <v>33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오창읍 오창쌍용스윗닷홈예가('06.05.,622^)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458</v>
      </c>
      <c r="B13" s="10" t="s">
        <v>915</v>
      </c>
      <c r="C13" s="89">
        <v>622</v>
      </c>
      <c r="D13" s="87">
        <v>83.8</v>
      </c>
      <c r="E13" s="88">
        <v>25</v>
      </c>
      <c r="F13" s="87">
        <v>59.9</v>
      </c>
      <c r="G13" s="17">
        <v>18</v>
      </c>
      <c r="H13" s="89">
        <v>172</v>
      </c>
      <c r="I13" s="90">
        <v>22000</v>
      </c>
      <c r="J13" s="90" t="s">
        <v>66</v>
      </c>
      <c r="K13" s="90">
        <v>22000</v>
      </c>
      <c r="L13" s="90" t="s">
        <v>67</v>
      </c>
      <c r="M13" s="91">
        <f>I13-K13</f>
        <v>0</v>
      </c>
      <c r="N13" s="4">
        <f>IF(ISERROR(K13/I13),"",K13/I13)</f>
        <v>1</v>
      </c>
      <c r="O13" s="92">
        <f>I13/E13</f>
        <v>880</v>
      </c>
      <c r="P13" s="92">
        <f>K13/E13</f>
        <v>880</v>
      </c>
      <c r="Q13" s="80">
        <v>3</v>
      </c>
      <c r="R13" s="80">
        <v>2</v>
      </c>
      <c r="S13" s="80" t="s">
        <v>61</v>
      </c>
      <c r="T13" s="5">
        <v>83</v>
      </c>
      <c r="U13" s="9"/>
      <c r="W13" s="87">
        <f t="shared" ref="W13:X15" si="6">D13</f>
        <v>83.8</v>
      </c>
      <c r="X13" s="88">
        <f t="shared" si="6"/>
        <v>25</v>
      </c>
      <c r="Y13" s="93">
        <f t="shared" ref="Y13:Z15" si="7">H13</f>
        <v>172</v>
      </c>
      <c r="Z13" s="91">
        <f t="shared" si="7"/>
        <v>22000</v>
      </c>
      <c r="AA13" s="91">
        <f>K13</f>
        <v>22000</v>
      </c>
      <c r="AB13" s="91">
        <f t="shared" ref="AB13:AD15" si="8">M13</f>
        <v>0</v>
      </c>
      <c r="AC13" s="4">
        <f t="shared" si="8"/>
        <v>1</v>
      </c>
      <c r="AD13" s="92">
        <f t="shared" si="8"/>
        <v>880</v>
      </c>
      <c r="AE13" s="80" t="str">
        <f>S13</f>
        <v>계</v>
      </c>
      <c r="AF13" s="80" t="str">
        <f>Q13&amp;"/"&amp;R13</f>
        <v>3/2</v>
      </c>
      <c r="AH13" s="20" t="str">
        <f t="shared" si="1"/>
        <v>오창쌍용스윗닷홈예가</v>
      </c>
      <c r="AI13" s="88">
        <f t="shared" si="0"/>
        <v>25</v>
      </c>
      <c r="AJ13" s="80" t="str">
        <f>IF(AI13="","",$AJ$2)</f>
        <v>A-</v>
      </c>
      <c r="AK13" s="80" t="s">
        <v>13</v>
      </c>
      <c r="AL13" s="80" t="s">
        <v>62</v>
      </c>
      <c r="AM13" s="80" t="s">
        <v>63</v>
      </c>
      <c r="AN13" s="80" t="str">
        <f>IF(AI13="","",$AN$2)</f>
        <v>C</v>
      </c>
      <c r="AO13" s="80" t="str">
        <f>IF(N13="","",IF(N13&gt;=$AO$1/100,"O","X"))</f>
        <v>O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후보</v>
      </c>
    </row>
    <row r="14" spans="1:48" x14ac:dyDescent="0.3">
      <c r="A14" s="9" t="s">
        <v>458</v>
      </c>
      <c r="B14" s="10" t="s">
        <v>915</v>
      </c>
      <c r="C14" s="89">
        <v>622</v>
      </c>
      <c r="D14" s="87">
        <v>109.7</v>
      </c>
      <c r="E14" s="88">
        <v>33</v>
      </c>
      <c r="F14" s="87">
        <v>85</v>
      </c>
      <c r="G14" s="17">
        <v>26</v>
      </c>
      <c r="H14" s="89">
        <v>270</v>
      </c>
      <c r="I14" s="90">
        <v>31000</v>
      </c>
      <c r="J14" s="90" t="s">
        <v>79</v>
      </c>
      <c r="K14" s="90">
        <v>28000</v>
      </c>
      <c r="L14" s="90" t="s">
        <v>77</v>
      </c>
      <c r="M14" s="91">
        <f>I14-K14</f>
        <v>3000</v>
      </c>
      <c r="N14" s="4">
        <f>IF(ISERROR(K14/I14),"",K14/I14)</f>
        <v>0.90322580645161288</v>
      </c>
      <c r="O14" s="92">
        <f>I14/E14</f>
        <v>939.39393939393938</v>
      </c>
      <c r="P14" s="92">
        <f>K14/E14</f>
        <v>848.4848484848485</v>
      </c>
      <c r="Q14" s="80">
        <v>3</v>
      </c>
      <c r="R14" s="80">
        <v>2</v>
      </c>
      <c r="S14" s="80" t="s">
        <v>61</v>
      </c>
      <c r="T14" s="5">
        <v>109</v>
      </c>
      <c r="U14" s="9"/>
      <c r="W14" s="87">
        <f t="shared" si="6"/>
        <v>109.7</v>
      </c>
      <c r="X14" s="88">
        <f t="shared" si="6"/>
        <v>33</v>
      </c>
      <c r="Y14" s="93">
        <f t="shared" si="7"/>
        <v>270</v>
      </c>
      <c r="Z14" s="91">
        <f t="shared" si="7"/>
        <v>31000</v>
      </c>
      <c r="AA14" s="91">
        <f>K14</f>
        <v>28000</v>
      </c>
      <c r="AB14" s="91">
        <f t="shared" si="8"/>
        <v>3000</v>
      </c>
      <c r="AC14" s="4">
        <f t="shared" si="8"/>
        <v>0.90322580645161288</v>
      </c>
      <c r="AD14" s="92">
        <f t="shared" si="8"/>
        <v>939.39393939393938</v>
      </c>
      <c r="AE14" s="80" t="str">
        <f>S14</f>
        <v>계</v>
      </c>
      <c r="AF14" s="80" t="str">
        <f>Q14&amp;"/"&amp;R14</f>
        <v>3/2</v>
      </c>
      <c r="AH14" s="20" t="str">
        <f t="shared" si="1"/>
        <v>오창쌍용스윗닷홈예가</v>
      </c>
      <c r="AI14" s="88">
        <f t="shared" si="0"/>
        <v>33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O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후보</v>
      </c>
    </row>
    <row r="15" spans="1:48" x14ac:dyDescent="0.3">
      <c r="A15" s="9" t="s">
        <v>458</v>
      </c>
      <c r="B15" s="10" t="s">
        <v>915</v>
      </c>
      <c r="C15" s="89">
        <v>622</v>
      </c>
      <c r="D15" s="87">
        <v>151.69999999999999</v>
      </c>
      <c r="E15" s="88">
        <v>46</v>
      </c>
      <c r="F15" s="87">
        <v>121.5</v>
      </c>
      <c r="G15" s="17">
        <v>37</v>
      </c>
      <c r="H15" s="89">
        <v>180</v>
      </c>
      <c r="I15" s="90">
        <v>37000</v>
      </c>
      <c r="J15" s="90" t="s">
        <v>70</v>
      </c>
      <c r="K15" s="90">
        <v>35000</v>
      </c>
      <c r="L15" s="90" t="s">
        <v>70</v>
      </c>
      <c r="M15" s="91">
        <f>I15-K15</f>
        <v>2000</v>
      </c>
      <c r="N15" s="4">
        <f>IF(ISERROR(K15/I15),"",K15/I15)</f>
        <v>0.94594594594594594</v>
      </c>
      <c r="O15" s="92">
        <f>I15/E15</f>
        <v>804.3478260869565</v>
      </c>
      <c r="P15" s="92">
        <f>K15/E15</f>
        <v>760.86956521739125</v>
      </c>
      <c r="Q15" s="80">
        <v>4</v>
      </c>
      <c r="R15" s="80">
        <v>2</v>
      </c>
      <c r="S15" s="80" t="s">
        <v>61</v>
      </c>
      <c r="T15" s="5">
        <v>151</v>
      </c>
      <c r="U15" s="9"/>
      <c r="W15" s="87">
        <f t="shared" si="6"/>
        <v>151.69999999999999</v>
      </c>
      <c r="X15" s="88">
        <f t="shared" si="6"/>
        <v>46</v>
      </c>
      <c r="Y15" s="93">
        <f t="shared" si="7"/>
        <v>180</v>
      </c>
      <c r="Z15" s="91">
        <f t="shared" si="7"/>
        <v>37000</v>
      </c>
      <c r="AA15" s="91">
        <f>K15</f>
        <v>35000</v>
      </c>
      <c r="AB15" s="91">
        <f t="shared" si="8"/>
        <v>2000</v>
      </c>
      <c r="AC15" s="4">
        <f t="shared" si="8"/>
        <v>0.94594594594594594</v>
      </c>
      <c r="AD15" s="92">
        <f t="shared" si="8"/>
        <v>804.3478260869565</v>
      </c>
      <c r="AE15" s="80" t="str">
        <f>S15</f>
        <v>계</v>
      </c>
      <c r="AF15" s="80" t="str">
        <f>Q15&amp;"/"&amp;R15</f>
        <v>4/2</v>
      </c>
      <c r="AH15" s="20" t="str">
        <f t="shared" si="1"/>
        <v>오창쌍용스윗닷홈예가</v>
      </c>
      <c r="AI15" s="88">
        <f t="shared" si="0"/>
        <v>46</v>
      </c>
      <c r="AJ15" s="80" t="str">
        <f>IF(AI15="","",$AJ$2)</f>
        <v>A-</v>
      </c>
      <c r="AK15" s="80" t="s">
        <v>13</v>
      </c>
      <c r="AL15" s="80" t="s">
        <v>62</v>
      </c>
      <c r="AM15" s="80" t="s">
        <v>63</v>
      </c>
      <c r="AN15" s="80" t="str">
        <f>IF(AI15="","",$AN$2)</f>
        <v>C</v>
      </c>
      <c r="AO15" s="80" t="str">
        <f>IF(N15="","",IF(N15&gt;=$AO$1/100,"O","X"))</f>
        <v>O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X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8" t="str">
        <f>$A$4&amp;" "&amp;A17&amp;"("&amp;B17&amp;","&amp;C17&amp;"^)"</f>
        <v>오창읍 중앙하이츠빌('06.05.,1338^)</v>
      </c>
      <c r="X16" s="69"/>
      <c r="Y16" s="69"/>
      <c r="Z16" s="69"/>
      <c r="AA16" s="69"/>
      <c r="AB16" s="69"/>
      <c r="AC16" s="69"/>
      <c r="AD16" s="69"/>
      <c r="AE16" s="69"/>
      <c r="AF16" s="70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468</v>
      </c>
      <c r="B17" s="10" t="s">
        <v>915</v>
      </c>
      <c r="C17" s="89">
        <v>1338</v>
      </c>
      <c r="D17" s="87">
        <v>85.7</v>
      </c>
      <c r="E17" s="88">
        <v>26</v>
      </c>
      <c r="F17" s="87">
        <v>59.9</v>
      </c>
      <c r="G17" s="17">
        <v>18</v>
      </c>
      <c r="H17" s="89">
        <v>396</v>
      </c>
      <c r="I17" s="90">
        <v>24000</v>
      </c>
      <c r="J17" s="90" t="s">
        <v>70</v>
      </c>
      <c r="K17" s="90">
        <v>23000</v>
      </c>
      <c r="L17" s="90" t="s">
        <v>101</v>
      </c>
      <c r="M17" s="91">
        <f t="shared" ref="M17:M22" si="9">I17-K17</f>
        <v>1000</v>
      </c>
      <c r="N17" s="4">
        <f t="shared" ref="N17:N22" si="10">IF(ISERROR(K17/I17),"",K17/I17)</f>
        <v>0.95833333333333337</v>
      </c>
      <c r="O17" s="92">
        <f t="shared" ref="O17:O22" si="11">I17/E17</f>
        <v>923.07692307692309</v>
      </c>
      <c r="P17" s="92">
        <f t="shared" ref="P17:P22" si="12">K17/E17</f>
        <v>884.61538461538464</v>
      </c>
      <c r="Q17" s="80">
        <v>3</v>
      </c>
      <c r="R17" s="80">
        <v>2</v>
      </c>
      <c r="S17" s="80" t="s">
        <v>61</v>
      </c>
      <c r="T17" s="5">
        <v>85</v>
      </c>
      <c r="U17" s="9"/>
      <c r="W17" s="87">
        <f t="shared" ref="W17:X22" si="13">D17</f>
        <v>85.7</v>
      </c>
      <c r="X17" s="88">
        <f t="shared" si="13"/>
        <v>26</v>
      </c>
      <c r="Y17" s="93">
        <f t="shared" ref="Y17:Z22" si="14">H17</f>
        <v>396</v>
      </c>
      <c r="Z17" s="91">
        <f t="shared" si="14"/>
        <v>24000</v>
      </c>
      <c r="AA17" s="91">
        <f t="shared" ref="AA17:AA22" si="15">K17</f>
        <v>23000</v>
      </c>
      <c r="AB17" s="91">
        <f t="shared" ref="AB17:AD22" si="16">M17</f>
        <v>1000</v>
      </c>
      <c r="AC17" s="4">
        <f t="shared" si="16"/>
        <v>0.95833333333333337</v>
      </c>
      <c r="AD17" s="92">
        <f t="shared" si="16"/>
        <v>923.07692307692309</v>
      </c>
      <c r="AE17" s="80" t="str">
        <f t="shared" ref="AE17:AE22" si="17">S17</f>
        <v>계</v>
      </c>
      <c r="AF17" s="80" t="str">
        <f t="shared" ref="AF17:AF22" si="18">Q17&amp;"/"&amp;R17</f>
        <v>3/2</v>
      </c>
      <c r="AH17" s="20" t="str">
        <f t="shared" si="1"/>
        <v>중앙하이츠빌</v>
      </c>
      <c r="AI17" s="88">
        <f t="shared" si="0"/>
        <v>26</v>
      </c>
      <c r="AJ17" s="80" t="str">
        <f t="shared" ref="AJ17:AJ22" si="19">IF(AI17="","",$AJ$2)</f>
        <v>A-</v>
      </c>
      <c r="AK17" s="80" t="s">
        <v>13</v>
      </c>
      <c r="AL17" s="80" t="s">
        <v>62</v>
      </c>
      <c r="AM17" s="80" t="s">
        <v>63</v>
      </c>
      <c r="AN17" s="80" t="str">
        <f t="shared" ref="AN17:AN22" si="20">IF(AI17="","",$AN$2)</f>
        <v>C</v>
      </c>
      <c r="AO17" s="80" t="str">
        <f t="shared" ref="AO17:AO22" si="21">IF(N17="","",IF(N17&gt;=$AO$1/100,"O","X"))</f>
        <v>O</v>
      </c>
      <c r="AP17" s="80" t="str">
        <f t="shared" ref="AP17:AP22" si="22">IF(I17="","",IF(I17&lt;=$AP$1,"O","X"))</f>
        <v>O</v>
      </c>
      <c r="AQ17" s="80" t="str">
        <f t="shared" ref="AQ17:AQ22" si="23">IF(O17="","",IF(O17&lt;=$AQ$1,"O","X"))</f>
        <v>O</v>
      </c>
      <c r="AR17" s="80" t="str">
        <f t="shared" ref="AR17:AR22" si="24">IF(M17="","",IF(M17&lt;=$AR$1,"O","X"))</f>
        <v>O</v>
      </c>
      <c r="AS17" s="80" t="s">
        <v>2</v>
      </c>
      <c r="AT17" s="80" t="str">
        <f t="shared" ref="AT17:AT22" si="25">IF(OR(F17="",AI17=""),"",IF(AND((F17&lt;=85),(AI17&gt;=15)),"O","X"))</f>
        <v>O</v>
      </c>
      <c r="AU17" s="80" t="str">
        <f t="shared" ref="AU17:AU22" si="26">IF(C17="","",IF(C17&gt;=$AU$1,"O","X"))</f>
        <v>O</v>
      </c>
      <c r="AV17" s="80" t="str">
        <f t="shared" ref="AV17:AV22" si="27">IF(AO17="","",IF(AND(AO17="O",AP17="O",AR17="O",AT17="O",AU17="O"),"후보","X"))</f>
        <v>후보</v>
      </c>
    </row>
    <row r="18" spans="1:48" x14ac:dyDescent="0.3">
      <c r="A18" s="9" t="s">
        <v>468</v>
      </c>
      <c r="B18" s="10" t="s">
        <v>915</v>
      </c>
      <c r="C18" s="89">
        <v>1338</v>
      </c>
      <c r="D18" s="87">
        <v>115.5</v>
      </c>
      <c r="E18" s="88">
        <v>35</v>
      </c>
      <c r="F18" s="87">
        <v>84.7</v>
      </c>
      <c r="G18" s="17">
        <v>26</v>
      </c>
      <c r="H18" s="89">
        <v>498</v>
      </c>
      <c r="I18" s="90">
        <v>31000</v>
      </c>
      <c r="J18" s="90" t="s">
        <v>66</v>
      </c>
      <c r="K18" s="90">
        <v>28000</v>
      </c>
      <c r="L18" s="90" t="s">
        <v>86</v>
      </c>
      <c r="M18" s="91">
        <f t="shared" si="9"/>
        <v>3000</v>
      </c>
      <c r="N18" s="4">
        <f t="shared" si="10"/>
        <v>0.90322580645161288</v>
      </c>
      <c r="O18" s="92">
        <f t="shared" si="11"/>
        <v>885.71428571428567</v>
      </c>
      <c r="P18" s="92">
        <f t="shared" si="12"/>
        <v>800</v>
      </c>
      <c r="Q18" s="80">
        <v>3</v>
      </c>
      <c r="R18" s="80">
        <v>2</v>
      </c>
      <c r="S18" s="80" t="s">
        <v>61</v>
      </c>
      <c r="T18" s="5" t="s">
        <v>71</v>
      </c>
      <c r="U18" s="9"/>
      <c r="W18" s="87">
        <f t="shared" si="13"/>
        <v>115.5</v>
      </c>
      <c r="X18" s="88">
        <f t="shared" si="13"/>
        <v>35</v>
      </c>
      <c r="Y18" s="93">
        <f t="shared" si="14"/>
        <v>498</v>
      </c>
      <c r="Z18" s="91">
        <f t="shared" si="14"/>
        <v>31000</v>
      </c>
      <c r="AA18" s="91">
        <f t="shared" si="15"/>
        <v>28000</v>
      </c>
      <c r="AB18" s="91">
        <f t="shared" si="16"/>
        <v>3000</v>
      </c>
      <c r="AC18" s="4">
        <f t="shared" si="16"/>
        <v>0.90322580645161288</v>
      </c>
      <c r="AD18" s="92">
        <f t="shared" si="16"/>
        <v>885.71428571428567</v>
      </c>
      <c r="AE18" s="80" t="str">
        <f t="shared" si="17"/>
        <v>계</v>
      </c>
      <c r="AF18" s="80" t="str">
        <f t="shared" si="18"/>
        <v>3/2</v>
      </c>
      <c r="AH18" s="20" t="str">
        <f t="shared" si="1"/>
        <v>중앙하이츠빌</v>
      </c>
      <c r="AI18" s="88">
        <f t="shared" si="0"/>
        <v>35</v>
      </c>
      <c r="AJ18" s="80" t="str">
        <f t="shared" si="19"/>
        <v>A-</v>
      </c>
      <c r="AK18" s="80" t="s">
        <v>13</v>
      </c>
      <c r="AL18" s="80" t="s">
        <v>62</v>
      </c>
      <c r="AM18" s="80" t="s">
        <v>63</v>
      </c>
      <c r="AN18" s="80" t="str">
        <f t="shared" si="20"/>
        <v>C</v>
      </c>
      <c r="AO18" s="80" t="str">
        <f t="shared" si="21"/>
        <v>O</v>
      </c>
      <c r="AP18" s="80" t="str">
        <f t="shared" si="22"/>
        <v>O</v>
      </c>
      <c r="AQ18" s="80" t="str">
        <f t="shared" si="23"/>
        <v>O</v>
      </c>
      <c r="AR18" s="80" t="str">
        <f t="shared" si="24"/>
        <v>O</v>
      </c>
      <c r="AS18" s="80" t="s">
        <v>2</v>
      </c>
      <c r="AT18" s="80" t="str">
        <f t="shared" si="25"/>
        <v>O</v>
      </c>
      <c r="AU18" s="80" t="str">
        <f t="shared" si="26"/>
        <v>O</v>
      </c>
      <c r="AV18" s="80" t="str">
        <f t="shared" si="27"/>
        <v>후보</v>
      </c>
    </row>
    <row r="19" spans="1:48" x14ac:dyDescent="0.3">
      <c r="A19" s="9" t="s">
        <v>468</v>
      </c>
      <c r="B19" s="10" t="s">
        <v>915</v>
      </c>
      <c r="C19" s="89">
        <v>1338</v>
      </c>
      <c r="D19" s="87">
        <v>115.6</v>
      </c>
      <c r="E19" s="88">
        <v>35</v>
      </c>
      <c r="F19" s="87">
        <v>84.7</v>
      </c>
      <c r="G19" s="17">
        <v>26</v>
      </c>
      <c r="H19" s="89">
        <v>86</v>
      </c>
      <c r="I19" s="90">
        <v>34500</v>
      </c>
      <c r="J19" s="90" t="s">
        <v>68</v>
      </c>
      <c r="K19" s="90"/>
      <c r="L19" s="90"/>
      <c r="M19" s="91">
        <f t="shared" si="9"/>
        <v>34500</v>
      </c>
      <c r="N19" s="4">
        <f t="shared" si="10"/>
        <v>0</v>
      </c>
      <c r="O19" s="92">
        <f t="shared" si="11"/>
        <v>985.71428571428567</v>
      </c>
      <c r="P19" s="92">
        <f t="shared" si="12"/>
        <v>0</v>
      </c>
      <c r="Q19" s="80">
        <v>3</v>
      </c>
      <c r="R19" s="80">
        <v>2</v>
      </c>
      <c r="S19" s="80" t="s">
        <v>61</v>
      </c>
      <c r="T19" s="5" t="s">
        <v>119</v>
      </c>
      <c r="U19" s="9"/>
      <c r="W19" s="87">
        <f t="shared" si="13"/>
        <v>115.6</v>
      </c>
      <c r="X19" s="88">
        <f t="shared" si="13"/>
        <v>35</v>
      </c>
      <c r="Y19" s="93">
        <f t="shared" si="14"/>
        <v>86</v>
      </c>
      <c r="Z19" s="91">
        <f t="shared" si="14"/>
        <v>34500</v>
      </c>
      <c r="AA19" s="91">
        <f t="shared" si="15"/>
        <v>0</v>
      </c>
      <c r="AB19" s="91">
        <f t="shared" si="16"/>
        <v>34500</v>
      </c>
      <c r="AC19" s="4">
        <f t="shared" si="16"/>
        <v>0</v>
      </c>
      <c r="AD19" s="92">
        <f t="shared" si="16"/>
        <v>985.71428571428567</v>
      </c>
      <c r="AE19" s="80" t="str">
        <f t="shared" si="17"/>
        <v>계</v>
      </c>
      <c r="AF19" s="80" t="str">
        <f t="shared" si="18"/>
        <v>3/2</v>
      </c>
      <c r="AH19" s="20" t="str">
        <f t="shared" si="1"/>
        <v>중앙하이츠빌</v>
      </c>
      <c r="AI19" s="88">
        <f t="shared" si="0"/>
        <v>35</v>
      </c>
      <c r="AJ19" s="80" t="str">
        <f t="shared" si="19"/>
        <v>A-</v>
      </c>
      <c r="AK19" s="80" t="s">
        <v>13</v>
      </c>
      <c r="AL19" s="80" t="s">
        <v>62</v>
      </c>
      <c r="AM19" s="80" t="s">
        <v>63</v>
      </c>
      <c r="AN19" s="80" t="str">
        <f t="shared" si="20"/>
        <v>C</v>
      </c>
      <c r="AO19" s="80" t="str">
        <f t="shared" si="21"/>
        <v>X</v>
      </c>
      <c r="AP19" s="80" t="str">
        <f t="shared" si="22"/>
        <v>O</v>
      </c>
      <c r="AQ19" s="80" t="str">
        <f t="shared" si="23"/>
        <v>O</v>
      </c>
      <c r="AR19" s="80" t="str">
        <f t="shared" si="24"/>
        <v>X</v>
      </c>
      <c r="AS19" s="80" t="s">
        <v>2</v>
      </c>
      <c r="AT19" s="80" t="str">
        <f t="shared" si="25"/>
        <v>O</v>
      </c>
      <c r="AU19" s="80" t="str">
        <f t="shared" si="26"/>
        <v>O</v>
      </c>
      <c r="AV19" s="80" t="str">
        <f t="shared" si="27"/>
        <v>X</v>
      </c>
    </row>
    <row r="20" spans="1:48" x14ac:dyDescent="0.3">
      <c r="A20" s="9" t="s">
        <v>468</v>
      </c>
      <c r="B20" s="10" t="s">
        <v>915</v>
      </c>
      <c r="C20" s="89">
        <v>1338</v>
      </c>
      <c r="D20" s="87">
        <v>130.6</v>
      </c>
      <c r="E20" s="88">
        <v>39</v>
      </c>
      <c r="F20" s="87">
        <v>102.2</v>
      </c>
      <c r="G20" s="17">
        <v>31</v>
      </c>
      <c r="H20" s="89">
        <v>142</v>
      </c>
      <c r="I20" s="90">
        <v>38000</v>
      </c>
      <c r="J20" s="90" t="s">
        <v>106</v>
      </c>
      <c r="K20" s="90"/>
      <c r="L20" s="90"/>
      <c r="M20" s="91">
        <f t="shared" si="9"/>
        <v>38000</v>
      </c>
      <c r="N20" s="4">
        <f t="shared" si="10"/>
        <v>0</v>
      </c>
      <c r="O20" s="92">
        <f t="shared" si="11"/>
        <v>974.35897435897436</v>
      </c>
      <c r="P20" s="92">
        <f t="shared" si="12"/>
        <v>0</v>
      </c>
      <c r="Q20" s="80">
        <v>3</v>
      </c>
      <c r="R20" s="80">
        <v>2</v>
      </c>
      <c r="S20" s="80" t="s">
        <v>61</v>
      </c>
      <c r="T20" s="5">
        <v>130</v>
      </c>
      <c r="U20" s="9"/>
      <c r="W20" s="87">
        <f t="shared" si="13"/>
        <v>130.6</v>
      </c>
      <c r="X20" s="88">
        <f t="shared" si="13"/>
        <v>39</v>
      </c>
      <c r="Y20" s="93">
        <f t="shared" si="14"/>
        <v>142</v>
      </c>
      <c r="Z20" s="91">
        <f t="shared" si="14"/>
        <v>38000</v>
      </c>
      <c r="AA20" s="91">
        <f t="shared" si="15"/>
        <v>0</v>
      </c>
      <c r="AB20" s="91">
        <f t="shared" si="16"/>
        <v>38000</v>
      </c>
      <c r="AC20" s="4">
        <f t="shared" si="16"/>
        <v>0</v>
      </c>
      <c r="AD20" s="92">
        <f t="shared" si="16"/>
        <v>974.35897435897436</v>
      </c>
      <c r="AE20" s="80" t="str">
        <f t="shared" si="17"/>
        <v>계</v>
      </c>
      <c r="AF20" s="80" t="str">
        <f t="shared" si="18"/>
        <v>3/2</v>
      </c>
      <c r="AH20" s="20" t="str">
        <f t="shared" si="1"/>
        <v>중앙하이츠빌</v>
      </c>
      <c r="AI20" s="88">
        <f t="shared" si="0"/>
        <v>39</v>
      </c>
      <c r="AJ20" s="80" t="str">
        <f t="shared" si="19"/>
        <v>A-</v>
      </c>
      <c r="AK20" s="80" t="s">
        <v>13</v>
      </c>
      <c r="AL20" s="80" t="s">
        <v>62</v>
      </c>
      <c r="AM20" s="80" t="s">
        <v>63</v>
      </c>
      <c r="AN20" s="80" t="str">
        <f t="shared" si="20"/>
        <v>C</v>
      </c>
      <c r="AO20" s="80" t="str">
        <f t="shared" si="21"/>
        <v>X</v>
      </c>
      <c r="AP20" s="80" t="str">
        <f t="shared" si="22"/>
        <v>O</v>
      </c>
      <c r="AQ20" s="80" t="str">
        <f t="shared" si="23"/>
        <v>O</v>
      </c>
      <c r="AR20" s="80" t="str">
        <f t="shared" si="24"/>
        <v>X</v>
      </c>
      <c r="AS20" s="80" t="s">
        <v>2</v>
      </c>
      <c r="AT20" s="80" t="str">
        <f t="shared" si="25"/>
        <v>X</v>
      </c>
      <c r="AU20" s="80" t="str">
        <f t="shared" si="26"/>
        <v>O</v>
      </c>
      <c r="AV20" s="80" t="str">
        <f t="shared" si="27"/>
        <v>X</v>
      </c>
    </row>
    <row r="21" spans="1:48" x14ac:dyDescent="0.3">
      <c r="A21" s="9" t="s">
        <v>468</v>
      </c>
      <c r="B21" s="10" t="s">
        <v>915</v>
      </c>
      <c r="C21" s="89">
        <v>1338</v>
      </c>
      <c r="D21" s="87">
        <v>160.6</v>
      </c>
      <c r="E21" s="88">
        <v>49</v>
      </c>
      <c r="F21" s="87">
        <v>129.19999999999999</v>
      </c>
      <c r="G21" s="17">
        <v>39</v>
      </c>
      <c r="H21" s="89">
        <v>144</v>
      </c>
      <c r="I21" s="90">
        <v>50000</v>
      </c>
      <c r="J21" s="90" t="s">
        <v>67</v>
      </c>
      <c r="K21" s="90"/>
      <c r="L21" s="90"/>
      <c r="M21" s="91">
        <f t="shared" si="9"/>
        <v>50000</v>
      </c>
      <c r="N21" s="4">
        <f t="shared" si="10"/>
        <v>0</v>
      </c>
      <c r="O21" s="92">
        <f t="shared" si="11"/>
        <v>1020.4081632653061</v>
      </c>
      <c r="P21" s="92">
        <f t="shared" si="12"/>
        <v>0</v>
      </c>
      <c r="Q21" s="80">
        <v>4</v>
      </c>
      <c r="R21" s="80">
        <v>2</v>
      </c>
      <c r="S21" s="80" t="s">
        <v>61</v>
      </c>
      <c r="T21" s="5">
        <v>160</v>
      </c>
      <c r="U21" s="9"/>
      <c r="W21" s="87">
        <f t="shared" si="13"/>
        <v>160.6</v>
      </c>
      <c r="X21" s="88">
        <f t="shared" si="13"/>
        <v>49</v>
      </c>
      <c r="Y21" s="93">
        <f t="shared" si="14"/>
        <v>144</v>
      </c>
      <c r="Z21" s="91">
        <f t="shared" si="14"/>
        <v>50000</v>
      </c>
      <c r="AA21" s="91">
        <f t="shared" si="15"/>
        <v>0</v>
      </c>
      <c r="AB21" s="91">
        <f t="shared" si="16"/>
        <v>50000</v>
      </c>
      <c r="AC21" s="4">
        <f t="shared" si="16"/>
        <v>0</v>
      </c>
      <c r="AD21" s="92">
        <f t="shared" si="16"/>
        <v>1020.4081632653061</v>
      </c>
      <c r="AE21" s="80" t="str">
        <f t="shared" si="17"/>
        <v>계</v>
      </c>
      <c r="AF21" s="80" t="str">
        <f t="shared" si="18"/>
        <v>4/2</v>
      </c>
      <c r="AH21" s="20" t="str">
        <f t="shared" si="1"/>
        <v>중앙하이츠빌</v>
      </c>
      <c r="AI21" s="88">
        <f t="shared" si="0"/>
        <v>49</v>
      </c>
      <c r="AJ21" s="80" t="str">
        <f t="shared" si="19"/>
        <v>A-</v>
      </c>
      <c r="AK21" s="80" t="s">
        <v>13</v>
      </c>
      <c r="AL21" s="80" t="s">
        <v>62</v>
      </c>
      <c r="AM21" s="80" t="s">
        <v>63</v>
      </c>
      <c r="AN21" s="80" t="str">
        <f t="shared" si="20"/>
        <v>C</v>
      </c>
      <c r="AO21" s="80" t="str">
        <f t="shared" si="21"/>
        <v>X</v>
      </c>
      <c r="AP21" s="80" t="str">
        <f t="shared" si="22"/>
        <v>X</v>
      </c>
      <c r="AQ21" s="80" t="str">
        <f t="shared" si="23"/>
        <v>X</v>
      </c>
      <c r="AR21" s="80" t="str">
        <f t="shared" si="24"/>
        <v>X</v>
      </c>
      <c r="AS21" s="80" t="s">
        <v>2</v>
      </c>
      <c r="AT21" s="80" t="str">
        <f t="shared" si="25"/>
        <v>X</v>
      </c>
      <c r="AU21" s="80" t="str">
        <f t="shared" si="26"/>
        <v>O</v>
      </c>
      <c r="AV21" s="80" t="str">
        <f t="shared" si="27"/>
        <v>X</v>
      </c>
    </row>
    <row r="22" spans="1:48" x14ac:dyDescent="0.3">
      <c r="A22" s="9" t="s">
        <v>468</v>
      </c>
      <c r="B22" s="10" t="s">
        <v>915</v>
      </c>
      <c r="C22" s="89">
        <v>1338</v>
      </c>
      <c r="D22" s="87">
        <v>186.1</v>
      </c>
      <c r="E22" s="88">
        <v>56</v>
      </c>
      <c r="F22" s="87">
        <v>147.80000000000001</v>
      </c>
      <c r="G22" s="17">
        <v>45</v>
      </c>
      <c r="H22" s="89">
        <v>72</v>
      </c>
      <c r="I22" s="90">
        <v>60000</v>
      </c>
      <c r="J22" s="90" t="s">
        <v>101</v>
      </c>
      <c r="K22" s="90"/>
      <c r="L22" s="90"/>
      <c r="M22" s="91">
        <f t="shared" si="9"/>
        <v>60000</v>
      </c>
      <c r="N22" s="4">
        <f t="shared" si="10"/>
        <v>0</v>
      </c>
      <c r="O22" s="92">
        <f t="shared" si="11"/>
        <v>1071.4285714285713</v>
      </c>
      <c r="P22" s="92">
        <f t="shared" si="12"/>
        <v>0</v>
      </c>
      <c r="Q22" s="80">
        <v>4</v>
      </c>
      <c r="R22" s="80">
        <v>2</v>
      </c>
      <c r="S22" s="80" t="s">
        <v>61</v>
      </c>
      <c r="T22" s="5">
        <v>186</v>
      </c>
      <c r="U22" s="9"/>
      <c r="W22" s="87">
        <f t="shared" si="13"/>
        <v>186.1</v>
      </c>
      <c r="X22" s="88">
        <f t="shared" si="13"/>
        <v>56</v>
      </c>
      <c r="Y22" s="93">
        <f t="shared" si="14"/>
        <v>72</v>
      </c>
      <c r="Z22" s="91">
        <f t="shared" si="14"/>
        <v>60000</v>
      </c>
      <c r="AA22" s="91">
        <f t="shared" si="15"/>
        <v>0</v>
      </c>
      <c r="AB22" s="91">
        <f t="shared" si="16"/>
        <v>60000</v>
      </c>
      <c r="AC22" s="4">
        <f t="shared" si="16"/>
        <v>0</v>
      </c>
      <c r="AD22" s="92">
        <f t="shared" si="16"/>
        <v>1071.4285714285713</v>
      </c>
      <c r="AE22" s="80" t="str">
        <f t="shared" si="17"/>
        <v>계</v>
      </c>
      <c r="AF22" s="80" t="str">
        <f t="shared" si="18"/>
        <v>4/2</v>
      </c>
      <c r="AH22" s="20" t="str">
        <f t="shared" si="1"/>
        <v>중앙하이츠빌</v>
      </c>
      <c r="AI22" s="88">
        <f t="shared" si="0"/>
        <v>56</v>
      </c>
      <c r="AJ22" s="80" t="str">
        <f t="shared" si="19"/>
        <v>A-</v>
      </c>
      <c r="AK22" s="80" t="s">
        <v>13</v>
      </c>
      <c r="AL22" s="80" t="s">
        <v>62</v>
      </c>
      <c r="AM22" s="80" t="s">
        <v>63</v>
      </c>
      <c r="AN22" s="80" t="str">
        <f t="shared" si="20"/>
        <v>C</v>
      </c>
      <c r="AO22" s="80" t="str">
        <f t="shared" si="21"/>
        <v>X</v>
      </c>
      <c r="AP22" s="80" t="str">
        <f t="shared" si="22"/>
        <v>X</v>
      </c>
      <c r="AQ22" s="80" t="str">
        <f t="shared" si="23"/>
        <v>X</v>
      </c>
      <c r="AR22" s="80" t="str">
        <f t="shared" si="24"/>
        <v>X</v>
      </c>
      <c r="AS22" s="80" t="s">
        <v>2</v>
      </c>
      <c r="AT22" s="80" t="str">
        <f t="shared" si="25"/>
        <v>X</v>
      </c>
      <c r="AU22" s="80" t="str">
        <f t="shared" si="26"/>
        <v>O</v>
      </c>
      <c r="AV22" s="80" t="str">
        <f t="shared" si="27"/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오창읍 오창모아미래도와이드파크(3블럭)('16.01.,630^)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x14ac:dyDescent="0.3">
      <c r="A24" s="9" t="s">
        <v>472</v>
      </c>
      <c r="B24" s="10" t="s">
        <v>914</v>
      </c>
      <c r="C24" s="89">
        <v>630</v>
      </c>
      <c r="D24" s="87">
        <v>84</v>
      </c>
      <c r="E24" s="88">
        <v>25</v>
      </c>
      <c r="F24" s="87">
        <v>60</v>
      </c>
      <c r="G24" s="17">
        <v>18</v>
      </c>
      <c r="H24" s="89">
        <v>506</v>
      </c>
      <c r="I24" s="90">
        <v>29000</v>
      </c>
      <c r="J24" s="90" t="s">
        <v>68</v>
      </c>
      <c r="K24" s="90">
        <v>26000</v>
      </c>
      <c r="L24" s="90" t="s">
        <v>68</v>
      </c>
      <c r="M24" s="91">
        <f>I24-K24</f>
        <v>3000</v>
      </c>
      <c r="N24" s="4">
        <f>IF(ISERROR(K24/I24),"",K24/I24)</f>
        <v>0.89655172413793105</v>
      </c>
      <c r="O24" s="92">
        <f>I24/E24</f>
        <v>1160</v>
      </c>
      <c r="P24" s="92">
        <f>K24/E24</f>
        <v>1040</v>
      </c>
      <c r="Q24" s="80">
        <v>3</v>
      </c>
      <c r="R24" s="80">
        <v>2</v>
      </c>
      <c r="S24" s="80" t="s">
        <v>61</v>
      </c>
      <c r="T24" s="5" t="s">
        <v>72</v>
      </c>
      <c r="U24" s="9"/>
      <c r="W24" s="87">
        <f>D24</f>
        <v>84</v>
      </c>
      <c r="X24" s="88">
        <f>E24</f>
        <v>25</v>
      </c>
      <c r="Y24" s="93">
        <f>H24</f>
        <v>506</v>
      </c>
      <c r="Z24" s="91">
        <f>I24</f>
        <v>29000</v>
      </c>
      <c r="AA24" s="91">
        <f>K24</f>
        <v>26000</v>
      </c>
      <c r="AB24" s="91">
        <f t="shared" ref="AB24:AD25" si="28">M24</f>
        <v>3000</v>
      </c>
      <c r="AC24" s="4">
        <f t="shared" si="28"/>
        <v>0.89655172413793105</v>
      </c>
      <c r="AD24" s="92">
        <f t="shared" si="28"/>
        <v>1160</v>
      </c>
      <c r="AE24" s="80" t="str">
        <f>S24</f>
        <v>계</v>
      </c>
      <c r="AF24" s="80" t="str">
        <f>Q24&amp;"/"&amp;R24</f>
        <v>3/2</v>
      </c>
      <c r="AH24" s="20" t="str">
        <f t="shared" si="1"/>
        <v>오창모아미래도와이드파크(3블럭)</v>
      </c>
      <c r="AI24" s="88">
        <f t="shared" si="0"/>
        <v>25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>O</v>
      </c>
      <c r="AP24" s="80" t="str">
        <f>IF(I24="","",IF(I24&lt;=$AP$1,"O","X"))</f>
        <v>O</v>
      </c>
      <c r="AQ24" s="80" t="str">
        <f>IF(O24="","",IF(O24&lt;=$AQ$1,"O","X"))</f>
        <v>X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후보</v>
      </c>
    </row>
    <row r="25" spans="1:48" x14ac:dyDescent="0.3">
      <c r="A25" s="9" t="s">
        <v>472</v>
      </c>
      <c r="B25" s="10" t="s">
        <v>914</v>
      </c>
      <c r="C25" s="89">
        <v>630</v>
      </c>
      <c r="D25" s="87">
        <v>84.9</v>
      </c>
      <c r="E25" s="88">
        <v>26</v>
      </c>
      <c r="F25" s="87">
        <v>60</v>
      </c>
      <c r="G25" s="17">
        <v>18</v>
      </c>
      <c r="H25" s="89">
        <v>124</v>
      </c>
      <c r="I25" s="90">
        <v>29000</v>
      </c>
      <c r="J25" s="90" t="s">
        <v>101</v>
      </c>
      <c r="K25" s="90"/>
      <c r="L25" s="90"/>
      <c r="M25" s="91">
        <f>I25-K25</f>
        <v>29000</v>
      </c>
      <c r="N25" s="4">
        <f>IF(ISERROR(K25/I25),"",K25/I25)</f>
        <v>0</v>
      </c>
      <c r="O25" s="92">
        <f>I25/E25</f>
        <v>1115.3846153846155</v>
      </c>
      <c r="P25" s="92">
        <f>K25/E25</f>
        <v>0</v>
      </c>
      <c r="Q25" s="80">
        <v>3</v>
      </c>
      <c r="R25" s="80">
        <v>2</v>
      </c>
      <c r="S25" s="80" t="s">
        <v>61</v>
      </c>
      <c r="T25" s="5" t="s">
        <v>334</v>
      </c>
      <c r="U25" s="9"/>
      <c r="W25" s="87">
        <f>D25</f>
        <v>84.9</v>
      </c>
      <c r="X25" s="88">
        <f>E25</f>
        <v>26</v>
      </c>
      <c r="Y25" s="93">
        <f>H25</f>
        <v>124</v>
      </c>
      <c r="Z25" s="91">
        <f>I25</f>
        <v>29000</v>
      </c>
      <c r="AA25" s="91">
        <f>K25</f>
        <v>0</v>
      </c>
      <c r="AB25" s="91">
        <f t="shared" si="28"/>
        <v>29000</v>
      </c>
      <c r="AC25" s="4">
        <f t="shared" si="28"/>
        <v>0</v>
      </c>
      <c r="AD25" s="92">
        <f t="shared" si="28"/>
        <v>1115.3846153846155</v>
      </c>
      <c r="AE25" s="80" t="str">
        <f>S25</f>
        <v>계</v>
      </c>
      <c r="AF25" s="80" t="str">
        <f>Q25&amp;"/"&amp;R25</f>
        <v>3/2</v>
      </c>
      <c r="AH25" s="20" t="str">
        <f t="shared" si="1"/>
        <v>오창모아미래도와이드파크(3블럭)</v>
      </c>
      <c r="AI25" s="88">
        <f t="shared" si="0"/>
        <v>26</v>
      </c>
      <c r="AJ25" s="80" t="str">
        <f>IF(AI25="","",$AJ$2)</f>
        <v>A-</v>
      </c>
      <c r="AK25" s="80" t="s">
        <v>13</v>
      </c>
      <c r="AL25" s="80" t="s">
        <v>62</v>
      </c>
      <c r="AM25" s="80" t="s">
        <v>63</v>
      </c>
      <c r="AN25" s="80" t="str">
        <f>IF(AI25="","",$AN$2)</f>
        <v>C</v>
      </c>
      <c r="AO25" s="80" t="str">
        <f>IF(N25="","",IF(N25&gt;=$AO$1/100,"O","X"))</f>
        <v>X</v>
      </c>
      <c r="AP25" s="80" t="str">
        <f>IF(I25="","",IF(I25&lt;=$AP$1,"O","X"))</f>
        <v>O</v>
      </c>
      <c r="AQ25" s="80" t="str">
        <f>IF(O25="","",IF(O25&lt;=$AQ$1,"O","X"))</f>
        <v>X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8" t="str">
        <f>$A$4&amp;" "&amp;A27&amp;"("&amp;B27&amp;","&amp;C27&amp;"^)"</f>
        <v>오창읍 오창대성베르힐('15.07.,587^)</v>
      </c>
      <c r="X26" s="69"/>
      <c r="Y26" s="69"/>
      <c r="Z26" s="69"/>
      <c r="AA26" s="69"/>
      <c r="AB26" s="69"/>
      <c r="AC26" s="69"/>
      <c r="AD26" s="69"/>
      <c r="AE26" s="69"/>
      <c r="AF26" s="70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482</v>
      </c>
      <c r="B27" s="10" t="s">
        <v>916</v>
      </c>
      <c r="C27" s="89">
        <v>587</v>
      </c>
      <c r="D27" s="87">
        <v>97.8</v>
      </c>
      <c r="E27" s="88">
        <v>30</v>
      </c>
      <c r="F27" s="87">
        <v>72.900000000000006</v>
      </c>
      <c r="G27" s="17">
        <v>22</v>
      </c>
      <c r="H27" s="89">
        <v>132</v>
      </c>
      <c r="I27" s="90">
        <v>37500</v>
      </c>
      <c r="J27" s="90" t="s">
        <v>68</v>
      </c>
      <c r="K27" s="90"/>
      <c r="L27" s="90"/>
      <c r="M27" s="91">
        <f>I27-K27</f>
        <v>37500</v>
      </c>
      <c r="N27" s="4">
        <f>IF(ISERROR(K27/I27),"",K27/I27)</f>
        <v>0</v>
      </c>
      <c r="O27" s="92">
        <f>I27/E27</f>
        <v>1250</v>
      </c>
      <c r="P27" s="92">
        <f>K27/E27</f>
        <v>0</v>
      </c>
      <c r="Q27" s="80">
        <v>3</v>
      </c>
      <c r="R27" s="80">
        <v>2</v>
      </c>
      <c r="S27" s="80" t="s">
        <v>61</v>
      </c>
      <c r="T27" s="5">
        <v>97</v>
      </c>
      <c r="U27" s="9"/>
      <c r="W27" s="87">
        <f>D27</f>
        <v>97.8</v>
      </c>
      <c r="X27" s="88">
        <f>E27</f>
        <v>30</v>
      </c>
      <c r="Y27" s="93">
        <f>H27</f>
        <v>132</v>
      </c>
      <c r="Z27" s="91">
        <f>I27</f>
        <v>37500</v>
      </c>
      <c r="AA27" s="91">
        <f>K27</f>
        <v>0</v>
      </c>
      <c r="AB27" s="91">
        <f t="shared" ref="AB27:AD28" si="29">M27</f>
        <v>37500</v>
      </c>
      <c r="AC27" s="4">
        <f t="shared" si="29"/>
        <v>0</v>
      </c>
      <c r="AD27" s="92">
        <f t="shared" si="29"/>
        <v>1250</v>
      </c>
      <c r="AE27" s="80" t="str">
        <f>S27</f>
        <v>계</v>
      </c>
      <c r="AF27" s="80" t="str">
        <f>Q27&amp;"/"&amp;R27</f>
        <v>3/2</v>
      </c>
      <c r="AH27" s="20" t="str">
        <f t="shared" si="1"/>
        <v>오창대성베르힐</v>
      </c>
      <c r="AI27" s="88">
        <f t="shared" si="0"/>
        <v>30</v>
      </c>
      <c r="AJ27" s="80" t="str">
        <f>IF(AI27="","",$AJ$2)</f>
        <v>A-</v>
      </c>
      <c r="AK27" s="80" t="s">
        <v>13</v>
      </c>
      <c r="AL27" s="80" t="s">
        <v>62</v>
      </c>
      <c r="AM27" s="80" t="s">
        <v>63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O</v>
      </c>
      <c r="AQ27" s="80" t="str">
        <f>IF(O27="","",IF(O27&lt;=$AQ$1,"O","X"))</f>
        <v>X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x14ac:dyDescent="0.3">
      <c r="A28" s="9" t="s">
        <v>482</v>
      </c>
      <c r="B28" s="10" t="s">
        <v>916</v>
      </c>
      <c r="C28" s="89">
        <v>587</v>
      </c>
      <c r="D28" s="87">
        <v>110.5</v>
      </c>
      <c r="E28" s="88">
        <v>33</v>
      </c>
      <c r="F28" s="87">
        <v>84.9</v>
      </c>
      <c r="G28" s="17">
        <v>26</v>
      </c>
      <c r="H28" s="89">
        <v>455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4</v>
      </c>
      <c r="R28" s="80">
        <v>2</v>
      </c>
      <c r="S28" s="80" t="s">
        <v>61</v>
      </c>
      <c r="T28" s="5">
        <v>110</v>
      </c>
      <c r="U28" s="9"/>
      <c r="W28" s="87">
        <f>D28</f>
        <v>110.5</v>
      </c>
      <c r="X28" s="88">
        <f>E28</f>
        <v>33</v>
      </c>
      <c r="Y28" s="93">
        <f>H28</f>
        <v>455</v>
      </c>
      <c r="Z28" s="91">
        <f>I28</f>
        <v>0</v>
      </c>
      <c r="AA28" s="91">
        <f>K28</f>
        <v>0</v>
      </c>
      <c r="AB28" s="91">
        <f t="shared" si="29"/>
        <v>0</v>
      </c>
      <c r="AC28" s="4" t="str">
        <f t="shared" si="29"/>
        <v/>
      </c>
      <c r="AD28" s="92">
        <f t="shared" si="29"/>
        <v>0</v>
      </c>
      <c r="AE28" s="80" t="str">
        <f>S28</f>
        <v>계</v>
      </c>
      <c r="AF28" s="80" t="str">
        <f>Q28&amp;"/"&amp;R28</f>
        <v>4/2</v>
      </c>
      <c r="AH28" s="20" t="str">
        <f t="shared" si="1"/>
        <v>오창대성베르힐</v>
      </c>
      <c r="AI28" s="88">
        <f t="shared" si="0"/>
        <v>33</v>
      </c>
      <c r="AJ28" s="80" t="str">
        <f>IF(AI28="","",$AJ$2)</f>
        <v>A-</v>
      </c>
      <c r="AK28" s="80" t="s">
        <v>13</v>
      </c>
      <c r="AL28" s="80" t="s">
        <v>62</v>
      </c>
      <c r="AM28" s="80" t="s">
        <v>63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오창읍 우림필유2차('06.11.,1602^)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487</v>
      </c>
      <c r="B30" s="10" t="s">
        <v>917</v>
      </c>
      <c r="C30" s="89">
        <v>1602</v>
      </c>
      <c r="D30" s="87">
        <v>86.6</v>
      </c>
      <c r="E30" s="88">
        <v>26</v>
      </c>
      <c r="F30" s="87">
        <v>59.9</v>
      </c>
      <c r="G30" s="17">
        <v>18</v>
      </c>
      <c r="H30" s="89">
        <v>391</v>
      </c>
      <c r="I30" s="90">
        <v>22500</v>
      </c>
      <c r="J30" s="90" t="s">
        <v>73</v>
      </c>
      <c r="K30" s="90">
        <v>22000</v>
      </c>
      <c r="L30" s="90" t="s">
        <v>67</v>
      </c>
      <c r="M30" s="91">
        <f t="shared" ref="M30:M35" si="30">I30-K30</f>
        <v>500</v>
      </c>
      <c r="N30" s="4">
        <f t="shared" ref="N30:N35" si="31">IF(ISERROR(K30/I30),"",K30/I30)</f>
        <v>0.97777777777777775</v>
      </c>
      <c r="O30" s="92">
        <f t="shared" ref="O30:O35" si="32">I30/E30</f>
        <v>865.38461538461536</v>
      </c>
      <c r="P30" s="92">
        <f t="shared" ref="P30:P35" si="33">K30/E30</f>
        <v>846.15384615384619</v>
      </c>
      <c r="Q30" s="80">
        <v>3</v>
      </c>
      <c r="R30" s="80">
        <v>2</v>
      </c>
      <c r="S30" s="80" t="s">
        <v>61</v>
      </c>
      <c r="T30" s="5" t="s">
        <v>74</v>
      </c>
      <c r="U30" s="9"/>
      <c r="W30" s="87">
        <f t="shared" ref="W30:X35" si="34">D30</f>
        <v>86.6</v>
      </c>
      <c r="X30" s="88">
        <f t="shared" si="34"/>
        <v>26</v>
      </c>
      <c r="Y30" s="93">
        <f t="shared" ref="Y30:Z35" si="35">H30</f>
        <v>391</v>
      </c>
      <c r="Z30" s="91">
        <f t="shared" si="35"/>
        <v>22500</v>
      </c>
      <c r="AA30" s="91">
        <f t="shared" ref="AA30:AA35" si="36">K30</f>
        <v>22000</v>
      </c>
      <c r="AB30" s="91">
        <f t="shared" ref="AB30:AD35" si="37">M30</f>
        <v>500</v>
      </c>
      <c r="AC30" s="4">
        <f t="shared" si="37"/>
        <v>0.97777777777777775</v>
      </c>
      <c r="AD30" s="92">
        <f t="shared" si="37"/>
        <v>865.38461538461536</v>
      </c>
      <c r="AE30" s="80" t="str">
        <f t="shared" ref="AE30:AE35" si="38">S30</f>
        <v>계</v>
      </c>
      <c r="AF30" s="80" t="str">
        <f t="shared" ref="AF30:AF35" si="39">Q30&amp;"/"&amp;R30</f>
        <v>3/2</v>
      </c>
      <c r="AH30" s="20" t="str">
        <f t="shared" si="1"/>
        <v>우림필유2차</v>
      </c>
      <c r="AI30" s="88">
        <f t="shared" si="0"/>
        <v>26</v>
      </c>
      <c r="AJ30" s="80" t="str">
        <f t="shared" ref="AJ30:AJ35" si="40">IF(AI30="","",$AJ$2)</f>
        <v>A-</v>
      </c>
      <c r="AK30" s="80" t="s">
        <v>13</v>
      </c>
      <c r="AL30" s="80" t="s">
        <v>62</v>
      </c>
      <c r="AM30" s="80" t="s">
        <v>63</v>
      </c>
      <c r="AN30" s="80" t="str">
        <f t="shared" ref="AN30:AN35" si="41">IF(AI30="","",$AN$2)</f>
        <v>C</v>
      </c>
      <c r="AO30" s="80" t="str">
        <f t="shared" ref="AO30:AO35" si="42">IF(N30="","",IF(N30&gt;=$AO$1/100,"O","X"))</f>
        <v>O</v>
      </c>
      <c r="AP30" s="80" t="str">
        <f t="shared" ref="AP30:AP35" si="43">IF(I30="","",IF(I30&lt;=$AP$1,"O","X"))</f>
        <v>O</v>
      </c>
      <c r="AQ30" s="80" t="str">
        <f t="shared" ref="AQ30:AQ35" si="44">IF(O30="","",IF(O30&lt;=$AQ$1,"O","X"))</f>
        <v>O</v>
      </c>
      <c r="AR30" s="80" t="str">
        <f t="shared" ref="AR30:AR35" si="45">IF(M30="","",IF(M30&lt;=$AR$1,"O","X"))</f>
        <v>O</v>
      </c>
      <c r="AS30" s="80" t="s">
        <v>2</v>
      </c>
      <c r="AT30" s="80" t="str">
        <f t="shared" ref="AT30:AT35" si="46">IF(OR(F30="",AI30=""),"",IF(AND((F30&lt;=85),(AI30&gt;=15)),"O","X"))</f>
        <v>O</v>
      </c>
      <c r="AU30" s="80" t="str">
        <f t="shared" ref="AU30:AU35" si="47">IF(C30="","",IF(C30&gt;=$AU$1,"O","X"))</f>
        <v>O</v>
      </c>
      <c r="AV30" s="80" t="str">
        <f t="shared" ref="AV30:AV35" si="48">IF(AO30="","",IF(AND(AO30="O",AP30="O",AR30="O",AT30="O",AU30="O"),"후보","X"))</f>
        <v>후보</v>
      </c>
    </row>
    <row r="31" spans="1:48" x14ac:dyDescent="0.3">
      <c r="A31" s="9" t="s">
        <v>487</v>
      </c>
      <c r="B31" s="10" t="s">
        <v>917</v>
      </c>
      <c r="C31" s="89">
        <v>1602</v>
      </c>
      <c r="D31" s="87">
        <v>86.6</v>
      </c>
      <c r="E31" s="88">
        <v>26</v>
      </c>
      <c r="F31" s="87">
        <v>59.9</v>
      </c>
      <c r="G31" s="17">
        <v>18</v>
      </c>
      <c r="H31" s="89">
        <v>53</v>
      </c>
      <c r="I31" s="90">
        <v>22500</v>
      </c>
      <c r="J31" s="90" t="s">
        <v>73</v>
      </c>
      <c r="K31" s="90">
        <v>22000</v>
      </c>
      <c r="L31" s="90" t="s">
        <v>67</v>
      </c>
      <c r="M31" s="91">
        <f t="shared" si="30"/>
        <v>500</v>
      </c>
      <c r="N31" s="4">
        <f t="shared" si="31"/>
        <v>0.97777777777777775</v>
      </c>
      <c r="O31" s="92">
        <f t="shared" si="32"/>
        <v>865.38461538461536</v>
      </c>
      <c r="P31" s="92">
        <f t="shared" si="33"/>
        <v>846.15384615384619</v>
      </c>
      <c r="Q31" s="80">
        <v>3</v>
      </c>
      <c r="R31" s="80">
        <v>2</v>
      </c>
      <c r="S31" s="80" t="s">
        <v>61</v>
      </c>
      <c r="T31" s="5" t="s">
        <v>75</v>
      </c>
      <c r="U31" s="9"/>
      <c r="W31" s="87">
        <f t="shared" si="34"/>
        <v>86.6</v>
      </c>
      <c r="X31" s="88">
        <f t="shared" si="34"/>
        <v>26</v>
      </c>
      <c r="Y31" s="93">
        <f t="shared" si="35"/>
        <v>53</v>
      </c>
      <c r="Z31" s="91">
        <f t="shared" si="35"/>
        <v>22500</v>
      </c>
      <c r="AA31" s="91">
        <f t="shared" si="36"/>
        <v>22000</v>
      </c>
      <c r="AB31" s="91">
        <f t="shared" si="37"/>
        <v>500</v>
      </c>
      <c r="AC31" s="4">
        <f t="shared" si="37"/>
        <v>0.97777777777777775</v>
      </c>
      <c r="AD31" s="92">
        <f t="shared" si="37"/>
        <v>865.38461538461536</v>
      </c>
      <c r="AE31" s="80" t="str">
        <f t="shared" si="38"/>
        <v>계</v>
      </c>
      <c r="AF31" s="80" t="str">
        <f t="shared" si="39"/>
        <v>3/2</v>
      </c>
      <c r="AH31" s="20" t="str">
        <f t="shared" si="1"/>
        <v>우림필유2차</v>
      </c>
      <c r="AI31" s="88">
        <f t="shared" si="0"/>
        <v>26</v>
      </c>
      <c r="AJ31" s="80" t="str">
        <f t="shared" si="40"/>
        <v>A-</v>
      </c>
      <c r="AK31" s="80" t="s">
        <v>13</v>
      </c>
      <c r="AL31" s="80" t="s">
        <v>62</v>
      </c>
      <c r="AM31" s="80" t="s">
        <v>63</v>
      </c>
      <c r="AN31" s="80" t="str">
        <f t="shared" si="41"/>
        <v>C</v>
      </c>
      <c r="AO31" s="80" t="str">
        <f t="shared" si="42"/>
        <v>O</v>
      </c>
      <c r="AP31" s="80" t="str">
        <f t="shared" si="43"/>
        <v>O</v>
      </c>
      <c r="AQ31" s="80" t="str">
        <f t="shared" si="44"/>
        <v>O</v>
      </c>
      <c r="AR31" s="80" t="str">
        <f t="shared" si="45"/>
        <v>O</v>
      </c>
      <c r="AS31" s="80" t="s">
        <v>2</v>
      </c>
      <c r="AT31" s="80" t="str">
        <f t="shared" si="46"/>
        <v>O</v>
      </c>
      <c r="AU31" s="80" t="str">
        <f t="shared" si="47"/>
        <v>O</v>
      </c>
      <c r="AV31" s="80" t="str">
        <f t="shared" si="48"/>
        <v>후보</v>
      </c>
    </row>
    <row r="32" spans="1:48" x14ac:dyDescent="0.3">
      <c r="A32" s="9" t="s">
        <v>487</v>
      </c>
      <c r="B32" s="10" t="s">
        <v>917</v>
      </c>
      <c r="C32" s="89">
        <v>1602</v>
      </c>
      <c r="D32" s="87">
        <v>113.1</v>
      </c>
      <c r="E32" s="88">
        <v>34</v>
      </c>
      <c r="F32" s="87">
        <v>85</v>
      </c>
      <c r="G32" s="17">
        <v>26</v>
      </c>
      <c r="H32" s="89">
        <v>685</v>
      </c>
      <c r="I32" s="90">
        <v>32000</v>
      </c>
      <c r="J32" s="90" t="s">
        <v>65</v>
      </c>
      <c r="K32" s="90">
        <v>27000</v>
      </c>
      <c r="L32" s="90" t="s">
        <v>59</v>
      </c>
      <c r="M32" s="91">
        <f t="shared" si="30"/>
        <v>5000</v>
      </c>
      <c r="N32" s="4">
        <f t="shared" si="31"/>
        <v>0.84375</v>
      </c>
      <c r="O32" s="92">
        <f t="shared" si="32"/>
        <v>941.17647058823525</v>
      </c>
      <c r="P32" s="92">
        <f t="shared" si="33"/>
        <v>794.11764705882354</v>
      </c>
      <c r="Q32" s="80">
        <v>3</v>
      </c>
      <c r="R32" s="80">
        <v>2</v>
      </c>
      <c r="S32" s="80" t="s">
        <v>61</v>
      </c>
      <c r="T32" s="5" t="s">
        <v>76</v>
      </c>
      <c r="U32" s="9"/>
      <c r="W32" s="87">
        <f t="shared" si="34"/>
        <v>113.1</v>
      </c>
      <c r="X32" s="88">
        <f t="shared" si="34"/>
        <v>34</v>
      </c>
      <c r="Y32" s="93">
        <f t="shared" si="35"/>
        <v>685</v>
      </c>
      <c r="Z32" s="91">
        <f t="shared" si="35"/>
        <v>32000</v>
      </c>
      <c r="AA32" s="91">
        <f t="shared" si="36"/>
        <v>27000</v>
      </c>
      <c r="AB32" s="91">
        <f t="shared" si="37"/>
        <v>5000</v>
      </c>
      <c r="AC32" s="4">
        <f t="shared" si="37"/>
        <v>0.84375</v>
      </c>
      <c r="AD32" s="92">
        <f t="shared" si="37"/>
        <v>941.17647058823525</v>
      </c>
      <c r="AE32" s="80" t="str">
        <f t="shared" si="38"/>
        <v>계</v>
      </c>
      <c r="AF32" s="80" t="str">
        <f t="shared" si="39"/>
        <v>3/2</v>
      </c>
      <c r="AH32" s="20" t="str">
        <f t="shared" si="1"/>
        <v>우림필유2차</v>
      </c>
      <c r="AI32" s="88">
        <f t="shared" si="0"/>
        <v>34</v>
      </c>
      <c r="AJ32" s="80" t="str">
        <f t="shared" si="40"/>
        <v>A-</v>
      </c>
      <c r="AK32" s="80" t="s">
        <v>13</v>
      </c>
      <c r="AL32" s="80" t="s">
        <v>62</v>
      </c>
      <c r="AM32" s="80" t="s">
        <v>63</v>
      </c>
      <c r="AN32" s="80" t="str">
        <f t="shared" si="41"/>
        <v>C</v>
      </c>
      <c r="AO32" s="80" t="str">
        <f t="shared" si="42"/>
        <v>O</v>
      </c>
      <c r="AP32" s="80" t="str">
        <f t="shared" si="43"/>
        <v>O</v>
      </c>
      <c r="AQ32" s="80" t="str">
        <f t="shared" si="44"/>
        <v>O</v>
      </c>
      <c r="AR32" s="80" t="str">
        <f t="shared" si="45"/>
        <v>O</v>
      </c>
      <c r="AS32" s="80" t="s">
        <v>2</v>
      </c>
      <c r="AT32" s="80" t="str">
        <f t="shared" si="46"/>
        <v>O</v>
      </c>
      <c r="AU32" s="80" t="str">
        <f t="shared" si="47"/>
        <v>O</v>
      </c>
      <c r="AV32" s="80" t="str">
        <f t="shared" si="48"/>
        <v>후보</v>
      </c>
    </row>
    <row r="33" spans="1:48" x14ac:dyDescent="0.3">
      <c r="A33" s="9" t="s">
        <v>487</v>
      </c>
      <c r="B33" s="10" t="s">
        <v>917</v>
      </c>
      <c r="C33" s="89">
        <v>1602</v>
      </c>
      <c r="D33" s="87">
        <v>114.7</v>
      </c>
      <c r="E33" s="88">
        <v>35</v>
      </c>
      <c r="F33" s="87">
        <v>85</v>
      </c>
      <c r="G33" s="17">
        <v>26</v>
      </c>
      <c r="H33" s="89">
        <v>121</v>
      </c>
      <c r="I33" s="90">
        <v>30500</v>
      </c>
      <c r="J33" s="90" t="s">
        <v>77</v>
      </c>
      <c r="K33" s="90">
        <v>27000</v>
      </c>
      <c r="L33" s="90" t="s">
        <v>77</v>
      </c>
      <c r="M33" s="91">
        <f t="shared" si="30"/>
        <v>3500</v>
      </c>
      <c r="N33" s="4">
        <f t="shared" si="31"/>
        <v>0.88524590163934425</v>
      </c>
      <c r="O33" s="92">
        <f t="shared" si="32"/>
        <v>871.42857142857144</v>
      </c>
      <c r="P33" s="92">
        <f t="shared" si="33"/>
        <v>771.42857142857144</v>
      </c>
      <c r="Q33" s="80">
        <v>3</v>
      </c>
      <c r="R33" s="80">
        <v>2</v>
      </c>
      <c r="S33" s="80" t="s">
        <v>61</v>
      </c>
      <c r="T33" s="5" t="s">
        <v>78</v>
      </c>
      <c r="U33" s="9"/>
      <c r="W33" s="87">
        <f t="shared" si="34"/>
        <v>114.7</v>
      </c>
      <c r="X33" s="88">
        <f t="shared" si="34"/>
        <v>35</v>
      </c>
      <c r="Y33" s="93">
        <f t="shared" si="35"/>
        <v>121</v>
      </c>
      <c r="Z33" s="91">
        <f t="shared" si="35"/>
        <v>30500</v>
      </c>
      <c r="AA33" s="91">
        <f t="shared" si="36"/>
        <v>27000</v>
      </c>
      <c r="AB33" s="91">
        <f t="shared" si="37"/>
        <v>3500</v>
      </c>
      <c r="AC33" s="4">
        <f t="shared" si="37"/>
        <v>0.88524590163934425</v>
      </c>
      <c r="AD33" s="92">
        <f t="shared" si="37"/>
        <v>871.42857142857144</v>
      </c>
      <c r="AE33" s="80" t="str">
        <f t="shared" si="38"/>
        <v>계</v>
      </c>
      <c r="AF33" s="80" t="str">
        <f t="shared" si="39"/>
        <v>3/2</v>
      </c>
      <c r="AH33" s="20" t="str">
        <f t="shared" si="1"/>
        <v>우림필유2차</v>
      </c>
      <c r="AI33" s="88">
        <f t="shared" si="0"/>
        <v>35</v>
      </c>
      <c r="AJ33" s="80" t="str">
        <f t="shared" si="40"/>
        <v>A-</v>
      </c>
      <c r="AK33" s="80" t="s">
        <v>13</v>
      </c>
      <c r="AL33" s="80" t="s">
        <v>62</v>
      </c>
      <c r="AM33" s="80" t="s">
        <v>63</v>
      </c>
      <c r="AN33" s="80" t="str">
        <f t="shared" si="41"/>
        <v>C</v>
      </c>
      <c r="AO33" s="80" t="str">
        <f t="shared" si="42"/>
        <v>O</v>
      </c>
      <c r="AP33" s="80" t="str">
        <f t="shared" si="43"/>
        <v>O</v>
      </c>
      <c r="AQ33" s="80" t="str">
        <f t="shared" si="44"/>
        <v>O</v>
      </c>
      <c r="AR33" s="80" t="str">
        <f t="shared" si="45"/>
        <v>O</v>
      </c>
      <c r="AS33" s="80" t="s">
        <v>2</v>
      </c>
      <c r="AT33" s="80" t="str">
        <f t="shared" si="46"/>
        <v>O</v>
      </c>
      <c r="AU33" s="80" t="str">
        <f t="shared" si="47"/>
        <v>O</v>
      </c>
      <c r="AV33" s="80" t="str">
        <f t="shared" si="48"/>
        <v>후보</v>
      </c>
    </row>
    <row r="34" spans="1:48" x14ac:dyDescent="0.3">
      <c r="A34" s="9" t="s">
        <v>487</v>
      </c>
      <c r="B34" s="10" t="s">
        <v>917</v>
      </c>
      <c r="C34" s="89">
        <v>1602</v>
      </c>
      <c r="D34" s="87">
        <v>156.1</v>
      </c>
      <c r="E34" s="88">
        <v>47</v>
      </c>
      <c r="F34" s="87">
        <v>122.6</v>
      </c>
      <c r="G34" s="17">
        <v>37</v>
      </c>
      <c r="H34" s="89">
        <v>280</v>
      </c>
      <c r="I34" s="90">
        <v>45000</v>
      </c>
      <c r="J34" s="90" t="s">
        <v>68</v>
      </c>
      <c r="K34" s="90">
        <v>38500</v>
      </c>
      <c r="L34" s="90" t="s">
        <v>86</v>
      </c>
      <c r="M34" s="91">
        <f t="shared" si="30"/>
        <v>6500</v>
      </c>
      <c r="N34" s="4">
        <f t="shared" si="31"/>
        <v>0.85555555555555551</v>
      </c>
      <c r="O34" s="92">
        <f t="shared" si="32"/>
        <v>957.44680851063833</v>
      </c>
      <c r="P34" s="92">
        <f t="shared" si="33"/>
        <v>819.14893617021278</v>
      </c>
      <c r="Q34" s="80">
        <v>4</v>
      </c>
      <c r="R34" s="80">
        <v>2</v>
      </c>
      <c r="S34" s="80" t="s">
        <v>61</v>
      </c>
      <c r="T34" s="5">
        <v>156</v>
      </c>
      <c r="U34" s="9"/>
      <c r="W34" s="87">
        <f t="shared" si="34"/>
        <v>156.1</v>
      </c>
      <c r="X34" s="88">
        <f t="shared" si="34"/>
        <v>47</v>
      </c>
      <c r="Y34" s="93">
        <f t="shared" si="35"/>
        <v>280</v>
      </c>
      <c r="Z34" s="91">
        <f t="shared" si="35"/>
        <v>45000</v>
      </c>
      <c r="AA34" s="91">
        <f t="shared" si="36"/>
        <v>38500</v>
      </c>
      <c r="AB34" s="91">
        <f t="shared" si="37"/>
        <v>6500</v>
      </c>
      <c r="AC34" s="4">
        <f t="shared" si="37"/>
        <v>0.85555555555555551</v>
      </c>
      <c r="AD34" s="92">
        <f t="shared" si="37"/>
        <v>957.44680851063833</v>
      </c>
      <c r="AE34" s="80" t="str">
        <f t="shared" si="38"/>
        <v>계</v>
      </c>
      <c r="AF34" s="80" t="str">
        <f t="shared" si="39"/>
        <v>4/2</v>
      </c>
      <c r="AH34" s="20" t="str">
        <f t="shared" si="1"/>
        <v>우림필유2차</v>
      </c>
      <c r="AI34" s="88">
        <f t="shared" si="0"/>
        <v>47</v>
      </c>
      <c r="AJ34" s="80" t="str">
        <f t="shared" si="40"/>
        <v>A-</v>
      </c>
      <c r="AK34" s="80" t="s">
        <v>13</v>
      </c>
      <c r="AL34" s="80" t="s">
        <v>62</v>
      </c>
      <c r="AM34" s="80" t="s">
        <v>63</v>
      </c>
      <c r="AN34" s="80" t="str">
        <f t="shared" si="41"/>
        <v>C</v>
      </c>
      <c r="AO34" s="80" t="str">
        <f t="shared" si="42"/>
        <v>O</v>
      </c>
      <c r="AP34" s="80" t="str">
        <f t="shared" si="43"/>
        <v>O</v>
      </c>
      <c r="AQ34" s="80" t="str">
        <f t="shared" si="44"/>
        <v>O</v>
      </c>
      <c r="AR34" s="80" t="str">
        <f t="shared" si="45"/>
        <v>X</v>
      </c>
      <c r="AS34" s="80" t="s">
        <v>2</v>
      </c>
      <c r="AT34" s="80" t="str">
        <f t="shared" si="46"/>
        <v>X</v>
      </c>
      <c r="AU34" s="80" t="str">
        <f t="shared" si="47"/>
        <v>O</v>
      </c>
      <c r="AV34" s="80" t="str">
        <f t="shared" si="48"/>
        <v>X</v>
      </c>
    </row>
    <row r="35" spans="1:48" x14ac:dyDescent="0.3">
      <c r="A35" s="9" t="s">
        <v>487</v>
      </c>
      <c r="B35" s="10" t="s">
        <v>917</v>
      </c>
      <c r="C35" s="89">
        <v>1602</v>
      </c>
      <c r="D35" s="87">
        <v>202.1</v>
      </c>
      <c r="E35" s="88">
        <v>61</v>
      </c>
      <c r="F35" s="87">
        <v>166.8</v>
      </c>
      <c r="G35" s="17">
        <v>50</v>
      </c>
      <c r="H35" s="89">
        <v>72</v>
      </c>
      <c r="I35" s="90">
        <v>55500</v>
      </c>
      <c r="J35" s="90" t="s">
        <v>70</v>
      </c>
      <c r="K35" s="90">
        <v>40000</v>
      </c>
      <c r="L35" s="90" t="s">
        <v>86</v>
      </c>
      <c r="M35" s="91">
        <f t="shared" si="30"/>
        <v>15500</v>
      </c>
      <c r="N35" s="4">
        <f t="shared" si="31"/>
        <v>0.72072072072072069</v>
      </c>
      <c r="O35" s="92">
        <f t="shared" si="32"/>
        <v>909.8360655737705</v>
      </c>
      <c r="P35" s="92">
        <f t="shared" si="33"/>
        <v>655.73770491803282</v>
      </c>
      <c r="Q35" s="80">
        <v>4</v>
      </c>
      <c r="R35" s="80">
        <v>2</v>
      </c>
      <c r="S35" s="80" t="s">
        <v>61</v>
      </c>
      <c r="T35" s="5">
        <v>202</v>
      </c>
      <c r="U35" s="9"/>
      <c r="W35" s="87">
        <f t="shared" si="34"/>
        <v>202.1</v>
      </c>
      <c r="X35" s="88">
        <f t="shared" si="34"/>
        <v>61</v>
      </c>
      <c r="Y35" s="93">
        <f t="shared" si="35"/>
        <v>72</v>
      </c>
      <c r="Z35" s="91">
        <f t="shared" si="35"/>
        <v>55500</v>
      </c>
      <c r="AA35" s="91">
        <f t="shared" si="36"/>
        <v>40000</v>
      </c>
      <c r="AB35" s="91">
        <f t="shared" si="37"/>
        <v>15500</v>
      </c>
      <c r="AC35" s="4">
        <f t="shared" si="37"/>
        <v>0.72072072072072069</v>
      </c>
      <c r="AD35" s="92">
        <f t="shared" si="37"/>
        <v>909.8360655737705</v>
      </c>
      <c r="AE35" s="80" t="str">
        <f t="shared" si="38"/>
        <v>계</v>
      </c>
      <c r="AF35" s="80" t="str">
        <f t="shared" si="39"/>
        <v>4/2</v>
      </c>
      <c r="AH35" s="20" t="str">
        <f t="shared" si="1"/>
        <v>우림필유2차</v>
      </c>
      <c r="AI35" s="88">
        <f t="shared" ref="AI35:AI66" si="49">IF(E35="","",E35)</f>
        <v>61</v>
      </c>
      <c r="AJ35" s="80" t="str">
        <f t="shared" si="40"/>
        <v>A-</v>
      </c>
      <c r="AK35" s="80" t="s">
        <v>13</v>
      </c>
      <c r="AL35" s="80" t="s">
        <v>62</v>
      </c>
      <c r="AM35" s="80" t="s">
        <v>63</v>
      </c>
      <c r="AN35" s="80" t="str">
        <f t="shared" si="41"/>
        <v>C</v>
      </c>
      <c r="AO35" s="80" t="str">
        <f t="shared" si="42"/>
        <v>X</v>
      </c>
      <c r="AP35" s="80" t="str">
        <f t="shared" si="43"/>
        <v>X</v>
      </c>
      <c r="AQ35" s="80" t="str">
        <f t="shared" si="44"/>
        <v>O</v>
      </c>
      <c r="AR35" s="80" t="str">
        <f t="shared" si="45"/>
        <v>X</v>
      </c>
      <c r="AS35" s="80" t="s">
        <v>2</v>
      </c>
      <c r="AT35" s="80" t="str">
        <f t="shared" si="46"/>
        <v>X</v>
      </c>
      <c r="AU35" s="80" t="str">
        <f t="shared" si="47"/>
        <v>O</v>
      </c>
      <c r="AV35" s="80" t="str">
        <f t="shared" si="48"/>
        <v>X</v>
      </c>
    </row>
    <row r="36" spans="1:48" x14ac:dyDescent="0.3">
      <c r="A36" s="9"/>
      <c r="B36" s="80"/>
      <c r="C36" s="6"/>
      <c r="D36" s="9"/>
      <c r="E36" s="14"/>
      <c r="F36" s="87"/>
      <c r="G36" s="9"/>
      <c r="H36" s="9"/>
      <c r="I36" s="9"/>
      <c r="J36" s="9"/>
      <c r="K36" s="9"/>
      <c r="L36" s="9"/>
      <c r="M36" s="9"/>
      <c r="N36" s="9"/>
      <c r="O36" s="92"/>
      <c r="P36" s="92"/>
      <c r="Q36" s="88"/>
      <c r="R36" s="88"/>
      <c r="S36" s="9"/>
      <c r="T36" s="47"/>
      <c r="U36" s="9"/>
      <c r="W36" s="68" t="str">
        <f>$A$4&amp;" "&amp;A37&amp;"("&amp;B37&amp;","&amp;C37&amp;"^)"</f>
        <v>오창읍 한라비발디('06.05.,1529^)</v>
      </c>
      <c r="X36" s="69"/>
      <c r="Y36" s="69"/>
      <c r="Z36" s="69"/>
      <c r="AA36" s="69"/>
      <c r="AB36" s="69"/>
      <c r="AC36" s="69"/>
      <c r="AD36" s="69"/>
      <c r="AE36" s="69"/>
      <c r="AF36" s="70"/>
      <c r="AH36" s="20" t="str">
        <f t="shared" si="1"/>
        <v/>
      </c>
      <c r="AI36" s="112" t="str">
        <f t="shared" si="49"/>
        <v/>
      </c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</row>
    <row r="37" spans="1:48" x14ac:dyDescent="0.3">
      <c r="A37" s="9" t="s">
        <v>492</v>
      </c>
      <c r="B37" s="10" t="s">
        <v>915</v>
      </c>
      <c r="C37" s="89">
        <v>1529</v>
      </c>
      <c r="D37" s="87">
        <v>85.1</v>
      </c>
      <c r="E37" s="88">
        <v>26</v>
      </c>
      <c r="F37" s="87">
        <v>60</v>
      </c>
      <c r="G37" s="17">
        <v>18</v>
      </c>
      <c r="H37" s="89">
        <v>406</v>
      </c>
      <c r="I37" s="90">
        <v>22500</v>
      </c>
      <c r="J37" s="90" t="s">
        <v>68</v>
      </c>
      <c r="K37" s="90">
        <v>23000</v>
      </c>
      <c r="L37" s="90" t="s">
        <v>59</v>
      </c>
      <c r="M37" s="91">
        <f t="shared" ref="M37:M42" si="50">I37-K37</f>
        <v>-500</v>
      </c>
      <c r="N37" s="4">
        <f t="shared" ref="N37:N42" si="51">IF(ISERROR(K37/I37),"",K37/I37)</f>
        <v>1.0222222222222221</v>
      </c>
      <c r="O37" s="92">
        <f t="shared" ref="O37:O42" si="52">I37/E37</f>
        <v>865.38461538461536</v>
      </c>
      <c r="P37" s="92">
        <f t="shared" ref="P37:P42" si="53">K37/E37</f>
        <v>884.61538461538464</v>
      </c>
      <c r="Q37" s="80">
        <v>3</v>
      </c>
      <c r="R37" s="80">
        <v>2</v>
      </c>
      <c r="S37" s="80" t="s">
        <v>61</v>
      </c>
      <c r="T37" s="5">
        <v>85</v>
      </c>
      <c r="U37" s="9"/>
      <c r="W37" s="87">
        <f t="shared" ref="W37:X42" si="54">D37</f>
        <v>85.1</v>
      </c>
      <c r="X37" s="88">
        <f t="shared" si="54"/>
        <v>26</v>
      </c>
      <c r="Y37" s="93">
        <f t="shared" ref="Y37:Z42" si="55">H37</f>
        <v>406</v>
      </c>
      <c r="Z37" s="91">
        <f t="shared" si="55"/>
        <v>22500</v>
      </c>
      <c r="AA37" s="91">
        <f t="shared" ref="AA37:AA42" si="56">K37</f>
        <v>23000</v>
      </c>
      <c r="AB37" s="91">
        <f t="shared" ref="AB37:AD42" si="57">M37</f>
        <v>-500</v>
      </c>
      <c r="AC37" s="4">
        <f t="shared" si="57"/>
        <v>1.0222222222222221</v>
      </c>
      <c r="AD37" s="92">
        <f t="shared" si="57"/>
        <v>865.38461538461536</v>
      </c>
      <c r="AE37" s="80" t="str">
        <f t="shared" ref="AE37:AE42" si="58">S37</f>
        <v>계</v>
      </c>
      <c r="AF37" s="80" t="str">
        <f t="shared" ref="AF37:AF42" si="59">Q37&amp;"/"&amp;R37</f>
        <v>3/2</v>
      </c>
      <c r="AH37" s="20" t="str">
        <f t="shared" ref="AH37:AH68" si="60">IF(A37="","",A37)</f>
        <v>한라비발디</v>
      </c>
      <c r="AI37" s="88">
        <f t="shared" si="49"/>
        <v>26</v>
      </c>
      <c r="AJ37" s="80" t="str">
        <f t="shared" ref="AJ37:AJ42" si="61">IF(AI37="","",$AJ$2)</f>
        <v>A-</v>
      </c>
      <c r="AK37" s="80" t="s">
        <v>13</v>
      </c>
      <c r="AL37" s="80" t="s">
        <v>62</v>
      </c>
      <c r="AM37" s="80" t="s">
        <v>63</v>
      </c>
      <c r="AN37" s="80" t="str">
        <f t="shared" ref="AN37:AN42" si="62">IF(AI37="","",$AN$2)</f>
        <v>C</v>
      </c>
      <c r="AO37" s="80" t="str">
        <f t="shared" ref="AO37:AO42" si="63">IF(N37="","",IF(N37&gt;=$AO$1/100,"O","X"))</f>
        <v>O</v>
      </c>
      <c r="AP37" s="80" t="str">
        <f t="shared" ref="AP37:AP42" si="64">IF(I37="","",IF(I37&lt;=$AP$1,"O","X"))</f>
        <v>O</v>
      </c>
      <c r="AQ37" s="80" t="str">
        <f t="shared" ref="AQ37:AQ42" si="65">IF(O37="","",IF(O37&lt;=$AQ$1,"O","X"))</f>
        <v>O</v>
      </c>
      <c r="AR37" s="80" t="str">
        <f t="shared" ref="AR37:AR42" si="66">IF(M37="","",IF(M37&lt;=$AR$1,"O","X"))</f>
        <v>O</v>
      </c>
      <c r="AS37" s="80" t="s">
        <v>2</v>
      </c>
      <c r="AT37" s="80" t="str">
        <f t="shared" ref="AT37:AT42" si="67">IF(OR(F37="",AI37=""),"",IF(AND((F37&lt;=85),(AI37&gt;=15)),"O","X"))</f>
        <v>O</v>
      </c>
      <c r="AU37" s="80" t="str">
        <f t="shared" ref="AU37:AU42" si="68">IF(C37="","",IF(C37&gt;=$AU$1,"O","X"))</f>
        <v>O</v>
      </c>
      <c r="AV37" s="80" t="str">
        <f t="shared" ref="AV37:AV42" si="69">IF(AO37="","",IF(AND(AO37="O",AP37="O",AR37="O",AT37="O",AU37="O"),"후보","X"))</f>
        <v>후보</v>
      </c>
    </row>
    <row r="38" spans="1:48" x14ac:dyDescent="0.3">
      <c r="A38" s="9" t="s">
        <v>492</v>
      </c>
      <c r="B38" s="10" t="s">
        <v>915</v>
      </c>
      <c r="C38" s="89">
        <v>1529</v>
      </c>
      <c r="D38" s="87">
        <v>111</v>
      </c>
      <c r="E38" s="88">
        <v>34</v>
      </c>
      <c r="F38" s="87">
        <v>84.6</v>
      </c>
      <c r="G38" s="17">
        <v>26</v>
      </c>
      <c r="H38" s="89">
        <v>776</v>
      </c>
      <c r="I38" s="90">
        <v>30000</v>
      </c>
      <c r="J38" s="90" t="s">
        <v>79</v>
      </c>
      <c r="K38" s="90">
        <v>27000</v>
      </c>
      <c r="L38" s="90" t="s">
        <v>68</v>
      </c>
      <c r="M38" s="91">
        <f t="shared" si="50"/>
        <v>3000</v>
      </c>
      <c r="N38" s="4">
        <f t="shared" si="51"/>
        <v>0.9</v>
      </c>
      <c r="O38" s="92">
        <f t="shared" si="52"/>
        <v>882.35294117647061</v>
      </c>
      <c r="P38" s="92">
        <f t="shared" si="53"/>
        <v>794.11764705882354</v>
      </c>
      <c r="Q38" s="80">
        <v>3</v>
      </c>
      <c r="R38" s="80">
        <v>2</v>
      </c>
      <c r="S38" s="80" t="s">
        <v>61</v>
      </c>
      <c r="T38" s="5">
        <v>111</v>
      </c>
      <c r="U38" s="9"/>
      <c r="W38" s="87">
        <f t="shared" si="54"/>
        <v>111</v>
      </c>
      <c r="X38" s="88">
        <f t="shared" si="54"/>
        <v>34</v>
      </c>
      <c r="Y38" s="93">
        <f t="shared" si="55"/>
        <v>776</v>
      </c>
      <c r="Z38" s="91">
        <f t="shared" si="55"/>
        <v>30000</v>
      </c>
      <c r="AA38" s="91">
        <f t="shared" si="56"/>
        <v>27000</v>
      </c>
      <c r="AB38" s="91">
        <f t="shared" si="57"/>
        <v>3000</v>
      </c>
      <c r="AC38" s="4">
        <f t="shared" si="57"/>
        <v>0.9</v>
      </c>
      <c r="AD38" s="92">
        <f t="shared" si="57"/>
        <v>882.35294117647061</v>
      </c>
      <c r="AE38" s="80" t="str">
        <f t="shared" si="58"/>
        <v>계</v>
      </c>
      <c r="AF38" s="80" t="str">
        <f t="shared" si="59"/>
        <v>3/2</v>
      </c>
      <c r="AH38" s="20" t="str">
        <f t="shared" si="60"/>
        <v>한라비발디</v>
      </c>
      <c r="AI38" s="88">
        <f t="shared" si="49"/>
        <v>34</v>
      </c>
      <c r="AJ38" s="80" t="str">
        <f t="shared" si="61"/>
        <v>A-</v>
      </c>
      <c r="AK38" s="80" t="s">
        <v>13</v>
      </c>
      <c r="AL38" s="80" t="s">
        <v>62</v>
      </c>
      <c r="AM38" s="80" t="s">
        <v>63</v>
      </c>
      <c r="AN38" s="80" t="str">
        <f t="shared" si="62"/>
        <v>C</v>
      </c>
      <c r="AO38" s="80" t="str">
        <f t="shared" si="63"/>
        <v>O</v>
      </c>
      <c r="AP38" s="80" t="str">
        <f t="shared" si="64"/>
        <v>O</v>
      </c>
      <c r="AQ38" s="80" t="str">
        <f t="shared" si="65"/>
        <v>O</v>
      </c>
      <c r="AR38" s="80" t="str">
        <f t="shared" si="66"/>
        <v>O</v>
      </c>
      <c r="AS38" s="80" t="s">
        <v>2</v>
      </c>
      <c r="AT38" s="80" t="str">
        <f t="shared" si="67"/>
        <v>O</v>
      </c>
      <c r="AU38" s="80" t="str">
        <f t="shared" si="68"/>
        <v>O</v>
      </c>
      <c r="AV38" s="80" t="str">
        <f t="shared" si="69"/>
        <v>후보</v>
      </c>
    </row>
    <row r="39" spans="1:48" x14ac:dyDescent="0.3">
      <c r="A39" s="9" t="s">
        <v>492</v>
      </c>
      <c r="B39" s="10" t="s">
        <v>915</v>
      </c>
      <c r="C39" s="89">
        <v>1529</v>
      </c>
      <c r="D39" s="87">
        <v>133</v>
      </c>
      <c r="E39" s="88">
        <v>40</v>
      </c>
      <c r="F39" s="87">
        <v>108.5</v>
      </c>
      <c r="G39" s="17">
        <v>33</v>
      </c>
      <c r="H39" s="89">
        <v>142</v>
      </c>
      <c r="I39" s="90">
        <v>38000</v>
      </c>
      <c r="J39" s="90" t="s">
        <v>67</v>
      </c>
      <c r="K39" s="90"/>
      <c r="L39" s="90"/>
      <c r="M39" s="91">
        <f t="shared" si="50"/>
        <v>38000</v>
      </c>
      <c r="N39" s="4">
        <f t="shared" si="51"/>
        <v>0</v>
      </c>
      <c r="O39" s="92">
        <f t="shared" si="52"/>
        <v>950</v>
      </c>
      <c r="P39" s="92">
        <f t="shared" si="53"/>
        <v>0</v>
      </c>
      <c r="Q39" s="80">
        <v>3</v>
      </c>
      <c r="R39" s="80">
        <v>2</v>
      </c>
      <c r="S39" s="80" t="s">
        <v>61</v>
      </c>
      <c r="T39" s="5">
        <v>132</v>
      </c>
      <c r="U39" s="9"/>
      <c r="W39" s="87">
        <f t="shared" si="54"/>
        <v>133</v>
      </c>
      <c r="X39" s="88">
        <f t="shared" si="54"/>
        <v>40</v>
      </c>
      <c r="Y39" s="93">
        <f t="shared" si="55"/>
        <v>142</v>
      </c>
      <c r="Z39" s="91">
        <f t="shared" si="55"/>
        <v>38000</v>
      </c>
      <c r="AA39" s="91">
        <f t="shared" si="56"/>
        <v>0</v>
      </c>
      <c r="AB39" s="91">
        <f t="shared" si="57"/>
        <v>38000</v>
      </c>
      <c r="AC39" s="4">
        <f t="shared" si="57"/>
        <v>0</v>
      </c>
      <c r="AD39" s="92">
        <f t="shared" si="57"/>
        <v>950</v>
      </c>
      <c r="AE39" s="80" t="str">
        <f t="shared" si="58"/>
        <v>계</v>
      </c>
      <c r="AF39" s="80" t="str">
        <f t="shared" si="59"/>
        <v>3/2</v>
      </c>
      <c r="AH39" s="20" t="str">
        <f t="shared" si="60"/>
        <v>한라비발디</v>
      </c>
      <c r="AI39" s="88">
        <f t="shared" si="49"/>
        <v>40</v>
      </c>
      <c r="AJ39" s="80" t="str">
        <f t="shared" si="61"/>
        <v>A-</v>
      </c>
      <c r="AK39" s="80" t="s">
        <v>13</v>
      </c>
      <c r="AL39" s="80" t="s">
        <v>62</v>
      </c>
      <c r="AM39" s="80" t="s">
        <v>63</v>
      </c>
      <c r="AN39" s="80" t="str">
        <f t="shared" si="62"/>
        <v>C</v>
      </c>
      <c r="AO39" s="80" t="str">
        <f t="shared" si="63"/>
        <v>X</v>
      </c>
      <c r="AP39" s="80" t="str">
        <f t="shared" si="64"/>
        <v>O</v>
      </c>
      <c r="AQ39" s="80" t="str">
        <f t="shared" si="65"/>
        <v>O</v>
      </c>
      <c r="AR39" s="80" t="str">
        <f t="shared" si="66"/>
        <v>X</v>
      </c>
      <c r="AS39" s="80" t="s">
        <v>2</v>
      </c>
      <c r="AT39" s="80" t="str">
        <f t="shared" si="67"/>
        <v>X</v>
      </c>
      <c r="AU39" s="80" t="str">
        <f t="shared" si="68"/>
        <v>O</v>
      </c>
      <c r="AV39" s="80" t="str">
        <f t="shared" si="69"/>
        <v>X</v>
      </c>
    </row>
    <row r="40" spans="1:48" x14ac:dyDescent="0.3">
      <c r="A40" s="9" t="s">
        <v>492</v>
      </c>
      <c r="B40" s="10" t="s">
        <v>915</v>
      </c>
      <c r="C40" s="89">
        <v>1529</v>
      </c>
      <c r="D40" s="87">
        <v>153.30000000000001</v>
      </c>
      <c r="E40" s="88">
        <v>46</v>
      </c>
      <c r="F40" s="87">
        <v>129.9</v>
      </c>
      <c r="G40" s="17">
        <v>39</v>
      </c>
      <c r="H40" s="89">
        <v>167</v>
      </c>
      <c r="I40" s="90"/>
      <c r="J40" s="90"/>
      <c r="K40" s="90"/>
      <c r="L40" s="90"/>
      <c r="M40" s="91">
        <f t="shared" si="50"/>
        <v>0</v>
      </c>
      <c r="N40" s="4" t="str">
        <f t="shared" si="51"/>
        <v/>
      </c>
      <c r="O40" s="92">
        <f t="shared" si="52"/>
        <v>0</v>
      </c>
      <c r="P40" s="92">
        <f t="shared" si="53"/>
        <v>0</v>
      </c>
      <c r="Q40" s="80">
        <v>4</v>
      </c>
      <c r="R40" s="80">
        <v>2</v>
      </c>
      <c r="S40" s="80" t="s">
        <v>61</v>
      </c>
      <c r="T40" s="5">
        <v>153</v>
      </c>
      <c r="U40" s="9"/>
      <c r="W40" s="87">
        <f t="shared" si="54"/>
        <v>153.30000000000001</v>
      </c>
      <c r="X40" s="88">
        <f t="shared" si="54"/>
        <v>46</v>
      </c>
      <c r="Y40" s="93">
        <f t="shared" si="55"/>
        <v>167</v>
      </c>
      <c r="Z40" s="91">
        <f t="shared" si="55"/>
        <v>0</v>
      </c>
      <c r="AA40" s="91">
        <f t="shared" si="56"/>
        <v>0</v>
      </c>
      <c r="AB40" s="91">
        <f t="shared" si="57"/>
        <v>0</v>
      </c>
      <c r="AC40" s="4" t="str">
        <f t="shared" si="57"/>
        <v/>
      </c>
      <c r="AD40" s="92">
        <f t="shared" si="57"/>
        <v>0</v>
      </c>
      <c r="AE40" s="80" t="str">
        <f t="shared" si="58"/>
        <v>계</v>
      </c>
      <c r="AF40" s="80" t="str">
        <f t="shared" si="59"/>
        <v>4/2</v>
      </c>
      <c r="AH40" s="20" t="str">
        <f t="shared" si="60"/>
        <v>한라비발디</v>
      </c>
      <c r="AI40" s="88">
        <f t="shared" si="49"/>
        <v>46</v>
      </c>
      <c r="AJ40" s="80" t="str">
        <f t="shared" si="61"/>
        <v>A-</v>
      </c>
      <c r="AK40" s="80" t="s">
        <v>13</v>
      </c>
      <c r="AL40" s="80" t="s">
        <v>62</v>
      </c>
      <c r="AM40" s="80" t="s">
        <v>63</v>
      </c>
      <c r="AN40" s="80" t="str">
        <f t="shared" si="62"/>
        <v>C</v>
      </c>
      <c r="AO40" s="80" t="str">
        <f t="shared" si="63"/>
        <v/>
      </c>
      <c r="AP40" s="80" t="str">
        <f t="shared" si="64"/>
        <v/>
      </c>
      <c r="AQ40" s="80" t="str">
        <f t="shared" si="65"/>
        <v>O</v>
      </c>
      <c r="AR40" s="80" t="str">
        <f t="shared" si="66"/>
        <v>O</v>
      </c>
      <c r="AS40" s="80" t="s">
        <v>2</v>
      </c>
      <c r="AT40" s="80" t="str">
        <f t="shared" si="67"/>
        <v>X</v>
      </c>
      <c r="AU40" s="80" t="str">
        <f t="shared" si="68"/>
        <v>O</v>
      </c>
      <c r="AV40" s="80" t="str">
        <f t="shared" si="69"/>
        <v/>
      </c>
    </row>
    <row r="41" spans="1:48" x14ac:dyDescent="0.3">
      <c r="A41" s="9" t="s">
        <v>492</v>
      </c>
      <c r="B41" s="10" t="s">
        <v>915</v>
      </c>
      <c r="C41" s="89">
        <v>1529</v>
      </c>
      <c r="D41" s="87">
        <v>189.3</v>
      </c>
      <c r="E41" s="88">
        <v>57</v>
      </c>
      <c r="F41" s="87">
        <v>161.9</v>
      </c>
      <c r="G41" s="17">
        <v>49</v>
      </c>
      <c r="H41" s="89">
        <v>34</v>
      </c>
      <c r="I41" s="90">
        <v>52000</v>
      </c>
      <c r="J41" s="90" t="s">
        <v>68</v>
      </c>
      <c r="K41" s="90">
        <v>40000</v>
      </c>
      <c r="L41" s="90" t="s">
        <v>65</v>
      </c>
      <c r="M41" s="91">
        <f t="shared" si="50"/>
        <v>12000</v>
      </c>
      <c r="N41" s="4">
        <f t="shared" si="51"/>
        <v>0.76923076923076927</v>
      </c>
      <c r="O41" s="92">
        <f t="shared" si="52"/>
        <v>912.28070175438597</v>
      </c>
      <c r="P41" s="92">
        <f t="shared" si="53"/>
        <v>701.75438596491233</v>
      </c>
      <c r="Q41" s="80">
        <v>4</v>
      </c>
      <c r="R41" s="80">
        <v>2</v>
      </c>
      <c r="S41" s="80" t="s">
        <v>61</v>
      </c>
      <c r="T41" s="5">
        <v>189</v>
      </c>
      <c r="U41" s="9"/>
      <c r="W41" s="87">
        <f t="shared" si="54"/>
        <v>189.3</v>
      </c>
      <c r="X41" s="88">
        <f t="shared" si="54"/>
        <v>57</v>
      </c>
      <c r="Y41" s="93">
        <f t="shared" si="55"/>
        <v>34</v>
      </c>
      <c r="Z41" s="91">
        <f t="shared" si="55"/>
        <v>52000</v>
      </c>
      <c r="AA41" s="91">
        <f t="shared" si="56"/>
        <v>40000</v>
      </c>
      <c r="AB41" s="91">
        <f t="shared" si="57"/>
        <v>12000</v>
      </c>
      <c r="AC41" s="4">
        <f t="shared" si="57"/>
        <v>0.76923076923076927</v>
      </c>
      <c r="AD41" s="92">
        <f t="shared" si="57"/>
        <v>912.28070175438597</v>
      </c>
      <c r="AE41" s="80" t="str">
        <f t="shared" si="58"/>
        <v>계</v>
      </c>
      <c r="AF41" s="80" t="str">
        <f t="shared" si="59"/>
        <v>4/2</v>
      </c>
      <c r="AH41" s="20" t="str">
        <f t="shared" si="60"/>
        <v>한라비발디</v>
      </c>
      <c r="AI41" s="88">
        <f t="shared" si="49"/>
        <v>57</v>
      </c>
      <c r="AJ41" s="80" t="str">
        <f t="shared" si="61"/>
        <v>A-</v>
      </c>
      <c r="AK41" s="80" t="s">
        <v>13</v>
      </c>
      <c r="AL41" s="80" t="s">
        <v>62</v>
      </c>
      <c r="AM41" s="80" t="s">
        <v>63</v>
      </c>
      <c r="AN41" s="80" t="str">
        <f t="shared" si="62"/>
        <v>C</v>
      </c>
      <c r="AO41" s="80" t="str">
        <f t="shared" si="63"/>
        <v>X</v>
      </c>
      <c r="AP41" s="80" t="str">
        <f t="shared" si="64"/>
        <v>X</v>
      </c>
      <c r="AQ41" s="80" t="str">
        <f t="shared" si="65"/>
        <v>O</v>
      </c>
      <c r="AR41" s="80" t="str">
        <f t="shared" si="66"/>
        <v>X</v>
      </c>
      <c r="AS41" s="80" t="s">
        <v>2</v>
      </c>
      <c r="AT41" s="80" t="str">
        <f t="shared" si="67"/>
        <v>X</v>
      </c>
      <c r="AU41" s="80" t="str">
        <f t="shared" si="68"/>
        <v>O</v>
      </c>
      <c r="AV41" s="80" t="str">
        <f t="shared" si="69"/>
        <v>X</v>
      </c>
    </row>
    <row r="42" spans="1:48" x14ac:dyDescent="0.3">
      <c r="A42" s="9" t="s">
        <v>492</v>
      </c>
      <c r="B42" s="10" t="s">
        <v>915</v>
      </c>
      <c r="C42" s="89">
        <v>1529</v>
      </c>
      <c r="D42" s="87">
        <v>255.9</v>
      </c>
      <c r="E42" s="88">
        <v>77</v>
      </c>
      <c r="F42" s="87">
        <v>213.9</v>
      </c>
      <c r="G42" s="17">
        <v>65</v>
      </c>
      <c r="H42" s="89">
        <v>4</v>
      </c>
      <c r="I42" s="90"/>
      <c r="J42" s="90"/>
      <c r="K42" s="90"/>
      <c r="L42" s="90"/>
      <c r="M42" s="91">
        <f t="shared" si="50"/>
        <v>0</v>
      </c>
      <c r="N42" s="4" t="str">
        <f t="shared" si="51"/>
        <v/>
      </c>
      <c r="O42" s="92">
        <f t="shared" si="52"/>
        <v>0</v>
      </c>
      <c r="P42" s="92">
        <f t="shared" si="53"/>
        <v>0</v>
      </c>
      <c r="Q42" s="80">
        <v>4</v>
      </c>
      <c r="R42" s="80">
        <v>2</v>
      </c>
      <c r="S42" s="80" t="s">
        <v>61</v>
      </c>
      <c r="T42" s="5">
        <v>255</v>
      </c>
      <c r="U42" s="9"/>
      <c r="W42" s="87">
        <f t="shared" si="54"/>
        <v>255.9</v>
      </c>
      <c r="X42" s="88">
        <f t="shared" si="54"/>
        <v>77</v>
      </c>
      <c r="Y42" s="93">
        <f t="shared" si="55"/>
        <v>4</v>
      </c>
      <c r="Z42" s="91">
        <f t="shared" si="55"/>
        <v>0</v>
      </c>
      <c r="AA42" s="91">
        <f t="shared" si="56"/>
        <v>0</v>
      </c>
      <c r="AB42" s="91">
        <f t="shared" si="57"/>
        <v>0</v>
      </c>
      <c r="AC42" s="4" t="str">
        <f t="shared" si="57"/>
        <v/>
      </c>
      <c r="AD42" s="92">
        <f t="shared" si="57"/>
        <v>0</v>
      </c>
      <c r="AE42" s="80" t="str">
        <f t="shared" si="58"/>
        <v>계</v>
      </c>
      <c r="AF42" s="80" t="str">
        <f t="shared" si="59"/>
        <v>4/2</v>
      </c>
      <c r="AH42" s="20" t="str">
        <f t="shared" si="60"/>
        <v>한라비발디</v>
      </c>
      <c r="AI42" s="88">
        <f t="shared" si="49"/>
        <v>77</v>
      </c>
      <c r="AJ42" s="80" t="str">
        <f t="shared" si="61"/>
        <v>A-</v>
      </c>
      <c r="AK42" s="80" t="s">
        <v>13</v>
      </c>
      <c r="AL42" s="80" t="s">
        <v>62</v>
      </c>
      <c r="AM42" s="80" t="s">
        <v>63</v>
      </c>
      <c r="AN42" s="80" t="str">
        <f t="shared" si="62"/>
        <v>C</v>
      </c>
      <c r="AO42" s="80" t="str">
        <f t="shared" si="63"/>
        <v/>
      </c>
      <c r="AP42" s="80" t="str">
        <f t="shared" si="64"/>
        <v/>
      </c>
      <c r="AQ42" s="80" t="str">
        <f t="shared" si="65"/>
        <v>O</v>
      </c>
      <c r="AR42" s="80" t="str">
        <f t="shared" si="66"/>
        <v>O</v>
      </c>
      <c r="AS42" s="80" t="s">
        <v>2</v>
      </c>
      <c r="AT42" s="80" t="str">
        <f t="shared" si="67"/>
        <v>X</v>
      </c>
      <c r="AU42" s="80" t="str">
        <f t="shared" si="68"/>
        <v>O</v>
      </c>
      <c r="AV42" s="80" t="str">
        <f t="shared" si="69"/>
        <v/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오창읍 한신더휴센트럴파크('18.02.,1210^)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60"/>
        <v/>
      </c>
      <c r="AI43" s="112" t="str">
        <f t="shared" si="49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496</v>
      </c>
      <c r="B44" s="10" t="s">
        <v>918</v>
      </c>
      <c r="C44" s="89">
        <v>1210</v>
      </c>
      <c r="D44" s="87">
        <v>114.8</v>
      </c>
      <c r="E44" s="88">
        <v>35</v>
      </c>
      <c r="F44" s="87">
        <v>85</v>
      </c>
      <c r="G44" s="17">
        <v>26</v>
      </c>
      <c r="H44" s="89">
        <v>301</v>
      </c>
      <c r="I44" s="90"/>
      <c r="J44" s="90"/>
      <c r="K44" s="90"/>
      <c r="L44" s="90"/>
      <c r="M44" s="91">
        <f t="shared" ref="M44:M50" si="70">I44-K44</f>
        <v>0</v>
      </c>
      <c r="N44" s="4" t="str">
        <f t="shared" ref="N44:N50" si="71">IF(ISERROR(K44/I44),"",K44/I44)</f>
        <v/>
      </c>
      <c r="O44" s="92">
        <f t="shared" ref="O44:O50" si="72">I44/E44</f>
        <v>0</v>
      </c>
      <c r="P44" s="92">
        <f t="shared" ref="P44:P50" si="73">K44/E44</f>
        <v>0</v>
      </c>
      <c r="Q44" s="80">
        <v>3</v>
      </c>
      <c r="R44" s="80">
        <v>2</v>
      </c>
      <c r="S44" s="80" t="s">
        <v>61</v>
      </c>
      <c r="T44" s="5" t="s">
        <v>498</v>
      </c>
      <c r="U44" s="9"/>
      <c r="W44" s="87">
        <f t="shared" ref="W44:X50" si="74">D44</f>
        <v>114.8</v>
      </c>
      <c r="X44" s="88">
        <f t="shared" si="74"/>
        <v>35</v>
      </c>
      <c r="Y44" s="93">
        <f t="shared" ref="Y44:Z50" si="75">H44</f>
        <v>301</v>
      </c>
      <c r="Z44" s="91">
        <f t="shared" si="75"/>
        <v>0</v>
      </c>
      <c r="AA44" s="91">
        <f t="shared" ref="AA44:AA50" si="76">K44</f>
        <v>0</v>
      </c>
      <c r="AB44" s="91">
        <f t="shared" ref="AB44:AD50" si="77">M44</f>
        <v>0</v>
      </c>
      <c r="AC44" s="4" t="str">
        <f t="shared" si="77"/>
        <v/>
      </c>
      <c r="AD44" s="92">
        <f t="shared" si="77"/>
        <v>0</v>
      </c>
      <c r="AE44" s="80" t="str">
        <f t="shared" ref="AE44:AE50" si="78">S44</f>
        <v>계</v>
      </c>
      <c r="AF44" s="80" t="str">
        <f t="shared" ref="AF44:AF50" si="79">Q44&amp;"/"&amp;R44</f>
        <v>3/2</v>
      </c>
      <c r="AH44" s="20" t="str">
        <f t="shared" si="60"/>
        <v>한신더휴센트럴파크</v>
      </c>
      <c r="AI44" s="88">
        <f t="shared" si="49"/>
        <v>35</v>
      </c>
      <c r="AJ44" s="80" t="str">
        <f t="shared" ref="AJ44:AJ50" si="80">IF(AI44="","",$AJ$2)</f>
        <v>A-</v>
      </c>
      <c r="AK44" s="80" t="s">
        <v>13</v>
      </c>
      <c r="AL44" s="80" t="s">
        <v>62</v>
      </c>
      <c r="AM44" s="80" t="s">
        <v>63</v>
      </c>
      <c r="AN44" s="80" t="str">
        <f t="shared" ref="AN44:AN50" si="81">IF(AI44="","",$AN$2)</f>
        <v>C</v>
      </c>
      <c r="AO44" s="80" t="str">
        <f t="shared" ref="AO44:AO50" si="82">IF(N44="","",IF(N44&gt;=$AO$1/100,"O","X"))</f>
        <v/>
      </c>
      <c r="AP44" s="80" t="str">
        <f t="shared" ref="AP44:AP50" si="83">IF(I44="","",IF(I44&lt;=$AP$1,"O","X"))</f>
        <v/>
      </c>
      <c r="AQ44" s="80" t="str">
        <f t="shared" ref="AQ44:AQ50" si="84">IF(O44="","",IF(O44&lt;=$AQ$1,"O","X"))</f>
        <v>O</v>
      </c>
      <c r="AR44" s="80" t="str">
        <f t="shared" ref="AR44:AR50" si="85">IF(M44="","",IF(M44&lt;=$AR$1,"O","X"))</f>
        <v>O</v>
      </c>
      <c r="AS44" s="80" t="s">
        <v>2</v>
      </c>
      <c r="AT44" s="80" t="str">
        <f t="shared" ref="AT44:AT50" si="86">IF(OR(F44="",AI44=""),"",IF(AND((F44&lt;=85),(AI44&gt;=15)),"O","X"))</f>
        <v>O</v>
      </c>
      <c r="AU44" s="80" t="str">
        <f t="shared" ref="AU44:AU50" si="87">IF(C44="","",IF(C44&gt;=$AU$1,"O","X"))</f>
        <v>O</v>
      </c>
      <c r="AV44" s="80" t="str">
        <f t="shared" ref="AV44:AV50" si="88">IF(AO44="","",IF(AND(AO44="O",AP44="O",AR44="O",AT44="O",AU44="O"),"후보","X"))</f>
        <v/>
      </c>
    </row>
    <row r="45" spans="1:48" x14ac:dyDescent="0.3">
      <c r="A45" s="9" t="s">
        <v>496</v>
      </c>
      <c r="B45" s="10" t="s">
        <v>918</v>
      </c>
      <c r="C45" s="89">
        <v>1210</v>
      </c>
      <c r="D45" s="87">
        <v>115.4</v>
      </c>
      <c r="E45" s="88">
        <v>35</v>
      </c>
      <c r="F45" s="87">
        <v>85</v>
      </c>
      <c r="G45" s="17">
        <v>26</v>
      </c>
      <c r="H45" s="89">
        <v>307</v>
      </c>
      <c r="I45" s="90"/>
      <c r="J45" s="90"/>
      <c r="K45" s="90"/>
      <c r="L45" s="90"/>
      <c r="M45" s="91">
        <f t="shared" si="70"/>
        <v>0</v>
      </c>
      <c r="N45" s="4" t="str">
        <f t="shared" si="71"/>
        <v/>
      </c>
      <c r="O45" s="92">
        <f t="shared" si="72"/>
        <v>0</v>
      </c>
      <c r="P45" s="92">
        <f t="shared" si="73"/>
        <v>0</v>
      </c>
      <c r="Q45" s="80">
        <v>3</v>
      </c>
      <c r="R45" s="80">
        <v>2</v>
      </c>
      <c r="S45" s="80" t="s">
        <v>61</v>
      </c>
      <c r="T45" s="5" t="s">
        <v>119</v>
      </c>
      <c r="U45" s="9"/>
      <c r="W45" s="87">
        <f t="shared" si="74"/>
        <v>115.4</v>
      </c>
      <c r="X45" s="88">
        <f t="shared" si="74"/>
        <v>35</v>
      </c>
      <c r="Y45" s="93">
        <f t="shared" si="75"/>
        <v>307</v>
      </c>
      <c r="Z45" s="91">
        <f t="shared" si="75"/>
        <v>0</v>
      </c>
      <c r="AA45" s="91">
        <f t="shared" si="76"/>
        <v>0</v>
      </c>
      <c r="AB45" s="91">
        <f t="shared" si="77"/>
        <v>0</v>
      </c>
      <c r="AC45" s="4" t="str">
        <f t="shared" si="77"/>
        <v/>
      </c>
      <c r="AD45" s="92">
        <f t="shared" si="77"/>
        <v>0</v>
      </c>
      <c r="AE45" s="80" t="str">
        <f t="shared" si="78"/>
        <v>계</v>
      </c>
      <c r="AF45" s="80" t="str">
        <f t="shared" si="79"/>
        <v>3/2</v>
      </c>
      <c r="AH45" s="20" t="str">
        <f t="shared" si="60"/>
        <v>한신더휴센트럴파크</v>
      </c>
      <c r="AI45" s="88">
        <f t="shared" si="49"/>
        <v>35</v>
      </c>
      <c r="AJ45" s="80" t="str">
        <f t="shared" si="80"/>
        <v>A-</v>
      </c>
      <c r="AK45" s="80" t="s">
        <v>13</v>
      </c>
      <c r="AL45" s="80" t="s">
        <v>62</v>
      </c>
      <c r="AM45" s="80" t="s">
        <v>63</v>
      </c>
      <c r="AN45" s="80" t="str">
        <f t="shared" si="81"/>
        <v>C</v>
      </c>
      <c r="AO45" s="80" t="str">
        <f t="shared" si="82"/>
        <v/>
      </c>
      <c r="AP45" s="80" t="str">
        <f t="shared" si="83"/>
        <v/>
      </c>
      <c r="AQ45" s="80" t="str">
        <f t="shared" si="84"/>
        <v>O</v>
      </c>
      <c r="AR45" s="80" t="str">
        <f t="shared" si="85"/>
        <v>O</v>
      </c>
      <c r="AS45" s="80" t="s">
        <v>2</v>
      </c>
      <c r="AT45" s="80" t="str">
        <f t="shared" si="86"/>
        <v>O</v>
      </c>
      <c r="AU45" s="80" t="str">
        <f t="shared" si="87"/>
        <v>O</v>
      </c>
      <c r="AV45" s="80" t="str">
        <f t="shared" si="88"/>
        <v/>
      </c>
    </row>
    <row r="46" spans="1:48" x14ac:dyDescent="0.3">
      <c r="A46" s="9" t="s">
        <v>496</v>
      </c>
      <c r="B46" s="10" t="s">
        <v>918</v>
      </c>
      <c r="C46" s="89">
        <v>1210</v>
      </c>
      <c r="D46" s="87">
        <v>115.1</v>
      </c>
      <c r="E46" s="88">
        <v>35</v>
      </c>
      <c r="F46" s="87">
        <v>85</v>
      </c>
      <c r="G46" s="17">
        <v>26</v>
      </c>
      <c r="H46" s="89">
        <v>280</v>
      </c>
      <c r="I46" s="90"/>
      <c r="J46" s="90"/>
      <c r="K46" s="90"/>
      <c r="L46" s="90"/>
      <c r="M46" s="91">
        <f t="shared" si="70"/>
        <v>0</v>
      </c>
      <c r="N46" s="4" t="str">
        <f t="shared" si="71"/>
        <v/>
      </c>
      <c r="O46" s="92">
        <f t="shared" si="72"/>
        <v>0</v>
      </c>
      <c r="P46" s="92">
        <f t="shared" si="73"/>
        <v>0</v>
      </c>
      <c r="Q46" s="80">
        <v>3</v>
      </c>
      <c r="R46" s="80">
        <v>2</v>
      </c>
      <c r="S46" s="80" t="s">
        <v>61</v>
      </c>
      <c r="T46" s="5" t="s">
        <v>502</v>
      </c>
      <c r="U46" s="9"/>
      <c r="W46" s="87">
        <f t="shared" si="74"/>
        <v>115.1</v>
      </c>
      <c r="X46" s="88">
        <f t="shared" si="74"/>
        <v>35</v>
      </c>
      <c r="Y46" s="93">
        <f t="shared" si="75"/>
        <v>280</v>
      </c>
      <c r="Z46" s="91">
        <f t="shared" si="75"/>
        <v>0</v>
      </c>
      <c r="AA46" s="91">
        <f t="shared" si="76"/>
        <v>0</v>
      </c>
      <c r="AB46" s="91">
        <f t="shared" si="77"/>
        <v>0</v>
      </c>
      <c r="AC46" s="4" t="str">
        <f t="shared" si="77"/>
        <v/>
      </c>
      <c r="AD46" s="92">
        <f t="shared" si="77"/>
        <v>0</v>
      </c>
      <c r="AE46" s="80" t="str">
        <f t="shared" si="78"/>
        <v>계</v>
      </c>
      <c r="AF46" s="80" t="str">
        <f t="shared" si="79"/>
        <v>3/2</v>
      </c>
      <c r="AH46" s="20" t="str">
        <f t="shared" si="60"/>
        <v>한신더휴센트럴파크</v>
      </c>
      <c r="AI46" s="88">
        <f t="shared" si="49"/>
        <v>35</v>
      </c>
      <c r="AJ46" s="80" t="str">
        <f t="shared" si="80"/>
        <v>A-</v>
      </c>
      <c r="AK46" s="80" t="s">
        <v>13</v>
      </c>
      <c r="AL46" s="80" t="s">
        <v>62</v>
      </c>
      <c r="AM46" s="80" t="s">
        <v>63</v>
      </c>
      <c r="AN46" s="80" t="str">
        <f t="shared" si="81"/>
        <v>C</v>
      </c>
      <c r="AO46" s="80" t="str">
        <f t="shared" si="82"/>
        <v/>
      </c>
      <c r="AP46" s="80" t="str">
        <f t="shared" si="83"/>
        <v/>
      </c>
      <c r="AQ46" s="80" t="str">
        <f t="shared" si="84"/>
        <v>O</v>
      </c>
      <c r="AR46" s="80" t="str">
        <f t="shared" si="85"/>
        <v>O</v>
      </c>
      <c r="AS46" s="80" t="s">
        <v>2</v>
      </c>
      <c r="AT46" s="80" t="str">
        <f t="shared" si="86"/>
        <v>O</v>
      </c>
      <c r="AU46" s="80" t="str">
        <f t="shared" si="87"/>
        <v>O</v>
      </c>
      <c r="AV46" s="80" t="str">
        <f t="shared" si="88"/>
        <v/>
      </c>
    </row>
    <row r="47" spans="1:48" x14ac:dyDescent="0.3">
      <c r="A47" s="9" t="s">
        <v>496</v>
      </c>
      <c r="B47" s="10" t="s">
        <v>918</v>
      </c>
      <c r="C47" s="89">
        <v>1210</v>
      </c>
      <c r="D47" s="87">
        <v>115.1</v>
      </c>
      <c r="E47" s="88">
        <v>35</v>
      </c>
      <c r="F47" s="87">
        <v>85</v>
      </c>
      <c r="G47" s="17">
        <v>26</v>
      </c>
      <c r="H47" s="89">
        <v>280</v>
      </c>
      <c r="I47" s="90"/>
      <c r="J47" s="90"/>
      <c r="K47" s="90"/>
      <c r="L47" s="90"/>
      <c r="M47" s="91">
        <f t="shared" si="70"/>
        <v>0</v>
      </c>
      <c r="N47" s="4" t="str">
        <f t="shared" si="71"/>
        <v/>
      </c>
      <c r="O47" s="92">
        <f t="shared" si="72"/>
        <v>0</v>
      </c>
      <c r="P47" s="92">
        <f t="shared" si="73"/>
        <v>0</v>
      </c>
      <c r="Q47" s="80">
        <v>3</v>
      </c>
      <c r="R47" s="80">
        <v>2</v>
      </c>
      <c r="S47" s="80" t="s">
        <v>61</v>
      </c>
      <c r="T47" s="5" t="s">
        <v>503</v>
      </c>
      <c r="U47" s="9"/>
      <c r="W47" s="87">
        <f t="shared" si="74"/>
        <v>115.1</v>
      </c>
      <c r="X47" s="88">
        <f t="shared" si="74"/>
        <v>35</v>
      </c>
      <c r="Y47" s="93">
        <f t="shared" si="75"/>
        <v>280</v>
      </c>
      <c r="Z47" s="91">
        <f t="shared" si="75"/>
        <v>0</v>
      </c>
      <c r="AA47" s="91">
        <f t="shared" si="76"/>
        <v>0</v>
      </c>
      <c r="AB47" s="91">
        <f t="shared" si="77"/>
        <v>0</v>
      </c>
      <c r="AC47" s="4" t="str">
        <f t="shared" si="77"/>
        <v/>
      </c>
      <c r="AD47" s="92">
        <f t="shared" si="77"/>
        <v>0</v>
      </c>
      <c r="AE47" s="80" t="str">
        <f t="shared" si="78"/>
        <v>계</v>
      </c>
      <c r="AF47" s="80" t="str">
        <f t="shared" si="79"/>
        <v>3/2</v>
      </c>
      <c r="AH47" s="20" t="str">
        <f t="shared" si="60"/>
        <v>한신더휴센트럴파크</v>
      </c>
      <c r="AI47" s="88">
        <f t="shared" si="49"/>
        <v>35</v>
      </c>
      <c r="AJ47" s="80" t="str">
        <f t="shared" si="80"/>
        <v>A-</v>
      </c>
      <c r="AK47" s="80" t="s">
        <v>13</v>
      </c>
      <c r="AL47" s="80" t="s">
        <v>62</v>
      </c>
      <c r="AM47" s="80" t="s">
        <v>63</v>
      </c>
      <c r="AN47" s="80" t="str">
        <f t="shared" si="81"/>
        <v>C</v>
      </c>
      <c r="AO47" s="80" t="str">
        <f t="shared" si="82"/>
        <v/>
      </c>
      <c r="AP47" s="80" t="str">
        <f t="shared" si="83"/>
        <v/>
      </c>
      <c r="AQ47" s="80" t="str">
        <f t="shared" si="84"/>
        <v>O</v>
      </c>
      <c r="AR47" s="80" t="str">
        <f t="shared" si="85"/>
        <v>O</v>
      </c>
      <c r="AS47" s="80" t="s">
        <v>2</v>
      </c>
      <c r="AT47" s="80" t="str">
        <f t="shared" si="86"/>
        <v>O</v>
      </c>
      <c r="AU47" s="80" t="str">
        <f t="shared" si="87"/>
        <v>O</v>
      </c>
      <c r="AV47" s="80" t="str">
        <f t="shared" si="88"/>
        <v/>
      </c>
    </row>
    <row r="48" spans="1:48" x14ac:dyDescent="0.3">
      <c r="A48" s="9" t="s">
        <v>496</v>
      </c>
      <c r="B48" s="10" t="s">
        <v>918</v>
      </c>
      <c r="C48" s="89">
        <v>1210</v>
      </c>
      <c r="D48" s="87">
        <v>174.1</v>
      </c>
      <c r="E48" s="88">
        <v>53</v>
      </c>
      <c r="F48" s="87">
        <v>129</v>
      </c>
      <c r="G48" s="17">
        <v>39</v>
      </c>
      <c r="H48" s="89">
        <v>28</v>
      </c>
      <c r="I48" s="90"/>
      <c r="J48" s="90"/>
      <c r="K48" s="90"/>
      <c r="L48" s="90"/>
      <c r="M48" s="91">
        <f t="shared" si="70"/>
        <v>0</v>
      </c>
      <c r="N48" s="4" t="str">
        <f t="shared" si="71"/>
        <v/>
      </c>
      <c r="O48" s="92">
        <f t="shared" si="72"/>
        <v>0</v>
      </c>
      <c r="P48" s="92">
        <f t="shared" si="73"/>
        <v>0</v>
      </c>
      <c r="Q48" s="80">
        <v>3</v>
      </c>
      <c r="R48" s="80">
        <v>2</v>
      </c>
      <c r="S48" s="80" t="s">
        <v>61</v>
      </c>
      <c r="T48" s="5">
        <v>174</v>
      </c>
      <c r="U48" s="9"/>
      <c r="W48" s="87">
        <f t="shared" si="74"/>
        <v>174.1</v>
      </c>
      <c r="X48" s="88">
        <f t="shared" si="74"/>
        <v>53</v>
      </c>
      <c r="Y48" s="93">
        <f t="shared" si="75"/>
        <v>28</v>
      </c>
      <c r="Z48" s="91">
        <f t="shared" si="75"/>
        <v>0</v>
      </c>
      <c r="AA48" s="91">
        <f t="shared" si="76"/>
        <v>0</v>
      </c>
      <c r="AB48" s="91">
        <f t="shared" si="77"/>
        <v>0</v>
      </c>
      <c r="AC48" s="4" t="str">
        <f t="shared" si="77"/>
        <v/>
      </c>
      <c r="AD48" s="92">
        <f t="shared" si="77"/>
        <v>0</v>
      </c>
      <c r="AE48" s="80" t="str">
        <f t="shared" si="78"/>
        <v>계</v>
      </c>
      <c r="AF48" s="80" t="str">
        <f t="shared" si="79"/>
        <v>3/2</v>
      </c>
      <c r="AH48" s="20" t="str">
        <f t="shared" si="60"/>
        <v>한신더휴센트럴파크</v>
      </c>
      <c r="AI48" s="88">
        <f t="shared" si="49"/>
        <v>53</v>
      </c>
      <c r="AJ48" s="80" t="str">
        <f t="shared" si="80"/>
        <v>A-</v>
      </c>
      <c r="AK48" s="80" t="s">
        <v>13</v>
      </c>
      <c r="AL48" s="80" t="s">
        <v>62</v>
      </c>
      <c r="AM48" s="80" t="s">
        <v>63</v>
      </c>
      <c r="AN48" s="80" t="str">
        <f t="shared" si="81"/>
        <v>C</v>
      </c>
      <c r="AO48" s="80" t="str">
        <f t="shared" si="82"/>
        <v/>
      </c>
      <c r="AP48" s="80" t="str">
        <f t="shared" si="83"/>
        <v/>
      </c>
      <c r="AQ48" s="80" t="str">
        <f t="shared" si="84"/>
        <v>O</v>
      </c>
      <c r="AR48" s="80" t="str">
        <f t="shared" si="85"/>
        <v>O</v>
      </c>
      <c r="AS48" s="80" t="s">
        <v>2</v>
      </c>
      <c r="AT48" s="80" t="str">
        <f t="shared" si="86"/>
        <v>X</v>
      </c>
      <c r="AU48" s="80" t="str">
        <f t="shared" si="87"/>
        <v>O</v>
      </c>
      <c r="AV48" s="80" t="str">
        <f t="shared" si="88"/>
        <v/>
      </c>
    </row>
    <row r="49" spans="1:48" x14ac:dyDescent="0.3">
      <c r="A49" s="9" t="s">
        <v>496</v>
      </c>
      <c r="B49" s="10" t="s">
        <v>918</v>
      </c>
      <c r="C49" s="89">
        <v>1210</v>
      </c>
      <c r="D49" s="87">
        <v>186.3</v>
      </c>
      <c r="E49" s="88">
        <v>56</v>
      </c>
      <c r="F49" s="87">
        <v>138.6</v>
      </c>
      <c r="G49" s="17">
        <v>42</v>
      </c>
      <c r="H49" s="89">
        <v>7</v>
      </c>
      <c r="I49" s="90"/>
      <c r="J49" s="90"/>
      <c r="K49" s="90"/>
      <c r="L49" s="90"/>
      <c r="M49" s="91">
        <f t="shared" si="70"/>
        <v>0</v>
      </c>
      <c r="N49" s="4" t="str">
        <f t="shared" si="71"/>
        <v/>
      </c>
      <c r="O49" s="92">
        <f t="shared" si="72"/>
        <v>0</v>
      </c>
      <c r="P49" s="92">
        <f t="shared" si="73"/>
        <v>0</v>
      </c>
      <c r="Q49" s="80">
        <v>3</v>
      </c>
      <c r="R49" s="80">
        <v>2</v>
      </c>
      <c r="S49" s="80" t="s">
        <v>61</v>
      </c>
      <c r="T49" s="5">
        <v>186</v>
      </c>
      <c r="U49" s="9"/>
      <c r="W49" s="87">
        <f t="shared" si="74"/>
        <v>186.3</v>
      </c>
      <c r="X49" s="88">
        <f t="shared" si="74"/>
        <v>56</v>
      </c>
      <c r="Y49" s="93">
        <f t="shared" si="75"/>
        <v>7</v>
      </c>
      <c r="Z49" s="91">
        <f t="shared" si="75"/>
        <v>0</v>
      </c>
      <c r="AA49" s="91">
        <f t="shared" si="76"/>
        <v>0</v>
      </c>
      <c r="AB49" s="91">
        <f t="shared" si="77"/>
        <v>0</v>
      </c>
      <c r="AC49" s="4" t="str">
        <f t="shared" si="77"/>
        <v/>
      </c>
      <c r="AD49" s="92">
        <f t="shared" si="77"/>
        <v>0</v>
      </c>
      <c r="AE49" s="80" t="str">
        <f t="shared" si="78"/>
        <v>계</v>
      </c>
      <c r="AF49" s="80" t="str">
        <f t="shared" si="79"/>
        <v>3/2</v>
      </c>
      <c r="AH49" s="20" t="str">
        <f t="shared" si="60"/>
        <v>한신더휴센트럴파크</v>
      </c>
      <c r="AI49" s="88">
        <f t="shared" si="49"/>
        <v>56</v>
      </c>
      <c r="AJ49" s="80" t="str">
        <f t="shared" si="80"/>
        <v>A-</v>
      </c>
      <c r="AK49" s="80" t="s">
        <v>13</v>
      </c>
      <c r="AL49" s="80" t="s">
        <v>62</v>
      </c>
      <c r="AM49" s="80" t="s">
        <v>63</v>
      </c>
      <c r="AN49" s="80" t="str">
        <f t="shared" si="81"/>
        <v>C</v>
      </c>
      <c r="AO49" s="80" t="str">
        <f t="shared" si="82"/>
        <v/>
      </c>
      <c r="AP49" s="80" t="str">
        <f t="shared" si="83"/>
        <v/>
      </c>
      <c r="AQ49" s="80" t="str">
        <f t="shared" si="84"/>
        <v>O</v>
      </c>
      <c r="AR49" s="80" t="str">
        <f t="shared" si="85"/>
        <v>O</v>
      </c>
      <c r="AS49" s="80" t="s">
        <v>2</v>
      </c>
      <c r="AT49" s="80" t="str">
        <f t="shared" si="86"/>
        <v>X</v>
      </c>
      <c r="AU49" s="80" t="str">
        <f t="shared" si="87"/>
        <v>O</v>
      </c>
      <c r="AV49" s="80" t="str">
        <f t="shared" si="88"/>
        <v/>
      </c>
    </row>
    <row r="50" spans="1:48" x14ac:dyDescent="0.3">
      <c r="A50" s="9" t="s">
        <v>496</v>
      </c>
      <c r="B50" s="10" t="s">
        <v>918</v>
      </c>
      <c r="C50" s="89">
        <v>1210</v>
      </c>
      <c r="D50" s="87">
        <v>205.1</v>
      </c>
      <c r="E50" s="88">
        <v>62</v>
      </c>
      <c r="F50" s="87">
        <v>149.6</v>
      </c>
      <c r="G50" s="17">
        <v>45</v>
      </c>
      <c r="H50" s="89">
        <v>7</v>
      </c>
      <c r="I50" s="90"/>
      <c r="J50" s="90"/>
      <c r="K50" s="90"/>
      <c r="L50" s="90"/>
      <c r="M50" s="91">
        <f t="shared" si="70"/>
        <v>0</v>
      </c>
      <c r="N50" s="4" t="str">
        <f t="shared" si="71"/>
        <v/>
      </c>
      <c r="O50" s="92">
        <f t="shared" si="72"/>
        <v>0</v>
      </c>
      <c r="P50" s="92">
        <f t="shared" si="73"/>
        <v>0</v>
      </c>
      <c r="Q50" s="80">
        <v>3</v>
      </c>
      <c r="R50" s="80">
        <v>3</v>
      </c>
      <c r="S50" s="80" t="s">
        <v>61</v>
      </c>
      <c r="T50" s="5">
        <v>205</v>
      </c>
      <c r="U50" s="9"/>
      <c r="W50" s="87">
        <f t="shared" si="74"/>
        <v>205.1</v>
      </c>
      <c r="X50" s="88">
        <f t="shared" si="74"/>
        <v>62</v>
      </c>
      <c r="Y50" s="93">
        <f t="shared" si="75"/>
        <v>7</v>
      </c>
      <c r="Z50" s="91">
        <f t="shared" si="75"/>
        <v>0</v>
      </c>
      <c r="AA50" s="91">
        <f t="shared" si="76"/>
        <v>0</v>
      </c>
      <c r="AB50" s="91">
        <f t="shared" si="77"/>
        <v>0</v>
      </c>
      <c r="AC50" s="4" t="str">
        <f t="shared" si="77"/>
        <v/>
      </c>
      <c r="AD50" s="92">
        <f t="shared" si="77"/>
        <v>0</v>
      </c>
      <c r="AE50" s="80" t="str">
        <f t="shared" si="78"/>
        <v>계</v>
      </c>
      <c r="AF50" s="80" t="str">
        <f t="shared" si="79"/>
        <v>3/3</v>
      </c>
      <c r="AH50" s="20" t="str">
        <f t="shared" si="60"/>
        <v>한신더휴센트럴파크</v>
      </c>
      <c r="AI50" s="88">
        <f t="shared" si="49"/>
        <v>62</v>
      </c>
      <c r="AJ50" s="80" t="str">
        <f t="shared" si="80"/>
        <v>A-</v>
      </c>
      <c r="AK50" s="80" t="s">
        <v>13</v>
      </c>
      <c r="AL50" s="80" t="s">
        <v>62</v>
      </c>
      <c r="AM50" s="80" t="s">
        <v>63</v>
      </c>
      <c r="AN50" s="80" t="str">
        <f t="shared" si="81"/>
        <v>C</v>
      </c>
      <c r="AO50" s="80" t="str">
        <f t="shared" si="82"/>
        <v/>
      </c>
      <c r="AP50" s="80" t="str">
        <f t="shared" si="83"/>
        <v/>
      </c>
      <c r="AQ50" s="80" t="str">
        <f t="shared" si="84"/>
        <v>O</v>
      </c>
      <c r="AR50" s="80" t="str">
        <f t="shared" si="85"/>
        <v>O</v>
      </c>
      <c r="AS50" s="80" t="s">
        <v>2</v>
      </c>
      <c r="AT50" s="80" t="str">
        <f t="shared" si="86"/>
        <v>X</v>
      </c>
      <c r="AU50" s="80" t="str">
        <f t="shared" si="87"/>
        <v>O</v>
      </c>
      <c r="AV50" s="80" t="str">
        <f t="shared" si="88"/>
        <v/>
      </c>
    </row>
    <row r="51" spans="1:48" x14ac:dyDescent="0.3">
      <c r="A51" s="9"/>
      <c r="B51" s="80"/>
      <c r="C51" s="6"/>
      <c r="D51" s="9"/>
      <c r="E51" s="14"/>
      <c r="F51" s="87"/>
      <c r="G51" s="9"/>
      <c r="H51" s="9"/>
      <c r="I51" s="9"/>
      <c r="J51" s="9"/>
      <c r="K51" s="9"/>
      <c r="L51" s="9"/>
      <c r="M51" s="9"/>
      <c r="N51" s="9"/>
      <c r="O51" s="92"/>
      <c r="P51" s="92"/>
      <c r="Q51" s="88"/>
      <c r="R51" s="88"/>
      <c r="S51" s="9"/>
      <c r="T51" s="47"/>
      <c r="U51" s="9"/>
      <c r="W51" s="68" t="str">
        <f>$A$4&amp;" "&amp;A52&amp;"("&amp;B52&amp;","&amp;C52&amp;"^)"</f>
        <v>오창읍 오창롯데캐슬더하이스트('18.08.,2500^)</v>
      </c>
      <c r="X51" s="69"/>
      <c r="Y51" s="69"/>
      <c r="Z51" s="69"/>
      <c r="AA51" s="69"/>
      <c r="AB51" s="69"/>
      <c r="AC51" s="69"/>
      <c r="AD51" s="69"/>
      <c r="AE51" s="69"/>
      <c r="AF51" s="70"/>
      <c r="AH51" s="20" t="str">
        <f t="shared" si="60"/>
        <v/>
      </c>
      <c r="AI51" s="112" t="str">
        <f t="shared" si="49"/>
        <v/>
      </c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</row>
    <row r="52" spans="1:48" x14ac:dyDescent="0.3">
      <c r="A52" s="9" t="s">
        <v>504</v>
      </c>
      <c r="B52" s="10" t="s">
        <v>908</v>
      </c>
      <c r="C52" s="89">
        <v>2500</v>
      </c>
      <c r="D52" s="87">
        <v>85.6</v>
      </c>
      <c r="E52" s="88">
        <v>26</v>
      </c>
      <c r="F52" s="87">
        <v>60</v>
      </c>
      <c r="G52" s="17">
        <v>18</v>
      </c>
      <c r="H52" s="89">
        <v>483</v>
      </c>
      <c r="I52" s="90">
        <v>37000</v>
      </c>
      <c r="J52" s="90" t="s">
        <v>59</v>
      </c>
      <c r="K52" s="90">
        <v>30000</v>
      </c>
      <c r="L52" s="90" t="s">
        <v>106</v>
      </c>
      <c r="M52" s="91">
        <f t="shared" ref="M52:M62" si="89">I52-K52</f>
        <v>7000</v>
      </c>
      <c r="N52" s="4">
        <f t="shared" ref="N52:N62" si="90">IF(ISERROR(K52/I52),"",K52/I52)</f>
        <v>0.81081081081081086</v>
      </c>
      <c r="O52" s="92">
        <f t="shared" ref="O52:O62" si="91">I52/E52</f>
        <v>1423.0769230769231</v>
      </c>
      <c r="P52" s="92">
        <f t="shared" ref="P52:P62" si="92">K52/E52</f>
        <v>1153.8461538461538</v>
      </c>
      <c r="Q52" s="80">
        <v>3</v>
      </c>
      <c r="R52" s="80">
        <v>2</v>
      </c>
      <c r="S52" s="80" t="s">
        <v>61</v>
      </c>
      <c r="T52" s="5" t="s">
        <v>110</v>
      </c>
      <c r="U52" s="9"/>
      <c r="W52" s="87">
        <f t="shared" ref="W52:W62" si="93">D52</f>
        <v>85.6</v>
      </c>
      <c r="X52" s="88">
        <f t="shared" ref="X52:X62" si="94">E52</f>
        <v>26</v>
      </c>
      <c r="Y52" s="93">
        <f t="shared" ref="Y52:Y62" si="95">H52</f>
        <v>483</v>
      </c>
      <c r="Z52" s="91">
        <f t="shared" ref="Z52:Z62" si="96">I52</f>
        <v>37000</v>
      </c>
      <c r="AA52" s="91">
        <f t="shared" ref="AA52:AA62" si="97">K52</f>
        <v>30000</v>
      </c>
      <c r="AB52" s="91">
        <f t="shared" ref="AB52:AB62" si="98">M52</f>
        <v>7000</v>
      </c>
      <c r="AC52" s="4">
        <f t="shared" ref="AC52:AC62" si="99">N52</f>
        <v>0.81081081081081086</v>
      </c>
      <c r="AD52" s="92">
        <f t="shared" ref="AD52:AD62" si="100">O52</f>
        <v>1423.0769230769231</v>
      </c>
      <c r="AE52" s="80" t="str">
        <f t="shared" ref="AE52:AE62" si="101">S52</f>
        <v>계</v>
      </c>
      <c r="AF52" s="80" t="str">
        <f t="shared" ref="AF52:AF62" si="102">Q52&amp;"/"&amp;R52</f>
        <v>3/2</v>
      </c>
      <c r="AH52" s="20" t="str">
        <f t="shared" si="60"/>
        <v>오창롯데캐슬더하이스트</v>
      </c>
      <c r="AI52" s="88">
        <f t="shared" si="49"/>
        <v>26</v>
      </c>
      <c r="AJ52" s="80" t="str">
        <f t="shared" ref="AJ52:AJ62" si="103">IF(AI52="","",$AJ$2)</f>
        <v>A-</v>
      </c>
      <c r="AK52" s="80" t="s">
        <v>13</v>
      </c>
      <c r="AL52" s="80" t="s">
        <v>62</v>
      </c>
      <c r="AM52" s="80" t="s">
        <v>63</v>
      </c>
      <c r="AN52" s="80" t="str">
        <f t="shared" ref="AN52:AN62" si="104">IF(AI52="","",$AN$2)</f>
        <v>C</v>
      </c>
      <c r="AO52" s="80" t="str">
        <f t="shared" ref="AO52:AO62" si="105">IF(N52="","",IF(N52&gt;=$AO$1/100,"O","X"))</f>
        <v>O</v>
      </c>
      <c r="AP52" s="80" t="str">
        <f t="shared" ref="AP52:AP62" si="106">IF(I52="","",IF(I52&lt;=$AP$1,"O","X"))</f>
        <v>O</v>
      </c>
      <c r="AQ52" s="80" t="str">
        <f t="shared" ref="AQ52:AQ62" si="107">IF(O52="","",IF(O52&lt;=$AQ$1,"O","X"))</f>
        <v>X</v>
      </c>
      <c r="AR52" s="80" t="str">
        <f t="shared" ref="AR52:AR62" si="108">IF(M52="","",IF(M52&lt;=$AR$1,"O","X"))</f>
        <v>X</v>
      </c>
      <c r="AS52" s="80" t="s">
        <v>2</v>
      </c>
      <c r="AT52" s="80" t="str">
        <f t="shared" ref="AT52:AT62" si="109">IF(OR(F52="",AI52=""),"",IF(AND((F52&lt;=85),(AI52&gt;=15)),"O","X"))</f>
        <v>O</v>
      </c>
      <c r="AU52" s="80" t="str">
        <f t="shared" ref="AU52:AU62" si="110">IF(C52="","",IF(C52&gt;=$AU$1,"O","X"))</f>
        <v>O</v>
      </c>
      <c r="AV52" s="80" t="str">
        <f t="shared" ref="AV52:AV62" si="111">IF(AO52="","",IF(AND(AO52="O",AP52="O",AR52="O",AT52="O",AU52="O"),"후보","X"))</f>
        <v>X</v>
      </c>
    </row>
    <row r="53" spans="1:48" x14ac:dyDescent="0.3">
      <c r="A53" s="9" t="s">
        <v>504</v>
      </c>
      <c r="B53" s="10" t="s">
        <v>908</v>
      </c>
      <c r="C53" s="89">
        <v>2500</v>
      </c>
      <c r="D53" s="87">
        <v>85.5</v>
      </c>
      <c r="E53" s="88">
        <v>26</v>
      </c>
      <c r="F53" s="87">
        <v>59.9</v>
      </c>
      <c r="G53" s="17">
        <v>18</v>
      </c>
      <c r="H53" s="89">
        <v>150</v>
      </c>
      <c r="I53" s="90">
        <v>38500</v>
      </c>
      <c r="J53" s="90" t="s">
        <v>80</v>
      </c>
      <c r="K53" s="90">
        <v>30000</v>
      </c>
      <c r="L53" s="90" t="s">
        <v>65</v>
      </c>
      <c r="M53" s="91">
        <f t="shared" si="89"/>
        <v>8500</v>
      </c>
      <c r="N53" s="4">
        <f t="shared" si="90"/>
        <v>0.77922077922077926</v>
      </c>
      <c r="O53" s="92">
        <f t="shared" si="91"/>
        <v>1480.7692307692307</v>
      </c>
      <c r="P53" s="92">
        <f t="shared" si="92"/>
        <v>1153.8461538461538</v>
      </c>
      <c r="Q53" s="80">
        <v>3</v>
      </c>
      <c r="R53" s="80">
        <v>2</v>
      </c>
      <c r="S53" s="80" t="s">
        <v>61</v>
      </c>
      <c r="T53" s="5" t="s">
        <v>508</v>
      </c>
      <c r="U53" s="9"/>
      <c r="W53" s="87">
        <f t="shared" si="93"/>
        <v>85.5</v>
      </c>
      <c r="X53" s="88">
        <f t="shared" si="94"/>
        <v>26</v>
      </c>
      <c r="Y53" s="93">
        <f t="shared" si="95"/>
        <v>150</v>
      </c>
      <c r="Z53" s="91">
        <f t="shared" si="96"/>
        <v>38500</v>
      </c>
      <c r="AA53" s="91">
        <f t="shared" si="97"/>
        <v>30000</v>
      </c>
      <c r="AB53" s="91">
        <f t="shared" si="98"/>
        <v>8500</v>
      </c>
      <c r="AC53" s="4">
        <f t="shared" si="99"/>
        <v>0.77922077922077926</v>
      </c>
      <c r="AD53" s="92">
        <f t="shared" si="100"/>
        <v>1480.7692307692307</v>
      </c>
      <c r="AE53" s="80" t="str">
        <f t="shared" si="101"/>
        <v>계</v>
      </c>
      <c r="AF53" s="80" t="str">
        <f t="shared" si="102"/>
        <v>3/2</v>
      </c>
      <c r="AH53" s="20" t="str">
        <f t="shared" si="60"/>
        <v>오창롯데캐슬더하이스트</v>
      </c>
      <c r="AI53" s="88">
        <f t="shared" si="49"/>
        <v>26</v>
      </c>
      <c r="AJ53" s="80" t="str">
        <f t="shared" si="103"/>
        <v>A-</v>
      </c>
      <c r="AK53" s="80" t="s">
        <v>13</v>
      </c>
      <c r="AL53" s="80" t="s">
        <v>62</v>
      </c>
      <c r="AM53" s="80" t="s">
        <v>63</v>
      </c>
      <c r="AN53" s="80" t="str">
        <f t="shared" si="104"/>
        <v>C</v>
      </c>
      <c r="AO53" s="80" t="str">
        <f t="shared" si="105"/>
        <v>X</v>
      </c>
      <c r="AP53" s="80" t="str">
        <f t="shared" si="106"/>
        <v>O</v>
      </c>
      <c r="AQ53" s="80" t="str">
        <f t="shared" si="107"/>
        <v>X</v>
      </c>
      <c r="AR53" s="80" t="str">
        <f t="shared" si="108"/>
        <v>X</v>
      </c>
      <c r="AS53" s="80" t="s">
        <v>2</v>
      </c>
      <c r="AT53" s="80" t="str">
        <f t="shared" si="109"/>
        <v>O</v>
      </c>
      <c r="AU53" s="80" t="str">
        <f t="shared" si="110"/>
        <v>O</v>
      </c>
      <c r="AV53" s="80" t="str">
        <f t="shared" si="111"/>
        <v>X</v>
      </c>
    </row>
    <row r="54" spans="1:48" x14ac:dyDescent="0.3">
      <c r="A54" s="9" t="s">
        <v>504</v>
      </c>
      <c r="B54" s="10" t="s">
        <v>908</v>
      </c>
      <c r="C54" s="89">
        <v>2500</v>
      </c>
      <c r="D54" s="87">
        <v>100.7</v>
      </c>
      <c r="E54" s="88">
        <v>30</v>
      </c>
      <c r="F54" s="87">
        <v>71</v>
      </c>
      <c r="G54" s="17">
        <v>21</v>
      </c>
      <c r="H54" s="89">
        <v>226</v>
      </c>
      <c r="I54" s="90">
        <v>42500</v>
      </c>
      <c r="J54" s="90" t="s">
        <v>68</v>
      </c>
      <c r="K54" s="90">
        <v>33000</v>
      </c>
      <c r="L54" s="90" t="s">
        <v>919</v>
      </c>
      <c r="M54" s="91">
        <f t="shared" si="89"/>
        <v>9500</v>
      </c>
      <c r="N54" s="4">
        <f t="shared" si="90"/>
        <v>0.77647058823529413</v>
      </c>
      <c r="O54" s="92">
        <f t="shared" si="91"/>
        <v>1416.6666666666667</v>
      </c>
      <c r="P54" s="92">
        <f t="shared" si="92"/>
        <v>1100</v>
      </c>
      <c r="Q54" s="80">
        <v>3</v>
      </c>
      <c r="R54" s="80">
        <v>2</v>
      </c>
      <c r="S54" s="80" t="s">
        <v>61</v>
      </c>
      <c r="T54" s="5" t="s">
        <v>108</v>
      </c>
      <c r="U54" s="9"/>
      <c r="W54" s="87">
        <f t="shared" si="93"/>
        <v>100.7</v>
      </c>
      <c r="X54" s="88">
        <f t="shared" si="94"/>
        <v>30</v>
      </c>
      <c r="Y54" s="93">
        <f t="shared" si="95"/>
        <v>226</v>
      </c>
      <c r="Z54" s="91">
        <f t="shared" si="96"/>
        <v>42500</v>
      </c>
      <c r="AA54" s="91">
        <f t="shared" si="97"/>
        <v>33000</v>
      </c>
      <c r="AB54" s="91">
        <f t="shared" si="98"/>
        <v>9500</v>
      </c>
      <c r="AC54" s="4">
        <f t="shared" si="99"/>
        <v>0.77647058823529413</v>
      </c>
      <c r="AD54" s="92">
        <f t="shared" si="100"/>
        <v>1416.6666666666667</v>
      </c>
      <c r="AE54" s="80" t="str">
        <f t="shared" si="101"/>
        <v>계</v>
      </c>
      <c r="AF54" s="80" t="str">
        <f t="shared" si="102"/>
        <v>3/2</v>
      </c>
      <c r="AH54" s="20" t="str">
        <f t="shared" si="60"/>
        <v>오창롯데캐슬더하이스트</v>
      </c>
      <c r="AI54" s="88">
        <f t="shared" si="49"/>
        <v>30</v>
      </c>
      <c r="AJ54" s="80" t="str">
        <f t="shared" si="103"/>
        <v>A-</v>
      </c>
      <c r="AK54" s="80" t="s">
        <v>13</v>
      </c>
      <c r="AL54" s="80" t="s">
        <v>62</v>
      </c>
      <c r="AM54" s="80" t="s">
        <v>63</v>
      </c>
      <c r="AN54" s="80" t="str">
        <f t="shared" si="104"/>
        <v>C</v>
      </c>
      <c r="AO54" s="80" t="str">
        <f t="shared" si="105"/>
        <v>X</v>
      </c>
      <c r="AP54" s="80" t="str">
        <f t="shared" si="106"/>
        <v>O</v>
      </c>
      <c r="AQ54" s="80" t="str">
        <f t="shared" si="107"/>
        <v>X</v>
      </c>
      <c r="AR54" s="80" t="str">
        <f t="shared" si="108"/>
        <v>X</v>
      </c>
      <c r="AS54" s="80" t="s">
        <v>2</v>
      </c>
      <c r="AT54" s="80" t="str">
        <f t="shared" si="109"/>
        <v>O</v>
      </c>
      <c r="AU54" s="80" t="str">
        <f t="shared" si="110"/>
        <v>O</v>
      </c>
      <c r="AV54" s="80" t="str">
        <f t="shared" si="111"/>
        <v>X</v>
      </c>
    </row>
    <row r="55" spans="1:48" x14ac:dyDescent="0.3">
      <c r="A55" s="9" t="s">
        <v>504</v>
      </c>
      <c r="B55" s="10" t="s">
        <v>908</v>
      </c>
      <c r="C55" s="89">
        <v>2500</v>
      </c>
      <c r="D55" s="87">
        <v>101.7</v>
      </c>
      <c r="E55" s="88">
        <v>31</v>
      </c>
      <c r="F55" s="87">
        <v>71</v>
      </c>
      <c r="G55" s="17">
        <v>21</v>
      </c>
      <c r="H55" s="89">
        <v>221</v>
      </c>
      <c r="I55" s="90">
        <v>43000</v>
      </c>
      <c r="J55" s="90" t="s">
        <v>65</v>
      </c>
      <c r="K55" s="90">
        <v>32000</v>
      </c>
      <c r="L55" s="90" t="s">
        <v>920</v>
      </c>
      <c r="M55" s="91">
        <f t="shared" si="89"/>
        <v>11000</v>
      </c>
      <c r="N55" s="4">
        <f t="shared" si="90"/>
        <v>0.7441860465116279</v>
      </c>
      <c r="O55" s="92">
        <f t="shared" si="91"/>
        <v>1387.0967741935483</v>
      </c>
      <c r="P55" s="92">
        <f t="shared" si="92"/>
        <v>1032.258064516129</v>
      </c>
      <c r="Q55" s="80">
        <v>3</v>
      </c>
      <c r="R55" s="80">
        <v>2</v>
      </c>
      <c r="S55" s="80" t="s">
        <v>61</v>
      </c>
      <c r="T55" s="5" t="s">
        <v>509</v>
      </c>
      <c r="U55" s="9"/>
      <c r="W55" s="87">
        <f t="shared" si="93"/>
        <v>101.7</v>
      </c>
      <c r="X55" s="88">
        <f t="shared" si="94"/>
        <v>31</v>
      </c>
      <c r="Y55" s="93">
        <f t="shared" si="95"/>
        <v>221</v>
      </c>
      <c r="Z55" s="91">
        <f t="shared" si="96"/>
        <v>43000</v>
      </c>
      <c r="AA55" s="91">
        <f t="shared" si="97"/>
        <v>32000</v>
      </c>
      <c r="AB55" s="91">
        <f t="shared" si="98"/>
        <v>11000</v>
      </c>
      <c r="AC55" s="4">
        <f t="shared" si="99"/>
        <v>0.7441860465116279</v>
      </c>
      <c r="AD55" s="92">
        <f t="shared" si="100"/>
        <v>1387.0967741935483</v>
      </c>
      <c r="AE55" s="80" t="str">
        <f t="shared" si="101"/>
        <v>계</v>
      </c>
      <c r="AF55" s="80" t="str">
        <f t="shared" si="102"/>
        <v>3/2</v>
      </c>
      <c r="AH55" s="20" t="str">
        <f t="shared" si="60"/>
        <v>오창롯데캐슬더하이스트</v>
      </c>
      <c r="AI55" s="88">
        <f t="shared" si="49"/>
        <v>31</v>
      </c>
      <c r="AJ55" s="80" t="str">
        <f t="shared" si="103"/>
        <v>A-</v>
      </c>
      <c r="AK55" s="80" t="s">
        <v>13</v>
      </c>
      <c r="AL55" s="80" t="s">
        <v>62</v>
      </c>
      <c r="AM55" s="80" t="s">
        <v>63</v>
      </c>
      <c r="AN55" s="80" t="str">
        <f t="shared" si="104"/>
        <v>C</v>
      </c>
      <c r="AO55" s="80" t="str">
        <f t="shared" si="105"/>
        <v>X</v>
      </c>
      <c r="AP55" s="80" t="str">
        <f t="shared" si="106"/>
        <v>O</v>
      </c>
      <c r="AQ55" s="80" t="str">
        <f t="shared" si="107"/>
        <v>X</v>
      </c>
      <c r="AR55" s="80" t="str">
        <f t="shared" si="108"/>
        <v>X</v>
      </c>
      <c r="AS55" s="80" t="s">
        <v>2</v>
      </c>
      <c r="AT55" s="80" t="str">
        <f t="shared" si="109"/>
        <v>O</v>
      </c>
      <c r="AU55" s="80" t="str">
        <f t="shared" si="110"/>
        <v>O</v>
      </c>
      <c r="AV55" s="80" t="str">
        <f t="shared" si="111"/>
        <v>X</v>
      </c>
    </row>
    <row r="56" spans="1:48" x14ac:dyDescent="0.3">
      <c r="A56" s="9" t="s">
        <v>504</v>
      </c>
      <c r="B56" s="10" t="s">
        <v>908</v>
      </c>
      <c r="C56" s="89">
        <v>2500</v>
      </c>
      <c r="D56" s="87">
        <v>119.9</v>
      </c>
      <c r="E56" s="88">
        <v>36</v>
      </c>
      <c r="F56" s="87">
        <v>85</v>
      </c>
      <c r="G56" s="17">
        <v>26</v>
      </c>
      <c r="H56" s="89">
        <v>75</v>
      </c>
      <c r="I56" s="90"/>
      <c r="J56" s="90"/>
      <c r="K56" s="90"/>
      <c r="L56" s="90"/>
      <c r="M56" s="91">
        <f t="shared" si="89"/>
        <v>0</v>
      </c>
      <c r="N56" s="4" t="str">
        <f t="shared" si="90"/>
        <v/>
      </c>
      <c r="O56" s="92">
        <f t="shared" si="91"/>
        <v>0</v>
      </c>
      <c r="P56" s="92">
        <f t="shared" si="92"/>
        <v>0</v>
      </c>
      <c r="Q56" s="80">
        <v>3</v>
      </c>
      <c r="R56" s="80">
        <v>2</v>
      </c>
      <c r="S56" s="80" t="s">
        <v>61</v>
      </c>
      <c r="T56" s="5" t="s">
        <v>510</v>
      </c>
      <c r="U56" s="9"/>
      <c r="W56" s="87">
        <f t="shared" si="93"/>
        <v>119.9</v>
      </c>
      <c r="X56" s="88">
        <f t="shared" si="94"/>
        <v>36</v>
      </c>
      <c r="Y56" s="93">
        <f t="shared" si="95"/>
        <v>75</v>
      </c>
      <c r="Z56" s="91">
        <f t="shared" si="96"/>
        <v>0</v>
      </c>
      <c r="AA56" s="91">
        <f t="shared" si="97"/>
        <v>0</v>
      </c>
      <c r="AB56" s="91">
        <f t="shared" si="98"/>
        <v>0</v>
      </c>
      <c r="AC56" s="4" t="str">
        <f t="shared" si="99"/>
        <v/>
      </c>
      <c r="AD56" s="92">
        <f t="shared" si="100"/>
        <v>0</v>
      </c>
      <c r="AE56" s="80" t="str">
        <f t="shared" si="101"/>
        <v>계</v>
      </c>
      <c r="AF56" s="80" t="str">
        <f t="shared" si="102"/>
        <v>3/2</v>
      </c>
      <c r="AH56" s="20" t="str">
        <f t="shared" si="60"/>
        <v>오창롯데캐슬더하이스트</v>
      </c>
      <c r="AI56" s="88">
        <f t="shared" si="49"/>
        <v>36</v>
      </c>
      <c r="AJ56" s="80" t="str">
        <f t="shared" si="103"/>
        <v>A-</v>
      </c>
      <c r="AK56" s="80" t="s">
        <v>13</v>
      </c>
      <c r="AL56" s="80" t="s">
        <v>62</v>
      </c>
      <c r="AM56" s="80" t="s">
        <v>63</v>
      </c>
      <c r="AN56" s="80" t="str">
        <f t="shared" si="104"/>
        <v>C</v>
      </c>
      <c r="AO56" s="80" t="str">
        <f t="shared" si="105"/>
        <v/>
      </c>
      <c r="AP56" s="80" t="str">
        <f t="shared" si="106"/>
        <v/>
      </c>
      <c r="AQ56" s="80" t="str">
        <f t="shared" si="107"/>
        <v>O</v>
      </c>
      <c r="AR56" s="80" t="str">
        <f t="shared" si="108"/>
        <v>O</v>
      </c>
      <c r="AS56" s="80" t="s">
        <v>2</v>
      </c>
      <c r="AT56" s="80" t="str">
        <f t="shared" si="109"/>
        <v>O</v>
      </c>
      <c r="AU56" s="80" t="str">
        <f t="shared" si="110"/>
        <v>O</v>
      </c>
      <c r="AV56" s="80" t="str">
        <f t="shared" si="111"/>
        <v/>
      </c>
    </row>
    <row r="57" spans="1:48" x14ac:dyDescent="0.3">
      <c r="A57" s="9" t="s">
        <v>504</v>
      </c>
      <c r="B57" s="10" t="s">
        <v>908</v>
      </c>
      <c r="C57" s="89">
        <v>2500</v>
      </c>
      <c r="D57" s="87">
        <v>120</v>
      </c>
      <c r="E57" s="88">
        <v>36</v>
      </c>
      <c r="F57" s="87">
        <v>85</v>
      </c>
      <c r="G57" s="17">
        <v>26</v>
      </c>
      <c r="H57" s="89">
        <v>438</v>
      </c>
      <c r="I57" s="90">
        <v>49000</v>
      </c>
      <c r="J57" s="90" t="s">
        <v>102</v>
      </c>
      <c r="K57" s="90">
        <v>35000</v>
      </c>
      <c r="L57" s="90" t="s">
        <v>101</v>
      </c>
      <c r="M57" s="91">
        <f t="shared" si="89"/>
        <v>14000</v>
      </c>
      <c r="N57" s="4">
        <f t="shared" si="90"/>
        <v>0.7142857142857143</v>
      </c>
      <c r="O57" s="92">
        <f t="shared" si="91"/>
        <v>1361.1111111111111</v>
      </c>
      <c r="P57" s="92">
        <f t="shared" si="92"/>
        <v>972.22222222222217</v>
      </c>
      <c r="Q57" s="80">
        <v>3</v>
      </c>
      <c r="R57" s="80">
        <v>2</v>
      </c>
      <c r="S57" s="80" t="s">
        <v>61</v>
      </c>
      <c r="T57" s="5" t="s">
        <v>103</v>
      </c>
      <c r="U57" s="9"/>
      <c r="W57" s="87">
        <f t="shared" si="93"/>
        <v>120</v>
      </c>
      <c r="X57" s="88">
        <f t="shared" si="94"/>
        <v>36</v>
      </c>
      <c r="Y57" s="93">
        <f t="shared" si="95"/>
        <v>438</v>
      </c>
      <c r="Z57" s="91">
        <f t="shared" si="96"/>
        <v>49000</v>
      </c>
      <c r="AA57" s="91">
        <f t="shared" si="97"/>
        <v>35000</v>
      </c>
      <c r="AB57" s="91">
        <f t="shared" si="98"/>
        <v>14000</v>
      </c>
      <c r="AC57" s="4">
        <f t="shared" si="99"/>
        <v>0.7142857142857143</v>
      </c>
      <c r="AD57" s="92">
        <f t="shared" si="100"/>
        <v>1361.1111111111111</v>
      </c>
      <c r="AE57" s="80" t="str">
        <f t="shared" si="101"/>
        <v>계</v>
      </c>
      <c r="AF57" s="80" t="str">
        <f t="shared" si="102"/>
        <v>3/2</v>
      </c>
      <c r="AH57" s="20" t="str">
        <f t="shared" si="60"/>
        <v>오창롯데캐슬더하이스트</v>
      </c>
      <c r="AI57" s="88">
        <f t="shared" si="49"/>
        <v>36</v>
      </c>
      <c r="AJ57" s="80" t="str">
        <f t="shared" si="103"/>
        <v>A-</v>
      </c>
      <c r="AK57" s="80" t="s">
        <v>13</v>
      </c>
      <c r="AL57" s="80" t="s">
        <v>62</v>
      </c>
      <c r="AM57" s="80" t="s">
        <v>63</v>
      </c>
      <c r="AN57" s="80" t="str">
        <f t="shared" si="104"/>
        <v>C</v>
      </c>
      <c r="AO57" s="80" t="str">
        <f t="shared" si="105"/>
        <v>X</v>
      </c>
      <c r="AP57" s="80" t="str">
        <f t="shared" si="106"/>
        <v>X</v>
      </c>
      <c r="AQ57" s="80" t="str">
        <f t="shared" si="107"/>
        <v>X</v>
      </c>
      <c r="AR57" s="80" t="str">
        <f t="shared" si="108"/>
        <v>X</v>
      </c>
      <c r="AS57" s="80" t="s">
        <v>2</v>
      </c>
      <c r="AT57" s="80" t="str">
        <f t="shared" si="109"/>
        <v>O</v>
      </c>
      <c r="AU57" s="80" t="str">
        <f t="shared" si="110"/>
        <v>O</v>
      </c>
      <c r="AV57" s="80" t="str">
        <f t="shared" si="111"/>
        <v>X</v>
      </c>
    </row>
    <row r="58" spans="1:48" x14ac:dyDescent="0.3">
      <c r="A58" s="9" t="s">
        <v>504</v>
      </c>
      <c r="B58" s="10" t="s">
        <v>908</v>
      </c>
      <c r="C58" s="89">
        <v>2500</v>
      </c>
      <c r="D58" s="87">
        <v>121</v>
      </c>
      <c r="E58" s="88">
        <v>37</v>
      </c>
      <c r="F58" s="87">
        <v>85</v>
      </c>
      <c r="G58" s="17">
        <v>26</v>
      </c>
      <c r="H58" s="89">
        <v>379</v>
      </c>
      <c r="I58" s="90">
        <v>48800</v>
      </c>
      <c r="J58" s="90" t="s">
        <v>921</v>
      </c>
      <c r="K58" s="90">
        <v>38000</v>
      </c>
      <c r="L58" s="90" t="s">
        <v>919</v>
      </c>
      <c r="M58" s="91">
        <f t="shared" si="89"/>
        <v>10800</v>
      </c>
      <c r="N58" s="4">
        <f t="shared" si="90"/>
        <v>0.77868852459016391</v>
      </c>
      <c r="O58" s="92">
        <f t="shared" si="91"/>
        <v>1318.918918918919</v>
      </c>
      <c r="P58" s="92">
        <f t="shared" si="92"/>
        <v>1027.0270270270271</v>
      </c>
      <c r="Q58" s="80">
        <v>3</v>
      </c>
      <c r="R58" s="80">
        <v>2</v>
      </c>
      <c r="S58" s="80" t="s">
        <v>61</v>
      </c>
      <c r="T58" s="5" t="s">
        <v>511</v>
      </c>
      <c r="U58" s="9"/>
      <c r="W58" s="87">
        <f t="shared" si="93"/>
        <v>121</v>
      </c>
      <c r="X58" s="88">
        <f t="shared" si="94"/>
        <v>37</v>
      </c>
      <c r="Y58" s="93">
        <f t="shared" si="95"/>
        <v>379</v>
      </c>
      <c r="Z58" s="91">
        <f t="shared" si="96"/>
        <v>48800</v>
      </c>
      <c r="AA58" s="91">
        <f t="shared" si="97"/>
        <v>38000</v>
      </c>
      <c r="AB58" s="91">
        <f t="shared" si="98"/>
        <v>10800</v>
      </c>
      <c r="AC58" s="4">
        <f t="shared" si="99"/>
        <v>0.77868852459016391</v>
      </c>
      <c r="AD58" s="92">
        <f t="shared" si="100"/>
        <v>1318.918918918919</v>
      </c>
      <c r="AE58" s="80" t="str">
        <f t="shared" si="101"/>
        <v>계</v>
      </c>
      <c r="AF58" s="80" t="str">
        <f t="shared" si="102"/>
        <v>3/2</v>
      </c>
      <c r="AH58" s="20" t="str">
        <f t="shared" si="60"/>
        <v>오창롯데캐슬더하이스트</v>
      </c>
      <c r="AI58" s="88">
        <f t="shared" si="49"/>
        <v>37</v>
      </c>
      <c r="AJ58" s="80" t="str">
        <f t="shared" si="103"/>
        <v>A-</v>
      </c>
      <c r="AK58" s="80" t="s">
        <v>13</v>
      </c>
      <c r="AL58" s="80" t="s">
        <v>62</v>
      </c>
      <c r="AM58" s="80" t="s">
        <v>63</v>
      </c>
      <c r="AN58" s="80" t="str">
        <f t="shared" si="104"/>
        <v>C</v>
      </c>
      <c r="AO58" s="80" t="str">
        <f t="shared" si="105"/>
        <v>X</v>
      </c>
      <c r="AP58" s="80" t="str">
        <f t="shared" si="106"/>
        <v>X</v>
      </c>
      <c r="AQ58" s="80" t="str">
        <f t="shared" si="107"/>
        <v>X</v>
      </c>
      <c r="AR58" s="80" t="str">
        <f t="shared" si="108"/>
        <v>X</v>
      </c>
      <c r="AS58" s="80" t="s">
        <v>2</v>
      </c>
      <c r="AT58" s="80" t="str">
        <f t="shared" si="109"/>
        <v>O</v>
      </c>
      <c r="AU58" s="80" t="str">
        <f t="shared" si="110"/>
        <v>O</v>
      </c>
      <c r="AV58" s="80" t="str">
        <f t="shared" si="111"/>
        <v>X</v>
      </c>
    </row>
    <row r="59" spans="1:48" x14ac:dyDescent="0.3">
      <c r="A59" s="9" t="s">
        <v>504</v>
      </c>
      <c r="B59" s="10" t="s">
        <v>908</v>
      </c>
      <c r="C59" s="89">
        <v>2500</v>
      </c>
      <c r="D59" s="87">
        <v>120.1</v>
      </c>
      <c r="E59" s="88">
        <v>36</v>
      </c>
      <c r="F59" s="87">
        <v>84.9</v>
      </c>
      <c r="G59" s="17">
        <v>26</v>
      </c>
      <c r="H59" s="89">
        <v>301</v>
      </c>
      <c r="I59" s="90"/>
      <c r="J59" s="90"/>
      <c r="K59" s="90"/>
      <c r="L59" s="90"/>
      <c r="M59" s="91">
        <f t="shared" si="89"/>
        <v>0</v>
      </c>
      <c r="N59" s="4" t="str">
        <f t="shared" si="90"/>
        <v/>
      </c>
      <c r="O59" s="92">
        <f t="shared" si="91"/>
        <v>0</v>
      </c>
      <c r="P59" s="92">
        <f t="shared" si="92"/>
        <v>0</v>
      </c>
      <c r="Q59" s="80">
        <v>3</v>
      </c>
      <c r="R59" s="80">
        <v>2</v>
      </c>
      <c r="S59" s="80" t="s">
        <v>61</v>
      </c>
      <c r="T59" s="5" t="s">
        <v>512</v>
      </c>
      <c r="U59" s="9"/>
      <c r="W59" s="87">
        <f t="shared" si="93"/>
        <v>120.1</v>
      </c>
      <c r="X59" s="88">
        <f t="shared" si="94"/>
        <v>36</v>
      </c>
      <c r="Y59" s="93">
        <f t="shared" si="95"/>
        <v>301</v>
      </c>
      <c r="Z59" s="91">
        <f t="shared" si="96"/>
        <v>0</v>
      </c>
      <c r="AA59" s="91">
        <f t="shared" si="97"/>
        <v>0</v>
      </c>
      <c r="AB59" s="91">
        <f t="shared" si="98"/>
        <v>0</v>
      </c>
      <c r="AC59" s="4" t="str">
        <f t="shared" si="99"/>
        <v/>
      </c>
      <c r="AD59" s="92">
        <f t="shared" si="100"/>
        <v>0</v>
      </c>
      <c r="AE59" s="80" t="str">
        <f t="shared" si="101"/>
        <v>계</v>
      </c>
      <c r="AF59" s="80" t="str">
        <f t="shared" si="102"/>
        <v>3/2</v>
      </c>
      <c r="AH59" s="20" t="str">
        <f t="shared" si="60"/>
        <v>오창롯데캐슬더하이스트</v>
      </c>
      <c r="AI59" s="88">
        <f t="shared" si="49"/>
        <v>36</v>
      </c>
      <c r="AJ59" s="80" t="str">
        <f t="shared" si="103"/>
        <v>A-</v>
      </c>
      <c r="AK59" s="80" t="s">
        <v>13</v>
      </c>
      <c r="AL59" s="80" t="s">
        <v>62</v>
      </c>
      <c r="AM59" s="80" t="s">
        <v>63</v>
      </c>
      <c r="AN59" s="80" t="str">
        <f t="shared" si="104"/>
        <v>C</v>
      </c>
      <c r="AO59" s="80" t="str">
        <f t="shared" si="105"/>
        <v/>
      </c>
      <c r="AP59" s="80" t="str">
        <f t="shared" si="106"/>
        <v/>
      </c>
      <c r="AQ59" s="80" t="str">
        <f t="shared" si="107"/>
        <v>O</v>
      </c>
      <c r="AR59" s="80" t="str">
        <f t="shared" si="108"/>
        <v>O</v>
      </c>
      <c r="AS59" s="80" t="s">
        <v>2</v>
      </c>
      <c r="AT59" s="80" t="str">
        <f t="shared" si="109"/>
        <v>O</v>
      </c>
      <c r="AU59" s="80" t="str">
        <f t="shared" si="110"/>
        <v>O</v>
      </c>
      <c r="AV59" s="80" t="str">
        <f t="shared" si="111"/>
        <v/>
      </c>
    </row>
    <row r="60" spans="1:48" x14ac:dyDescent="0.3">
      <c r="A60" s="9" t="s">
        <v>504</v>
      </c>
      <c r="B60" s="10" t="s">
        <v>908</v>
      </c>
      <c r="C60" s="89">
        <v>2500</v>
      </c>
      <c r="D60" s="87">
        <v>120.4</v>
      </c>
      <c r="E60" s="88">
        <v>36</v>
      </c>
      <c r="F60" s="87">
        <v>84.9</v>
      </c>
      <c r="G60" s="17">
        <v>26</v>
      </c>
      <c r="H60" s="89">
        <v>77</v>
      </c>
      <c r="I60" s="90">
        <v>47000</v>
      </c>
      <c r="J60" s="90" t="s">
        <v>66</v>
      </c>
      <c r="K60" s="90"/>
      <c r="L60" s="90"/>
      <c r="M60" s="91">
        <f t="shared" si="89"/>
        <v>47000</v>
      </c>
      <c r="N60" s="4">
        <f t="shared" si="90"/>
        <v>0</v>
      </c>
      <c r="O60" s="92">
        <f t="shared" si="91"/>
        <v>1305.5555555555557</v>
      </c>
      <c r="P60" s="92">
        <f t="shared" si="92"/>
        <v>0</v>
      </c>
      <c r="Q60" s="80">
        <v>3</v>
      </c>
      <c r="R60" s="80">
        <v>2</v>
      </c>
      <c r="S60" s="80" t="s">
        <v>61</v>
      </c>
      <c r="T60" s="5" t="s">
        <v>513</v>
      </c>
      <c r="U60" s="9"/>
      <c r="W60" s="87">
        <f t="shared" si="93"/>
        <v>120.4</v>
      </c>
      <c r="X60" s="88">
        <f t="shared" si="94"/>
        <v>36</v>
      </c>
      <c r="Y60" s="93">
        <f t="shared" si="95"/>
        <v>77</v>
      </c>
      <c r="Z60" s="91">
        <f t="shared" si="96"/>
        <v>47000</v>
      </c>
      <c r="AA60" s="91">
        <f t="shared" si="97"/>
        <v>0</v>
      </c>
      <c r="AB60" s="91">
        <f t="shared" si="98"/>
        <v>47000</v>
      </c>
      <c r="AC60" s="4">
        <f t="shared" si="99"/>
        <v>0</v>
      </c>
      <c r="AD60" s="92">
        <f t="shared" si="100"/>
        <v>1305.5555555555557</v>
      </c>
      <c r="AE60" s="80" t="str">
        <f t="shared" si="101"/>
        <v>계</v>
      </c>
      <c r="AF60" s="80" t="str">
        <f t="shared" si="102"/>
        <v>3/2</v>
      </c>
      <c r="AH60" s="20" t="str">
        <f t="shared" si="60"/>
        <v>오창롯데캐슬더하이스트</v>
      </c>
      <c r="AI60" s="88">
        <f t="shared" si="49"/>
        <v>36</v>
      </c>
      <c r="AJ60" s="80" t="str">
        <f t="shared" si="103"/>
        <v>A-</v>
      </c>
      <c r="AK60" s="80" t="s">
        <v>13</v>
      </c>
      <c r="AL60" s="80" t="s">
        <v>62</v>
      </c>
      <c r="AM60" s="80" t="s">
        <v>63</v>
      </c>
      <c r="AN60" s="80" t="str">
        <f t="shared" si="104"/>
        <v>C</v>
      </c>
      <c r="AO60" s="80" t="str">
        <f t="shared" si="105"/>
        <v>X</v>
      </c>
      <c r="AP60" s="80" t="str">
        <f t="shared" si="106"/>
        <v>X</v>
      </c>
      <c r="AQ60" s="80" t="str">
        <f t="shared" si="107"/>
        <v>X</v>
      </c>
      <c r="AR60" s="80" t="str">
        <f t="shared" si="108"/>
        <v>X</v>
      </c>
      <c r="AS60" s="80" t="s">
        <v>2</v>
      </c>
      <c r="AT60" s="80" t="str">
        <f t="shared" si="109"/>
        <v>O</v>
      </c>
      <c r="AU60" s="80" t="str">
        <f t="shared" si="110"/>
        <v>O</v>
      </c>
      <c r="AV60" s="80" t="str">
        <f t="shared" si="111"/>
        <v>X</v>
      </c>
    </row>
    <row r="61" spans="1:48" x14ac:dyDescent="0.3">
      <c r="A61" s="9" t="s">
        <v>504</v>
      </c>
      <c r="B61" s="10" t="s">
        <v>908</v>
      </c>
      <c r="C61" s="89">
        <v>2500</v>
      </c>
      <c r="D61" s="87">
        <v>120.6</v>
      </c>
      <c r="E61" s="88">
        <v>36</v>
      </c>
      <c r="F61" s="87">
        <v>85</v>
      </c>
      <c r="G61" s="17">
        <v>26</v>
      </c>
      <c r="H61" s="89">
        <v>75</v>
      </c>
      <c r="I61" s="90">
        <v>49500</v>
      </c>
      <c r="J61" s="90" t="s">
        <v>70</v>
      </c>
      <c r="K61" s="90"/>
      <c r="L61" s="90"/>
      <c r="M61" s="91">
        <f t="shared" si="89"/>
        <v>49500</v>
      </c>
      <c r="N61" s="4">
        <f t="shared" si="90"/>
        <v>0</v>
      </c>
      <c r="O61" s="92">
        <f t="shared" si="91"/>
        <v>1375</v>
      </c>
      <c r="P61" s="92">
        <f t="shared" si="92"/>
        <v>0</v>
      </c>
      <c r="Q61" s="80">
        <v>3</v>
      </c>
      <c r="R61" s="80">
        <v>2</v>
      </c>
      <c r="S61" s="80" t="s">
        <v>61</v>
      </c>
      <c r="T61" s="5" t="s">
        <v>514</v>
      </c>
      <c r="U61" s="9"/>
      <c r="W61" s="87">
        <f t="shared" si="93"/>
        <v>120.6</v>
      </c>
      <c r="X61" s="88">
        <f t="shared" si="94"/>
        <v>36</v>
      </c>
      <c r="Y61" s="93">
        <f t="shared" si="95"/>
        <v>75</v>
      </c>
      <c r="Z61" s="91">
        <f t="shared" si="96"/>
        <v>49500</v>
      </c>
      <c r="AA61" s="91">
        <f t="shared" si="97"/>
        <v>0</v>
      </c>
      <c r="AB61" s="91">
        <f t="shared" si="98"/>
        <v>49500</v>
      </c>
      <c r="AC61" s="4">
        <f t="shared" si="99"/>
        <v>0</v>
      </c>
      <c r="AD61" s="92">
        <f t="shared" si="100"/>
        <v>1375</v>
      </c>
      <c r="AE61" s="80" t="str">
        <f t="shared" si="101"/>
        <v>계</v>
      </c>
      <c r="AF61" s="80" t="str">
        <f t="shared" si="102"/>
        <v>3/2</v>
      </c>
      <c r="AH61" s="20" t="str">
        <f t="shared" si="60"/>
        <v>오창롯데캐슬더하이스트</v>
      </c>
      <c r="AI61" s="88">
        <f t="shared" si="49"/>
        <v>36</v>
      </c>
      <c r="AJ61" s="80" t="str">
        <f t="shared" si="103"/>
        <v>A-</v>
      </c>
      <c r="AK61" s="80" t="s">
        <v>13</v>
      </c>
      <c r="AL61" s="80" t="s">
        <v>62</v>
      </c>
      <c r="AM61" s="80" t="s">
        <v>63</v>
      </c>
      <c r="AN61" s="80" t="str">
        <f t="shared" si="104"/>
        <v>C</v>
      </c>
      <c r="AO61" s="80" t="str">
        <f t="shared" si="105"/>
        <v>X</v>
      </c>
      <c r="AP61" s="80" t="str">
        <f t="shared" si="106"/>
        <v>X</v>
      </c>
      <c r="AQ61" s="80" t="str">
        <f t="shared" si="107"/>
        <v>X</v>
      </c>
      <c r="AR61" s="80" t="str">
        <f t="shared" si="108"/>
        <v>X</v>
      </c>
      <c r="AS61" s="80" t="s">
        <v>2</v>
      </c>
      <c r="AT61" s="80" t="str">
        <f t="shared" si="109"/>
        <v>O</v>
      </c>
      <c r="AU61" s="80" t="str">
        <f t="shared" si="110"/>
        <v>O</v>
      </c>
      <c r="AV61" s="80" t="str">
        <f t="shared" si="111"/>
        <v>X</v>
      </c>
    </row>
    <row r="62" spans="1:48" x14ac:dyDescent="0.3">
      <c r="A62" s="9" t="s">
        <v>504</v>
      </c>
      <c r="B62" s="10" t="s">
        <v>908</v>
      </c>
      <c r="C62" s="89">
        <v>2500</v>
      </c>
      <c r="D62" s="87">
        <v>152.6</v>
      </c>
      <c r="E62" s="88">
        <v>46</v>
      </c>
      <c r="F62" s="87">
        <v>109.4</v>
      </c>
      <c r="G62" s="17">
        <v>33</v>
      </c>
      <c r="H62" s="89">
        <v>75</v>
      </c>
      <c r="I62" s="90"/>
      <c r="J62" s="90"/>
      <c r="K62" s="90"/>
      <c r="L62" s="90"/>
      <c r="M62" s="91">
        <f t="shared" si="89"/>
        <v>0</v>
      </c>
      <c r="N62" s="4" t="str">
        <f t="shared" si="90"/>
        <v/>
      </c>
      <c r="O62" s="92">
        <f t="shared" si="91"/>
        <v>0</v>
      </c>
      <c r="P62" s="92">
        <f t="shared" si="92"/>
        <v>0</v>
      </c>
      <c r="Q62" s="80">
        <v>4</v>
      </c>
      <c r="R62" s="80">
        <v>2</v>
      </c>
      <c r="S62" s="80" t="s">
        <v>61</v>
      </c>
      <c r="T62" s="5" t="s">
        <v>120</v>
      </c>
      <c r="U62" s="9"/>
      <c r="W62" s="87">
        <f t="shared" si="93"/>
        <v>152.6</v>
      </c>
      <c r="X62" s="88">
        <f t="shared" si="94"/>
        <v>46</v>
      </c>
      <c r="Y62" s="93">
        <f t="shared" si="95"/>
        <v>75</v>
      </c>
      <c r="Z62" s="91">
        <f t="shared" si="96"/>
        <v>0</v>
      </c>
      <c r="AA62" s="91">
        <f t="shared" si="97"/>
        <v>0</v>
      </c>
      <c r="AB62" s="91">
        <f t="shared" si="98"/>
        <v>0</v>
      </c>
      <c r="AC62" s="4" t="str">
        <f t="shared" si="99"/>
        <v/>
      </c>
      <c r="AD62" s="92">
        <f t="shared" si="100"/>
        <v>0</v>
      </c>
      <c r="AE62" s="80" t="str">
        <f t="shared" si="101"/>
        <v>계</v>
      </c>
      <c r="AF62" s="80" t="str">
        <f t="shared" si="102"/>
        <v>4/2</v>
      </c>
      <c r="AH62" s="20" t="str">
        <f t="shared" si="60"/>
        <v>오창롯데캐슬더하이스트</v>
      </c>
      <c r="AI62" s="88">
        <f t="shared" si="49"/>
        <v>46</v>
      </c>
      <c r="AJ62" s="80" t="str">
        <f t="shared" si="103"/>
        <v>A-</v>
      </c>
      <c r="AK62" s="80" t="s">
        <v>13</v>
      </c>
      <c r="AL62" s="80" t="s">
        <v>62</v>
      </c>
      <c r="AM62" s="80" t="s">
        <v>63</v>
      </c>
      <c r="AN62" s="80" t="str">
        <f t="shared" si="104"/>
        <v>C</v>
      </c>
      <c r="AO62" s="80" t="str">
        <f t="shared" si="105"/>
        <v/>
      </c>
      <c r="AP62" s="80" t="str">
        <f t="shared" si="106"/>
        <v/>
      </c>
      <c r="AQ62" s="80" t="str">
        <f t="shared" si="107"/>
        <v>O</v>
      </c>
      <c r="AR62" s="80" t="str">
        <f t="shared" si="108"/>
        <v>O</v>
      </c>
      <c r="AS62" s="80" t="s">
        <v>2</v>
      </c>
      <c r="AT62" s="80" t="str">
        <f t="shared" si="109"/>
        <v>X</v>
      </c>
      <c r="AU62" s="80" t="str">
        <f t="shared" si="110"/>
        <v>O</v>
      </c>
      <c r="AV62" s="80" t="str">
        <f t="shared" si="111"/>
        <v/>
      </c>
    </row>
    <row r="63" spans="1:48" x14ac:dyDescent="0.3">
      <c r="A63" s="9"/>
      <c r="B63" s="80"/>
      <c r="C63" s="6"/>
      <c r="D63" s="9"/>
      <c r="E63" s="14"/>
      <c r="F63" s="87"/>
      <c r="G63" s="9"/>
      <c r="H63" s="9"/>
      <c r="I63" s="9"/>
      <c r="J63" s="9"/>
      <c r="K63" s="9"/>
      <c r="L63" s="9"/>
      <c r="M63" s="9"/>
      <c r="N63" s="9"/>
      <c r="O63" s="92"/>
      <c r="P63" s="92"/>
      <c r="Q63" s="88"/>
      <c r="R63" s="88"/>
      <c r="S63" s="9"/>
      <c r="T63" s="47"/>
      <c r="U63" s="9"/>
      <c r="W63" s="68" t="str">
        <f>$A$4&amp;" "&amp;A64&amp;"("&amp;B64&amp;","&amp;C64&amp;"^)"</f>
        <v>오창읍 오창이안('06.02.,818^)</v>
      </c>
      <c r="X63" s="69"/>
      <c r="Y63" s="69"/>
      <c r="Z63" s="69"/>
      <c r="AA63" s="69"/>
      <c r="AB63" s="69"/>
      <c r="AC63" s="69"/>
      <c r="AD63" s="69"/>
      <c r="AE63" s="69"/>
      <c r="AF63" s="70"/>
      <c r="AH63" s="20" t="str">
        <f t="shared" si="60"/>
        <v/>
      </c>
      <c r="AI63" s="112" t="str">
        <f t="shared" si="49"/>
        <v/>
      </c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</row>
    <row r="64" spans="1:48" x14ac:dyDescent="0.3">
      <c r="A64" s="9" t="s">
        <v>515</v>
      </c>
      <c r="B64" s="10" t="s">
        <v>922</v>
      </c>
      <c r="C64" s="89">
        <v>818</v>
      </c>
      <c r="D64" s="87">
        <v>77.599999999999994</v>
      </c>
      <c r="E64" s="88">
        <v>23</v>
      </c>
      <c r="F64" s="87">
        <v>59.4</v>
      </c>
      <c r="G64" s="17">
        <v>18</v>
      </c>
      <c r="H64" s="89">
        <v>227</v>
      </c>
      <c r="I64" s="90">
        <v>22000</v>
      </c>
      <c r="J64" s="90" t="s">
        <v>69</v>
      </c>
      <c r="K64" s="90">
        <v>20000</v>
      </c>
      <c r="L64" s="90" t="s">
        <v>69</v>
      </c>
      <c r="M64" s="91">
        <f>I64-K64</f>
        <v>2000</v>
      </c>
      <c r="N64" s="4">
        <f>IF(ISERROR(K64/I64),"",K64/I64)</f>
        <v>0.90909090909090906</v>
      </c>
      <c r="O64" s="92">
        <f>I64/E64</f>
        <v>956.52173913043475</v>
      </c>
      <c r="P64" s="92">
        <f>K64/E64</f>
        <v>869.56521739130437</v>
      </c>
      <c r="Q64" s="80">
        <v>3</v>
      </c>
      <c r="R64" s="80">
        <v>2</v>
      </c>
      <c r="S64" s="80" t="s">
        <v>61</v>
      </c>
      <c r="T64" s="5">
        <v>77</v>
      </c>
      <c r="U64" s="9"/>
      <c r="W64" s="87">
        <f t="shared" ref="W64:X67" si="112">D64</f>
        <v>77.599999999999994</v>
      </c>
      <c r="X64" s="88">
        <f t="shared" si="112"/>
        <v>23</v>
      </c>
      <c r="Y64" s="93">
        <f t="shared" ref="Y64:Z67" si="113">H64</f>
        <v>227</v>
      </c>
      <c r="Z64" s="91">
        <f t="shared" si="113"/>
        <v>22000</v>
      </c>
      <c r="AA64" s="91">
        <f>K64</f>
        <v>20000</v>
      </c>
      <c r="AB64" s="91">
        <f t="shared" ref="AB64:AD67" si="114">M64</f>
        <v>2000</v>
      </c>
      <c r="AC64" s="4">
        <f t="shared" si="114"/>
        <v>0.90909090909090906</v>
      </c>
      <c r="AD64" s="92">
        <f t="shared" si="114"/>
        <v>956.52173913043475</v>
      </c>
      <c r="AE64" s="80" t="str">
        <f>S64</f>
        <v>계</v>
      </c>
      <c r="AF64" s="80" t="str">
        <f>Q64&amp;"/"&amp;R64</f>
        <v>3/2</v>
      </c>
      <c r="AH64" s="20" t="str">
        <f t="shared" si="60"/>
        <v>오창이안</v>
      </c>
      <c r="AI64" s="88">
        <f t="shared" si="49"/>
        <v>23</v>
      </c>
      <c r="AJ64" s="80" t="str">
        <f>IF(AI64="","",$AJ$2)</f>
        <v>A-</v>
      </c>
      <c r="AK64" s="80" t="s">
        <v>13</v>
      </c>
      <c r="AL64" s="80" t="s">
        <v>62</v>
      </c>
      <c r="AM64" s="80" t="s">
        <v>63</v>
      </c>
      <c r="AN64" s="80" t="str">
        <f>IF(AI64="","",$AN$2)</f>
        <v>C</v>
      </c>
      <c r="AO64" s="80" t="str">
        <f>IF(N64="","",IF(N64&gt;=$AO$1/100,"O","X"))</f>
        <v>O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O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후보</v>
      </c>
    </row>
    <row r="65" spans="1:48" x14ac:dyDescent="0.3">
      <c r="A65" s="9" t="s">
        <v>515</v>
      </c>
      <c r="B65" s="10" t="s">
        <v>922</v>
      </c>
      <c r="C65" s="89">
        <v>818</v>
      </c>
      <c r="D65" s="87">
        <v>106.2</v>
      </c>
      <c r="E65" s="88">
        <v>32</v>
      </c>
      <c r="F65" s="87">
        <v>84.8</v>
      </c>
      <c r="G65" s="17">
        <v>26</v>
      </c>
      <c r="H65" s="89">
        <v>351</v>
      </c>
      <c r="I65" s="90">
        <v>26500</v>
      </c>
      <c r="J65" s="90" t="s">
        <v>70</v>
      </c>
      <c r="K65" s="90">
        <v>25000</v>
      </c>
      <c r="L65" s="90" t="s">
        <v>65</v>
      </c>
      <c r="M65" s="91">
        <f>I65-K65</f>
        <v>1500</v>
      </c>
      <c r="N65" s="4">
        <f>IF(ISERROR(K65/I65),"",K65/I65)</f>
        <v>0.94339622641509435</v>
      </c>
      <c r="O65" s="92">
        <f>I65/E65</f>
        <v>828.125</v>
      </c>
      <c r="P65" s="92">
        <f>K65/E65</f>
        <v>781.25</v>
      </c>
      <c r="Q65" s="80">
        <v>3</v>
      </c>
      <c r="R65" s="80">
        <v>2</v>
      </c>
      <c r="S65" s="80" t="s">
        <v>61</v>
      </c>
      <c r="T65" s="5" t="s">
        <v>81</v>
      </c>
      <c r="U65" s="9"/>
      <c r="W65" s="87">
        <f t="shared" si="112"/>
        <v>106.2</v>
      </c>
      <c r="X65" s="88">
        <f t="shared" si="112"/>
        <v>32</v>
      </c>
      <c r="Y65" s="93">
        <f t="shared" si="113"/>
        <v>351</v>
      </c>
      <c r="Z65" s="91">
        <f t="shared" si="113"/>
        <v>26500</v>
      </c>
      <c r="AA65" s="91">
        <f>K65</f>
        <v>25000</v>
      </c>
      <c r="AB65" s="91">
        <f t="shared" si="114"/>
        <v>1500</v>
      </c>
      <c r="AC65" s="4">
        <f t="shared" si="114"/>
        <v>0.94339622641509435</v>
      </c>
      <c r="AD65" s="92">
        <f t="shared" si="114"/>
        <v>828.125</v>
      </c>
      <c r="AE65" s="80" t="str">
        <f>S65</f>
        <v>계</v>
      </c>
      <c r="AF65" s="80" t="str">
        <f>Q65&amp;"/"&amp;R65</f>
        <v>3/2</v>
      </c>
      <c r="AH65" s="20" t="str">
        <f t="shared" si="60"/>
        <v>오창이안</v>
      </c>
      <c r="AI65" s="88">
        <f t="shared" si="49"/>
        <v>32</v>
      </c>
      <c r="AJ65" s="80" t="str">
        <f>IF(AI65="","",$AJ$2)</f>
        <v>A-</v>
      </c>
      <c r="AK65" s="80" t="s">
        <v>13</v>
      </c>
      <c r="AL65" s="80" t="s">
        <v>62</v>
      </c>
      <c r="AM65" s="80" t="s">
        <v>63</v>
      </c>
      <c r="AN65" s="80" t="str">
        <f>IF(AI65="","",$AN$2)</f>
        <v>C</v>
      </c>
      <c r="AO65" s="80" t="str">
        <f>IF(N65="","",IF(N65&gt;=$AO$1/100,"O","X"))</f>
        <v>O</v>
      </c>
      <c r="AP65" s="80" t="str">
        <f>IF(I65="","",IF(I65&lt;=$AP$1,"O","X"))</f>
        <v>O</v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>후보</v>
      </c>
    </row>
    <row r="66" spans="1:48" x14ac:dyDescent="0.3">
      <c r="A66" s="9" t="s">
        <v>515</v>
      </c>
      <c r="B66" s="10" t="s">
        <v>922</v>
      </c>
      <c r="C66" s="89">
        <v>818</v>
      </c>
      <c r="D66" s="87">
        <v>107.5</v>
      </c>
      <c r="E66" s="88">
        <v>33</v>
      </c>
      <c r="F66" s="87">
        <v>84.8</v>
      </c>
      <c r="G66" s="17">
        <v>26</v>
      </c>
      <c r="H66" s="89">
        <v>60</v>
      </c>
      <c r="I66" s="90">
        <v>27000</v>
      </c>
      <c r="J66" s="90" t="s">
        <v>65</v>
      </c>
      <c r="K66" s="90"/>
      <c r="L66" s="90"/>
      <c r="M66" s="91">
        <f>I66-K66</f>
        <v>27000</v>
      </c>
      <c r="N66" s="4">
        <f>IF(ISERROR(K66/I66),"",K66/I66)</f>
        <v>0</v>
      </c>
      <c r="O66" s="92">
        <f>I66/E66</f>
        <v>818.18181818181813</v>
      </c>
      <c r="P66" s="92">
        <f>K66/E66</f>
        <v>0</v>
      </c>
      <c r="Q66" s="80">
        <v>3</v>
      </c>
      <c r="R66" s="80">
        <v>2</v>
      </c>
      <c r="S66" s="80" t="s">
        <v>61</v>
      </c>
      <c r="T66" s="5" t="s">
        <v>520</v>
      </c>
      <c r="U66" s="9"/>
      <c r="W66" s="87">
        <f t="shared" si="112"/>
        <v>107.5</v>
      </c>
      <c r="X66" s="88">
        <f t="shared" si="112"/>
        <v>33</v>
      </c>
      <c r="Y66" s="93">
        <f t="shared" si="113"/>
        <v>60</v>
      </c>
      <c r="Z66" s="91">
        <f t="shared" si="113"/>
        <v>27000</v>
      </c>
      <c r="AA66" s="91">
        <f>K66</f>
        <v>0</v>
      </c>
      <c r="AB66" s="91">
        <f t="shared" si="114"/>
        <v>27000</v>
      </c>
      <c r="AC66" s="4">
        <f t="shared" si="114"/>
        <v>0</v>
      </c>
      <c r="AD66" s="92">
        <f t="shared" si="114"/>
        <v>818.18181818181813</v>
      </c>
      <c r="AE66" s="80" t="str">
        <f>S66</f>
        <v>계</v>
      </c>
      <c r="AF66" s="80" t="str">
        <f>Q66&amp;"/"&amp;R66</f>
        <v>3/2</v>
      </c>
      <c r="AH66" s="20" t="str">
        <f t="shared" si="60"/>
        <v>오창이안</v>
      </c>
      <c r="AI66" s="88">
        <f t="shared" si="49"/>
        <v>33</v>
      </c>
      <c r="AJ66" s="80" t="str">
        <f>IF(AI66="","",$AJ$2)</f>
        <v>A-</v>
      </c>
      <c r="AK66" s="80" t="s">
        <v>13</v>
      </c>
      <c r="AL66" s="80" t="s">
        <v>62</v>
      </c>
      <c r="AM66" s="80" t="s">
        <v>63</v>
      </c>
      <c r="AN66" s="80" t="str">
        <f>IF(AI66="","",$AN$2)</f>
        <v>C</v>
      </c>
      <c r="AO66" s="80" t="str">
        <f>IF(N66="","",IF(N66&gt;=$AO$1/100,"O","X"))</f>
        <v>X</v>
      </c>
      <c r="AP66" s="80" t="str">
        <f>IF(I66="","",IF(I66&lt;=$AP$1,"O","X"))</f>
        <v>O</v>
      </c>
      <c r="AQ66" s="80" t="str">
        <f>IF(O66="","",IF(O66&lt;=$AQ$1,"O","X"))</f>
        <v>O</v>
      </c>
      <c r="AR66" s="80" t="str">
        <f>IF(M66="","",IF(M66&lt;=$AR$1,"O","X"))</f>
        <v>X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>X</v>
      </c>
    </row>
    <row r="67" spans="1:48" x14ac:dyDescent="0.3">
      <c r="A67" s="9" t="s">
        <v>515</v>
      </c>
      <c r="B67" s="10" t="s">
        <v>922</v>
      </c>
      <c r="C67" s="89">
        <v>818</v>
      </c>
      <c r="D67" s="87">
        <v>146.1</v>
      </c>
      <c r="E67" s="88">
        <v>44</v>
      </c>
      <c r="F67" s="87">
        <v>119.3</v>
      </c>
      <c r="G67" s="17">
        <v>36</v>
      </c>
      <c r="H67" s="89">
        <v>180</v>
      </c>
      <c r="I67" s="90">
        <v>35000</v>
      </c>
      <c r="J67" s="90" t="s">
        <v>65</v>
      </c>
      <c r="K67" s="90"/>
      <c r="L67" s="90"/>
      <c r="M67" s="91">
        <f>I67-K67</f>
        <v>35000</v>
      </c>
      <c r="N67" s="4">
        <f>IF(ISERROR(K67/I67),"",K67/I67)</f>
        <v>0</v>
      </c>
      <c r="O67" s="92">
        <f>I67/E67</f>
        <v>795.4545454545455</v>
      </c>
      <c r="P67" s="92">
        <f>K67/E67</f>
        <v>0</v>
      </c>
      <c r="Q67" s="80">
        <v>4</v>
      </c>
      <c r="R67" s="80">
        <v>2</v>
      </c>
      <c r="S67" s="80" t="s">
        <v>61</v>
      </c>
      <c r="T67" s="5">
        <v>146</v>
      </c>
      <c r="U67" s="9"/>
      <c r="W67" s="87">
        <f t="shared" si="112"/>
        <v>146.1</v>
      </c>
      <c r="X67" s="88">
        <f t="shared" si="112"/>
        <v>44</v>
      </c>
      <c r="Y67" s="93">
        <f t="shared" si="113"/>
        <v>180</v>
      </c>
      <c r="Z67" s="91">
        <f t="shared" si="113"/>
        <v>35000</v>
      </c>
      <c r="AA67" s="91">
        <f>K67</f>
        <v>0</v>
      </c>
      <c r="AB67" s="91">
        <f t="shared" si="114"/>
        <v>35000</v>
      </c>
      <c r="AC67" s="4">
        <f t="shared" si="114"/>
        <v>0</v>
      </c>
      <c r="AD67" s="92">
        <f t="shared" si="114"/>
        <v>795.4545454545455</v>
      </c>
      <c r="AE67" s="80" t="str">
        <f>S67</f>
        <v>계</v>
      </c>
      <c r="AF67" s="80" t="str">
        <f>Q67&amp;"/"&amp;R67</f>
        <v>4/2</v>
      </c>
      <c r="AH67" s="20" t="str">
        <f t="shared" si="60"/>
        <v>오창이안</v>
      </c>
      <c r="AI67" s="88">
        <f t="shared" ref="AI67:AI88" si="115">IF(E67="","",E67)</f>
        <v>44</v>
      </c>
      <c r="AJ67" s="80" t="str">
        <f>IF(AI67="","",$AJ$2)</f>
        <v>A-</v>
      </c>
      <c r="AK67" s="80" t="s">
        <v>13</v>
      </c>
      <c r="AL67" s="80" t="s">
        <v>62</v>
      </c>
      <c r="AM67" s="80" t="s">
        <v>63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O</v>
      </c>
      <c r="AQ67" s="80" t="str">
        <f>IF(O67="","",IF(O67&lt;=$AQ$1,"O","X"))</f>
        <v>O</v>
      </c>
      <c r="AR67" s="80" t="str">
        <f>IF(M67="","",IF(M67&lt;=$AR$1,"O","X"))</f>
        <v>X</v>
      </c>
      <c r="AS67" s="80" t="s">
        <v>2</v>
      </c>
      <c r="AT67" s="80" t="str">
        <f>IF(OR(F67="",AI67=""),"",IF(AND((F67&lt;=85),(AI67&gt;=15)),"O","X"))</f>
        <v>X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x14ac:dyDescent="0.3">
      <c r="A68" s="9"/>
      <c r="B68" s="80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8" t="str">
        <f>$A$4&amp;" "&amp;A69&amp;"("&amp;B69&amp;","&amp;C69&amp;"^)"</f>
        <v>오창읍 대원칸타빌('06.07.,464^)</v>
      </c>
      <c r="X68" s="69"/>
      <c r="Y68" s="69"/>
      <c r="Z68" s="69"/>
      <c r="AA68" s="69"/>
      <c r="AB68" s="69"/>
      <c r="AC68" s="69"/>
      <c r="AD68" s="69"/>
      <c r="AE68" s="69"/>
      <c r="AF68" s="70"/>
      <c r="AH68" s="20" t="str">
        <f t="shared" si="60"/>
        <v/>
      </c>
      <c r="AI68" s="112" t="str">
        <f t="shared" si="115"/>
        <v/>
      </c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</row>
    <row r="69" spans="1:48" x14ac:dyDescent="0.3">
      <c r="A69" s="9" t="s">
        <v>530</v>
      </c>
      <c r="B69" s="10" t="s">
        <v>923</v>
      </c>
      <c r="C69" s="89">
        <v>464</v>
      </c>
      <c r="D69" s="87">
        <v>81.2</v>
      </c>
      <c r="E69" s="88">
        <v>25</v>
      </c>
      <c r="F69" s="87">
        <v>60</v>
      </c>
      <c r="G69" s="17">
        <v>18</v>
      </c>
      <c r="H69" s="89">
        <v>170</v>
      </c>
      <c r="I69" s="90">
        <v>23000</v>
      </c>
      <c r="J69" s="90" t="s">
        <v>69</v>
      </c>
      <c r="K69" s="90">
        <v>22000</v>
      </c>
      <c r="L69" s="90" t="s">
        <v>80</v>
      </c>
      <c r="M69" s="91">
        <f>I69-K69</f>
        <v>1000</v>
      </c>
      <c r="N69" s="4">
        <f>IF(ISERROR(K69/I69),"",K69/I69)</f>
        <v>0.95652173913043481</v>
      </c>
      <c r="O69" s="92">
        <f>I69/E69</f>
        <v>920</v>
      </c>
      <c r="P69" s="92">
        <f>K69/E69</f>
        <v>880</v>
      </c>
      <c r="Q69" s="80">
        <v>3</v>
      </c>
      <c r="R69" s="80">
        <v>2</v>
      </c>
      <c r="S69" s="80" t="s">
        <v>61</v>
      </c>
      <c r="T69" s="5">
        <v>81</v>
      </c>
      <c r="U69" s="9"/>
      <c r="W69" s="87">
        <f>D69</f>
        <v>81.2</v>
      </c>
      <c r="X69" s="88">
        <f>E69</f>
        <v>25</v>
      </c>
      <c r="Y69" s="93">
        <f>H69</f>
        <v>170</v>
      </c>
      <c r="Z69" s="91">
        <f>I69</f>
        <v>23000</v>
      </c>
      <c r="AA69" s="91">
        <f>K69</f>
        <v>22000</v>
      </c>
      <c r="AB69" s="91">
        <f t="shared" ref="AB69:AD70" si="116">M69</f>
        <v>1000</v>
      </c>
      <c r="AC69" s="4">
        <f t="shared" si="116"/>
        <v>0.95652173913043481</v>
      </c>
      <c r="AD69" s="92">
        <f t="shared" si="116"/>
        <v>920</v>
      </c>
      <c r="AE69" s="80" t="str">
        <f>S69</f>
        <v>계</v>
      </c>
      <c r="AF69" s="80" t="str">
        <f>Q69&amp;"/"&amp;R69</f>
        <v>3/2</v>
      </c>
      <c r="AH69" s="20" t="str">
        <f t="shared" ref="AH69:AH88" si="117">IF(A69="","",A69)</f>
        <v>대원칸타빌</v>
      </c>
      <c r="AI69" s="88">
        <f t="shared" si="115"/>
        <v>25</v>
      </c>
      <c r="AJ69" s="80" t="str">
        <f>IF(AI69="","",$AJ$2)</f>
        <v>A-</v>
      </c>
      <c r="AK69" s="80" t="s">
        <v>13</v>
      </c>
      <c r="AL69" s="80" t="s">
        <v>62</v>
      </c>
      <c r="AM69" s="80" t="s">
        <v>63</v>
      </c>
      <c r="AN69" s="80" t="str">
        <f>IF(AI69="","",$AN$2)</f>
        <v>C</v>
      </c>
      <c r="AO69" s="80" t="str">
        <f>IF(N69="","",IF(N69&gt;=$AO$1/100,"O","X"))</f>
        <v>O</v>
      </c>
      <c r="AP69" s="80" t="str">
        <f>IF(I69="","",IF(I69&lt;=$AP$1,"O","X"))</f>
        <v>O</v>
      </c>
      <c r="AQ69" s="80" t="str">
        <f>IF(O69="","",IF(O69&lt;=$AQ$1,"O","X"))</f>
        <v>O</v>
      </c>
      <c r="AR69" s="80" t="str">
        <f>IF(M69="","",IF(M69&lt;=$AR$1,"O","X"))</f>
        <v>O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>후보</v>
      </c>
    </row>
    <row r="70" spans="1:48" x14ac:dyDescent="0.3">
      <c r="A70" s="9" t="s">
        <v>530</v>
      </c>
      <c r="B70" s="10" t="s">
        <v>923</v>
      </c>
      <c r="C70" s="89">
        <v>464</v>
      </c>
      <c r="D70" s="87">
        <v>118.2</v>
      </c>
      <c r="E70" s="88">
        <v>36</v>
      </c>
      <c r="F70" s="87">
        <v>85</v>
      </c>
      <c r="G70" s="17">
        <v>26</v>
      </c>
      <c r="H70" s="89">
        <v>294</v>
      </c>
      <c r="I70" s="90">
        <v>30500</v>
      </c>
      <c r="J70" s="90" t="s">
        <v>66</v>
      </c>
      <c r="K70" s="90"/>
      <c r="L70" s="90"/>
      <c r="M70" s="91">
        <f>I70-K70</f>
        <v>30500</v>
      </c>
      <c r="N70" s="4">
        <f>IF(ISERROR(K70/I70),"",K70/I70)</f>
        <v>0</v>
      </c>
      <c r="O70" s="92">
        <f>I70/E70</f>
        <v>847.22222222222217</v>
      </c>
      <c r="P70" s="92">
        <f>K70/E70</f>
        <v>0</v>
      </c>
      <c r="Q70" s="80">
        <v>3</v>
      </c>
      <c r="R70" s="80">
        <v>2</v>
      </c>
      <c r="S70" s="80" t="s">
        <v>61</v>
      </c>
      <c r="T70" s="5">
        <v>118</v>
      </c>
      <c r="U70" s="9"/>
      <c r="W70" s="87">
        <f>D70</f>
        <v>118.2</v>
      </c>
      <c r="X70" s="88">
        <f>E70</f>
        <v>36</v>
      </c>
      <c r="Y70" s="93">
        <f>H70</f>
        <v>294</v>
      </c>
      <c r="Z70" s="91">
        <f>I70</f>
        <v>30500</v>
      </c>
      <c r="AA70" s="91">
        <f>K70</f>
        <v>0</v>
      </c>
      <c r="AB70" s="91">
        <f t="shared" si="116"/>
        <v>30500</v>
      </c>
      <c r="AC70" s="4">
        <f t="shared" si="116"/>
        <v>0</v>
      </c>
      <c r="AD70" s="92">
        <f t="shared" si="116"/>
        <v>847.22222222222217</v>
      </c>
      <c r="AE70" s="80" t="str">
        <f>S70</f>
        <v>계</v>
      </c>
      <c r="AF70" s="80" t="str">
        <f>Q70&amp;"/"&amp;R70</f>
        <v>3/2</v>
      </c>
      <c r="AH70" s="20" t="str">
        <f t="shared" si="117"/>
        <v>대원칸타빌</v>
      </c>
      <c r="AI70" s="88">
        <f t="shared" si="115"/>
        <v>36</v>
      </c>
      <c r="AJ70" s="80" t="str">
        <f>IF(AI70="","",$AJ$2)</f>
        <v>A-</v>
      </c>
      <c r="AK70" s="80" t="s">
        <v>13</v>
      </c>
      <c r="AL70" s="80" t="s">
        <v>62</v>
      </c>
      <c r="AM70" s="80" t="s">
        <v>63</v>
      </c>
      <c r="AN70" s="80" t="str">
        <f>IF(AI70="","",$AN$2)</f>
        <v>C</v>
      </c>
      <c r="AO70" s="80" t="str">
        <f>IF(N70="","",IF(N70&gt;=$AO$1/100,"O","X"))</f>
        <v>X</v>
      </c>
      <c r="AP70" s="80" t="str">
        <f>IF(I70="","",IF(I70&lt;=$AP$1,"O","X"))</f>
        <v>O</v>
      </c>
      <c r="AQ70" s="80" t="str">
        <f>IF(O70="","",IF(O70&lt;=$AQ$1,"O","X"))</f>
        <v>O</v>
      </c>
      <c r="AR70" s="80" t="str">
        <f>IF(M70="","",IF(M70&lt;=$AR$1,"O","X"))</f>
        <v>X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>X</v>
      </c>
    </row>
    <row r="71" spans="1:48" x14ac:dyDescent="0.3">
      <c r="A71" s="9"/>
      <c r="B71" s="80"/>
      <c r="C71" s="6"/>
      <c r="D71" s="9"/>
      <c r="E71" s="14"/>
      <c r="F71" s="87"/>
      <c r="G71" s="9"/>
      <c r="H71" s="9"/>
      <c r="I71" s="9"/>
      <c r="J71" s="9"/>
      <c r="K71" s="9"/>
      <c r="L71" s="9"/>
      <c r="M71" s="9"/>
      <c r="N71" s="9"/>
      <c r="O71" s="92"/>
      <c r="P71" s="92"/>
      <c r="Q71" s="88"/>
      <c r="R71" s="88"/>
      <c r="S71" s="9"/>
      <c r="T71" s="47"/>
      <c r="U71" s="9"/>
      <c r="W71" s="68" t="str">
        <f>$A$4&amp;" "&amp;A72&amp;"("&amp;B72&amp;","&amp;C72&amp;"^)"</f>
        <v>오창읍 오창반도유보라퍼스티지('24.05.,572^)</v>
      </c>
      <c r="X71" s="69"/>
      <c r="Y71" s="69"/>
      <c r="Z71" s="69"/>
      <c r="AA71" s="69"/>
      <c r="AB71" s="69"/>
      <c r="AC71" s="69"/>
      <c r="AD71" s="69"/>
      <c r="AE71" s="69"/>
      <c r="AF71" s="70"/>
      <c r="AH71" s="20" t="str">
        <f t="shared" si="117"/>
        <v/>
      </c>
      <c r="AI71" s="112" t="str">
        <f t="shared" si="115"/>
        <v/>
      </c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</row>
    <row r="72" spans="1:48" x14ac:dyDescent="0.3">
      <c r="A72" s="9" t="s">
        <v>535</v>
      </c>
      <c r="B72" s="10" t="s">
        <v>924</v>
      </c>
      <c r="C72" s="89">
        <v>572</v>
      </c>
      <c r="D72" s="87">
        <v>80</v>
      </c>
      <c r="E72" s="88">
        <v>24</v>
      </c>
      <c r="F72" s="87">
        <v>60</v>
      </c>
      <c r="G72" s="17">
        <v>18</v>
      </c>
      <c r="H72" s="89">
        <v>250</v>
      </c>
      <c r="I72" s="90"/>
      <c r="J72" s="90"/>
      <c r="K72" s="90"/>
      <c r="L72" s="90"/>
      <c r="M72" s="91">
        <f>I72-K72</f>
        <v>0</v>
      </c>
      <c r="N72" s="4" t="str">
        <f>IF(ISERROR(K72/I72),"",K72/I72)</f>
        <v/>
      </c>
      <c r="O72" s="92">
        <f>I72/E72</f>
        <v>0</v>
      </c>
      <c r="P72" s="92">
        <f>K72/E72</f>
        <v>0</v>
      </c>
      <c r="Q72" s="80">
        <v>3</v>
      </c>
      <c r="R72" s="80">
        <v>2</v>
      </c>
      <c r="S72" s="80" t="s">
        <v>61</v>
      </c>
      <c r="T72" s="5">
        <v>80</v>
      </c>
      <c r="U72" s="9"/>
      <c r="W72" s="87">
        <f t="shared" ref="W72:X76" si="118">D72</f>
        <v>80</v>
      </c>
      <c r="X72" s="88">
        <f t="shared" si="118"/>
        <v>24</v>
      </c>
      <c r="Y72" s="93">
        <f t="shared" ref="Y72:Z76" si="119">H72</f>
        <v>250</v>
      </c>
      <c r="Z72" s="91">
        <f t="shared" si="119"/>
        <v>0</v>
      </c>
      <c r="AA72" s="91">
        <f>K72</f>
        <v>0</v>
      </c>
      <c r="AB72" s="91">
        <f t="shared" ref="AB72:AD76" si="120">M72</f>
        <v>0</v>
      </c>
      <c r="AC72" s="4" t="str">
        <f t="shared" si="120"/>
        <v/>
      </c>
      <c r="AD72" s="92">
        <f t="shared" si="120"/>
        <v>0</v>
      </c>
      <c r="AE72" s="80" t="str">
        <f>S72</f>
        <v>계</v>
      </c>
      <c r="AF72" s="80" t="str">
        <f>Q72&amp;"/"&amp;R72</f>
        <v>3/2</v>
      </c>
      <c r="AH72" s="20" t="str">
        <f t="shared" si="117"/>
        <v>오창반도유보라퍼스티지</v>
      </c>
      <c r="AI72" s="88">
        <f t="shared" si="115"/>
        <v>24</v>
      </c>
      <c r="AJ72" s="80" t="str">
        <f>IF(AI72="","",$AJ$2)</f>
        <v>A-</v>
      </c>
      <c r="AK72" s="80" t="s">
        <v>13</v>
      </c>
      <c r="AL72" s="80" t="s">
        <v>62</v>
      </c>
      <c r="AM72" s="80" t="s">
        <v>63</v>
      </c>
      <c r="AN72" s="80" t="str">
        <f>IF(AI72="","",$AN$2)</f>
        <v>C</v>
      </c>
      <c r="AO72" s="80" t="str">
        <f>IF(N72="","",IF(N72&gt;=$AO$1/100,"O","X"))</f>
        <v/>
      </c>
      <c r="AP72" s="80" t="str">
        <f>IF(I72="","",IF(I72&lt;=$AP$1,"O","X"))</f>
        <v/>
      </c>
      <c r="AQ72" s="80" t="str">
        <f>IF(O72="","",IF(O72&lt;=$AQ$1,"O","X"))</f>
        <v>O</v>
      </c>
      <c r="AR72" s="80" t="str">
        <f>IF(M72="","",IF(M72&lt;=$AR$1,"O","X"))</f>
        <v>O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O</v>
      </c>
      <c r="AV72" s="80" t="str">
        <f>IF(AO72="","",IF(AND(AO72="O",AP72="O",AR72="O",AT72="O",AU72="O"),"후보","X"))</f>
        <v/>
      </c>
    </row>
    <row r="73" spans="1:48" x14ac:dyDescent="0.3">
      <c r="A73" s="9" t="s">
        <v>535</v>
      </c>
      <c r="B73" s="10" t="s">
        <v>924</v>
      </c>
      <c r="C73" s="89">
        <v>572</v>
      </c>
      <c r="D73" s="87">
        <v>100.3</v>
      </c>
      <c r="E73" s="88">
        <v>30</v>
      </c>
      <c r="F73" s="87">
        <v>74.5</v>
      </c>
      <c r="G73" s="17">
        <v>23</v>
      </c>
      <c r="H73" s="89">
        <v>74</v>
      </c>
      <c r="I73" s="90"/>
      <c r="J73" s="90"/>
      <c r="K73" s="90"/>
      <c r="L73" s="90"/>
      <c r="M73" s="91">
        <f>I73-K73</f>
        <v>0</v>
      </c>
      <c r="N73" s="4" t="str">
        <f>IF(ISERROR(K73/I73),"",K73/I73)</f>
        <v/>
      </c>
      <c r="O73" s="92">
        <f>I73/E73</f>
        <v>0</v>
      </c>
      <c r="P73" s="92">
        <f>K73/E73</f>
        <v>0</v>
      </c>
      <c r="Q73" s="80">
        <v>3</v>
      </c>
      <c r="R73" s="80">
        <v>2</v>
      </c>
      <c r="S73" s="80" t="s">
        <v>61</v>
      </c>
      <c r="T73" s="5">
        <v>100</v>
      </c>
      <c r="U73" s="9"/>
      <c r="W73" s="87">
        <f t="shared" si="118"/>
        <v>100.3</v>
      </c>
      <c r="X73" s="88">
        <f t="shared" si="118"/>
        <v>30</v>
      </c>
      <c r="Y73" s="93">
        <f t="shared" si="119"/>
        <v>74</v>
      </c>
      <c r="Z73" s="91">
        <f t="shared" si="119"/>
        <v>0</v>
      </c>
      <c r="AA73" s="91">
        <f>K73</f>
        <v>0</v>
      </c>
      <c r="AB73" s="91">
        <f t="shared" si="120"/>
        <v>0</v>
      </c>
      <c r="AC73" s="4" t="str">
        <f t="shared" si="120"/>
        <v/>
      </c>
      <c r="AD73" s="92">
        <f t="shared" si="120"/>
        <v>0</v>
      </c>
      <c r="AE73" s="80" t="str">
        <f>S73</f>
        <v>계</v>
      </c>
      <c r="AF73" s="80" t="str">
        <f>Q73&amp;"/"&amp;R73</f>
        <v>3/2</v>
      </c>
      <c r="AH73" s="20" t="str">
        <f t="shared" si="117"/>
        <v>오창반도유보라퍼스티지</v>
      </c>
      <c r="AI73" s="88">
        <f t="shared" si="115"/>
        <v>30</v>
      </c>
      <c r="AJ73" s="80" t="str">
        <f>IF(AI73="","",$AJ$2)</f>
        <v>A-</v>
      </c>
      <c r="AK73" s="80" t="s">
        <v>13</v>
      </c>
      <c r="AL73" s="80" t="s">
        <v>62</v>
      </c>
      <c r="AM73" s="80" t="s">
        <v>63</v>
      </c>
      <c r="AN73" s="80" t="str">
        <f>IF(AI73="","",$AN$2)</f>
        <v>C</v>
      </c>
      <c r="AO73" s="80" t="str">
        <f>IF(N73="","",IF(N73&gt;=$AO$1/100,"O","X"))</f>
        <v/>
      </c>
      <c r="AP73" s="80" t="str">
        <f>IF(I73="","",IF(I73&lt;=$AP$1,"O","X"))</f>
        <v/>
      </c>
      <c r="AQ73" s="80" t="str">
        <f>IF(O73="","",IF(O73&lt;=$AQ$1,"O","X"))</f>
        <v>O</v>
      </c>
      <c r="AR73" s="80" t="str">
        <f>IF(M73="","",IF(M73&lt;=$AR$1,"O","X"))</f>
        <v>O</v>
      </c>
      <c r="AS73" s="80" t="s">
        <v>2</v>
      </c>
      <c r="AT73" s="80" t="str">
        <f>IF(OR(F73="",AI73=""),"",IF(AND((F73&lt;=85),(AI73&gt;=15)),"O","X"))</f>
        <v>O</v>
      </c>
      <c r="AU73" s="80" t="str">
        <f>IF(C73="","",IF(C73&gt;=$AU$1,"O","X"))</f>
        <v>O</v>
      </c>
      <c r="AV73" s="80" t="str">
        <f>IF(AO73="","",IF(AND(AO73="O",AP73="O",AR73="O",AT73="O",AU73="O"),"후보","X"))</f>
        <v/>
      </c>
    </row>
    <row r="74" spans="1:48" x14ac:dyDescent="0.3">
      <c r="A74" s="9" t="s">
        <v>535</v>
      </c>
      <c r="B74" s="10" t="s">
        <v>924</v>
      </c>
      <c r="C74" s="89">
        <v>572</v>
      </c>
      <c r="D74" s="87">
        <v>112.2</v>
      </c>
      <c r="E74" s="88">
        <v>34</v>
      </c>
      <c r="F74" s="87">
        <v>84.9</v>
      </c>
      <c r="G74" s="17">
        <v>26</v>
      </c>
      <c r="H74" s="89">
        <v>100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80">
        <v>3</v>
      </c>
      <c r="R74" s="80">
        <v>2</v>
      </c>
      <c r="S74" s="80" t="s">
        <v>61</v>
      </c>
      <c r="T74" s="5" t="s">
        <v>88</v>
      </c>
      <c r="U74" s="9"/>
      <c r="W74" s="87">
        <f t="shared" si="118"/>
        <v>112.2</v>
      </c>
      <c r="X74" s="88">
        <f t="shared" si="118"/>
        <v>34</v>
      </c>
      <c r="Y74" s="93">
        <f t="shared" si="119"/>
        <v>100</v>
      </c>
      <c r="Z74" s="91">
        <f t="shared" si="119"/>
        <v>0</v>
      </c>
      <c r="AA74" s="91">
        <f>K74</f>
        <v>0</v>
      </c>
      <c r="AB74" s="91">
        <f t="shared" si="120"/>
        <v>0</v>
      </c>
      <c r="AC74" s="4" t="str">
        <f t="shared" si="120"/>
        <v/>
      </c>
      <c r="AD74" s="92">
        <f t="shared" si="120"/>
        <v>0</v>
      </c>
      <c r="AE74" s="80" t="str">
        <f>S74</f>
        <v>계</v>
      </c>
      <c r="AF74" s="80" t="str">
        <f>Q74&amp;"/"&amp;R74</f>
        <v>3/2</v>
      </c>
      <c r="AH74" s="20" t="str">
        <f t="shared" si="117"/>
        <v>오창반도유보라퍼스티지</v>
      </c>
      <c r="AI74" s="88">
        <f t="shared" si="115"/>
        <v>34</v>
      </c>
      <c r="AJ74" s="80" t="str">
        <f>IF(AI74="","",$AJ$2)</f>
        <v>A-</v>
      </c>
      <c r="AK74" s="80" t="s">
        <v>13</v>
      </c>
      <c r="AL74" s="80" t="s">
        <v>62</v>
      </c>
      <c r="AM74" s="80" t="s">
        <v>63</v>
      </c>
      <c r="AN74" s="80" t="str">
        <f>IF(AI74="","",$AN$2)</f>
        <v>C</v>
      </c>
      <c r="AO74" s="80" t="str">
        <f>IF(N74="","",IF(N74&gt;=$AO$1/100,"O","X"))</f>
        <v/>
      </c>
      <c r="AP74" s="80" t="str">
        <f>IF(I74="","",IF(I74&lt;=$AP$1,"O","X"))</f>
        <v/>
      </c>
      <c r="AQ74" s="80" t="str">
        <f>IF(O74="","",IF(O74&lt;=$AQ$1,"O","X"))</f>
        <v>O</v>
      </c>
      <c r="AR74" s="80" t="str">
        <f>IF(M74="","",IF(M74&lt;=$AR$1,"O","X"))</f>
        <v>O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O</v>
      </c>
      <c r="AV74" s="80" t="str">
        <f>IF(AO74="","",IF(AND(AO74="O",AP74="O",AR74="O",AT74="O",AU74="O"),"후보","X"))</f>
        <v/>
      </c>
    </row>
    <row r="75" spans="1:48" x14ac:dyDescent="0.3">
      <c r="A75" s="9" t="s">
        <v>535</v>
      </c>
      <c r="B75" s="10" t="s">
        <v>924</v>
      </c>
      <c r="C75" s="89">
        <v>572</v>
      </c>
      <c r="D75" s="87">
        <v>114</v>
      </c>
      <c r="E75" s="88">
        <v>34</v>
      </c>
      <c r="F75" s="87">
        <v>85</v>
      </c>
      <c r="G75" s="17">
        <v>26</v>
      </c>
      <c r="H75" s="89">
        <v>74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80">
        <v>3</v>
      </c>
      <c r="R75" s="80">
        <v>2</v>
      </c>
      <c r="S75" s="80" t="s">
        <v>61</v>
      </c>
      <c r="T75" s="5" t="s">
        <v>76</v>
      </c>
      <c r="U75" s="9"/>
      <c r="W75" s="87">
        <f t="shared" si="118"/>
        <v>114</v>
      </c>
      <c r="X75" s="88">
        <f t="shared" si="118"/>
        <v>34</v>
      </c>
      <c r="Y75" s="93">
        <f t="shared" si="119"/>
        <v>74</v>
      </c>
      <c r="Z75" s="91">
        <f t="shared" si="119"/>
        <v>0</v>
      </c>
      <c r="AA75" s="91">
        <f>K75</f>
        <v>0</v>
      </c>
      <c r="AB75" s="91">
        <f t="shared" si="120"/>
        <v>0</v>
      </c>
      <c r="AC75" s="4" t="str">
        <f t="shared" si="120"/>
        <v/>
      </c>
      <c r="AD75" s="92">
        <f t="shared" si="120"/>
        <v>0</v>
      </c>
      <c r="AE75" s="80" t="str">
        <f>S75</f>
        <v>계</v>
      </c>
      <c r="AF75" s="80" t="str">
        <f>Q75&amp;"/"&amp;R75</f>
        <v>3/2</v>
      </c>
      <c r="AH75" s="20" t="str">
        <f t="shared" si="117"/>
        <v>오창반도유보라퍼스티지</v>
      </c>
      <c r="AI75" s="88">
        <f t="shared" si="115"/>
        <v>34</v>
      </c>
      <c r="AJ75" s="80" t="str">
        <f>IF(AI75="","",$AJ$2)</f>
        <v>A-</v>
      </c>
      <c r="AK75" s="80" t="s">
        <v>13</v>
      </c>
      <c r="AL75" s="80" t="s">
        <v>62</v>
      </c>
      <c r="AM75" s="80" t="s">
        <v>63</v>
      </c>
      <c r="AN75" s="80" t="str">
        <f>IF(AI75="","",$AN$2)</f>
        <v>C</v>
      </c>
      <c r="AO75" s="80" t="str">
        <f>IF(N75="","",IF(N75&gt;=$AO$1/100,"O","X"))</f>
        <v/>
      </c>
      <c r="AP75" s="80" t="str">
        <f>IF(I75="","",IF(I75&lt;=$AP$1,"O","X"))</f>
        <v/>
      </c>
      <c r="AQ75" s="80" t="str">
        <f>IF(O75="","",IF(O75&lt;=$AQ$1,"O","X"))</f>
        <v>O</v>
      </c>
      <c r="AR75" s="80" t="str">
        <f>IF(M75="","",IF(M75&lt;=$AR$1,"O","X"))</f>
        <v>O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O</v>
      </c>
      <c r="AV75" s="80" t="str">
        <f>IF(AO75="","",IF(AND(AO75="O",AP75="O",AR75="O",AT75="O",AU75="O"),"후보","X"))</f>
        <v/>
      </c>
    </row>
    <row r="76" spans="1:48" x14ac:dyDescent="0.3">
      <c r="A76" s="9" t="s">
        <v>535</v>
      </c>
      <c r="B76" s="10" t="s">
        <v>924</v>
      </c>
      <c r="C76" s="89">
        <v>572</v>
      </c>
      <c r="D76" s="87">
        <v>113</v>
      </c>
      <c r="E76" s="88">
        <v>34</v>
      </c>
      <c r="F76" s="87">
        <v>84.8</v>
      </c>
      <c r="G76" s="17">
        <v>26</v>
      </c>
      <c r="H76" s="89">
        <v>74</v>
      </c>
      <c r="I76" s="90"/>
      <c r="J76" s="90"/>
      <c r="K76" s="90"/>
      <c r="L76" s="90"/>
      <c r="M76" s="91">
        <f>I76-K76</f>
        <v>0</v>
      </c>
      <c r="N76" s="4" t="str">
        <f>IF(ISERROR(K76/I76),"",K76/I76)</f>
        <v/>
      </c>
      <c r="O76" s="92">
        <f>I76/E76</f>
        <v>0</v>
      </c>
      <c r="P76" s="92">
        <f>K76/E76</f>
        <v>0</v>
      </c>
      <c r="Q76" s="80">
        <v>3</v>
      </c>
      <c r="R76" s="80">
        <v>2</v>
      </c>
      <c r="S76" s="80" t="s">
        <v>61</v>
      </c>
      <c r="T76" s="5" t="s">
        <v>443</v>
      </c>
      <c r="U76" s="9"/>
      <c r="W76" s="87">
        <f t="shared" si="118"/>
        <v>113</v>
      </c>
      <c r="X76" s="88">
        <f t="shared" si="118"/>
        <v>34</v>
      </c>
      <c r="Y76" s="93">
        <f t="shared" si="119"/>
        <v>74</v>
      </c>
      <c r="Z76" s="91">
        <f t="shared" si="119"/>
        <v>0</v>
      </c>
      <c r="AA76" s="91">
        <f>K76</f>
        <v>0</v>
      </c>
      <c r="AB76" s="91">
        <f t="shared" si="120"/>
        <v>0</v>
      </c>
      <c r="AC76" s="4" t="str">
        <f t="shared" si="120"/>
        <v/>
      </c>
      <c r="AD76" s="92">
        <f t="shared" si="120"/>
        <v>0</v>
      </c>
      <c r="AE76" s="80" t="str">
        <f>S76</f>
        <v>계</v>
      </c>
      <c r="AF76" s="80" t="str">
        <f>Q76&amp;"/"&amp;R76</f>
        <v>3/2</v>
      </c>
      <c r="AH76" s="20" t="str">
        <f t="shared" si="117"/>
        <v>오창반도유보라퍼스티지</v>
      </c>
      <c r="AI76" s="88">
        <f t="shared" si="115"/>
        <v>34</v>
      </c>
      <c r="AJ76" s="80" t="str">
        <f>IF(AI76="","",$AJ$2)</f>
        <v>A-</v>
      </c>
      <c r="AK76" s="80" t="s">
        <v>13</v>
      </c>
      <c r="AL76" s="80" t="s">
        <v>62</v>
      </c>
      <c r="AM76" s="80" t="s">
        <v>63</v>
      </c>
      <c r="AN76" s="80" t="str">
        <f>IF(AI76="","",$AN$2)</f>
        <v>C</v>
      </c>
      <c r="AO76" s="80" t="str">
        <f>IF(N76="","",IF(N76&gt;=$AO$1/100,"O","X"))</f>
        <v/>
      </c>
      <c r="AP76" s="80" t="str">
        <f>IF(I76="","",IF(I76&lt;=$AP$1,"O","X"))</f>
        <v/>
      </c>
      <c r="AQ76" s="80" t="str">
        <f>IF(O76="","",IF(O76&lt;=$AQ$1,"O","X"))</f>
        <v>O</v>
      </c>
      <c r="AR76" s="80" t="str">
        <f>IF(M76="","",IF(M76&lt;=$AR$1,"O","X"))</f>
        <v>O</v>
      </c>
      <c r="AS76" s="80" t="s">
        <v>2</v>
      </c>
      <c r="AT76" s="80" t="str">
        <f>IF(OR(F76="",AI76=""),"",IF(AND((F76&lt;=85),(AI76&gt;=15)),"O","X"))</f>
        <v>O</v>
      </c>
      <c r="AU76" s="80" t="str">
        <f>IF(C76="","",IF(C76&gt;=$AU$1,"O","X"))</f>
        <v>O</v>
      </c>
      <c r="AV76" s="80" t="str">
        <f>IF(AO76="","",IF(AND(AO76="O",AP76="O",AR76="O",AT76="O",AU76="O"),"후보","X"))</f>
        <v/>
      </c>
    </row>
    <row r="77" spans="1:48" x14ac:dyDescent="0.3">
      <c r="A77" s="9"/>
      <c r="B77" s="80"/>
      <c r="C77" s="6"/>
      <c r="D77" s="9"/>
      <c r="E77" s="14"/>
      <c r="F77" s="87"/>
      <c r="G77" s="9"/>
      <c r="H77" s="9"/>
      <c r="I77" s="9"/>
      <c r="J77" s="9"/>
      <c r="K77" s="9"/>
      <c r="L77" s="9"/>
      <c r="M77" s="9"/>
      <c r="N77" s="9"/>
      <c r="O77" s="92"/>
      <c r="P77" s="92"/>
      <c r="Q77" s="88"/>
      <c r="R77" s="88"/>
      <c r="S77" s="9"/>
      <c r="T77" s="47"/>
      <c r="U77" s="9"/>
      <c r="W77" s="68" t="str">
        <f>$A$4&amp;" "&amp;A78&amp;"("&amp;B78&amp;","&amp;C78&amp;"^)"</f>
        <v>오창읍 코아루('06.06.,948^)</v>
      </c>
      <c r="X77" s="69"/>
      <c r="Y77" s="69"/>
      <c r="Z77" s="69"/>
      <c r="AA77" s="69"/>
      <c r="AB77" s="69"/>
      <c r="AC77" s="69"/>
      <c r="AD77" s="69"/>
      <c r="AE77" s="69"/>
      <c r="AF77" s="70"/>
      <c r="AH77" s="20" t="str">
        <f t="shared" si="117"/>
        <v/>
      </c>
      <c r="AI77" s="112" t="str">
        <f t="shared" si="115"/>
        <v/>
      </c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</row>
    <row r="78" spans="1:48" x14ac:dyDescent="0.3">
      <c r="A78" s="9" t="s">
        <v>540</v>
      </c>
      <c r="B78" s="10" t="s">
        <v>925</v>
      </c>
      <c r="C78" s="89">
        <v>948</v>
      </c>
      <c r="D78" s="87">
        <v>86.4</v>
      </c>
      <c r="E78" s="88">
        <v>26</v>
      </c>
      <c r="F78" s="87">
        <v>60</v>
      </c>
      <c r="G78" s="17">
        <v>18</v>
      </c>
      <c r="H78" s="89">
        <v>315</v>
      </c>
      <c r="I78" s="90">
        <v>24000</v>
      </c>
      <c r="J78" s="90" t="s">
        <v>65</v>
      </c>
      <c r="K78" s="90"/>
      <c r="L78" s="90"/>
      <c r="M78" s="91">
        <f>I78-K78</f>
        <v>24000</v>
      </c>
      <c r="N78" s="4">
        <f>IF(ISERROR(K78/I78),"",K78/I78)</f>
        <v>0</v>
      </c>
      <c r="O78" s="92">
        <f>I78/E78</f>
        <v>923.07692307692309</v>
      </c>
      <c r="P78" s="92">
        <f>K78/E78</f>
        <v>0</v>
      </c>
      <c r="Q78" s="80">
        <v>3</v>
      </c>
      <c r="R78" s="80">
        <v>2</v>
      </c>
      <c r="S78" s="80" t="s">
        <v>61</v>
      </c>
      <c r="T78" s="5">
        <v>86</v>
      </c>
      <c r="U78" s="9"/>
      <c r="W78" s="87">
        <f t="shared" ref="W78:X81" si="121">D78</f>
        <v>86.4</v>
      </c>
      <c r="X78" s="88">
        <f t="shared" si="121"/>
        <v>26</v>
      </c>
      <c r="Y78" s="93">
        <f t="shared" ref="Y78:Z81" si="122">H78</f>
        <v>315</v>
      </c>
      <c r="Z78" s="91">
        <f t="shared" si="122"/>
        <v>24000</v>
      </c>
      <c r="AA78" s="91">
        <f>K78</f>
        <v>0</v>
      </c>
      <c r="AB78" s="91">
        <f t="shared" ref="AB78:AD81" si="123">M78</f>
        <v>24000</v>
      </c>
      <c r="AC78" s="4">
        <f t="shared" si="123"/>
        <v>0</v>
      </c>
      <c r="AD78" s="92">
        <f t="shared" si="123"/>
        <v>923.07692307692309</v>
      </c>
      <c r="AE78" s="80" t="str">
        <f>S78</f>
        <v>계</v>
      </c>
      <c r="AF78" s="80" t="str">
        <f>Q78&amp;"/"&amp;R78</f>
        <v>3/2</v>
      </c>
      <c r="AH78" s="20" t="str">
        <f t="shared" si="117"/>
        <v>코아루</v>
      </c>
      <c r="AI78" s="88">
        <f t="shared" si="115"/>
        <v>26</v>
      </c>
      <c r="AJ78" s="80" t="str">
        <f>IF(AI78="","",$AJ$2)</f>
        <v>A-</v>
      </c>
      <c r="AK78" s="80" t="s">
        <v>13</v>
      </c>
      <c r="AL78" s="80" t="s">
        <v>62</v>
      </c>
      <c r="AM78" s="80" t="s">
        <v>63</v>
      </c>
      <c r="AN78" s="80" t="str">
        <f>IF(AI78="","",$AN$2)</f>
        <v>C</v>
      </c>
      <c r="AO78" s="80" t="str">
        <f>IF(N78="","",IF(N78&gt;=$AO$1/100,"O","X"))</f>
        <v>X</v>
      </c>
      <c r="AP78" s="80" t="str">
        <f>IF(I78="","",IF(I78&lt;=$AP$1,"O","X"))</f>
        <v>O</v>
      </c>
      <c r="AQ78" s="80" t="str">
        <f>IF(O78="","",IF(O78&lt;=$AQ$1,"O","X"))</f>
        <v>O</v>
      </c>
      <c r="AR78" s="80" t="str">
        <f>IF(M78="","",IF(M78&lt;=$AR$1,"O","X"))</f>
        <v>X</v>
      </c>
      <c r="AS78" s="80" t="s">
        <v>2</v>
      </c>
      <c r="AT78" s="80" t="str">
        <f>IF(OR(F78="",AI78=""),"",IF(AND((F78&lt;=85),(AI78&gt;=15)),"O","X"))</f>
        <v>O</v>
      </c>
      <c r="AU78" s="80" t="str">
        <f>IF(C78="","",IF(C78&gt;=$AU$1,"O","X"))</f>
        <v>O</v>
      </c>
      <c r="AV78" s="80" t="str">
        <f>IF(AO78="","",IF(AND(AO78="O",AP78="O",AR78="O",AT78="O",AU78="O"),"후보","X"))</f>
        <v>X</v>
      </c>
    </row>
    <row r="79" spans="1:48" x14ac:dyDescent="0.3">
      <c r="A79" s="9" t="s">
        <v>540</v>
      </c>
      <c r="B79" s="10" t="s">
        <v>925</v>
      </c>
      <c r="C79" s="89">
        <v>948</v>
      </c>
      <c r="D79" s="87">
        <v>116.4</v>
      </c>
      <c r="E79" s="88">
        <v>35</v>
      </c>
      <c r="F79" s="87">
        <v>85</v>
      </c>
      <c r="G79" s="17">
        <v>26</v>
      </c>
      <c r="H79" s="89">
        <v>314</v>
      </c>
      <c r="I79" s="90">
        <v>35000</v>
      </c>
      <c r="J79" s="90" t="s">
        <v>106</v>
      </c>
      <c r="K79" s="90">
        <v>30000</v>
      </c>
      <c r="L79" s="90" t="s">
        <v>65</v>
      </c>
      <c r="M79" s="91">
        <f>I79-K79</f>
        <v>5000</v>
      </c>
      <c r="N79" s="4">
        <f>IF(ISERROR(K79/I79),"",K79/I79)</f>
        <v>0.8571428571428571</v>
      </c>
      <c r="O79" s="92">
        <f>I79/E79</f>
        <v>1000</v>
      </c>
      <c r="P79" s="92">
        <f>K79/E79</f>
        <v>857.14285714285711</v>
      </c>
      <c r="Q79" s="80">
        <v>3</v>
      </c>
      <c r="R79" s="80">
        <v>2</v>
      </c>
      <c r="S79" s="80" t="s">
        <v>61</v>
      </c>
      <c r="T79" s="5" t="s">
        <v>82</v>
      </c>
      <c r="U79" s="9"/>
      <c r="W79" s="87">
        <f t="shared" si="121"/>
        <v>116.4</v>
      </c>
      <c r="X79" s="88">
        <f t="shared" si="121"/>
        <v>35</v>
      </c>
      <c r="Y79" s="93">
        <f t="shared" si="122"/>
        <v>314</v>
      </c>
      <c r="Z79" s="91">
        <f t="shared" si="122"/>
        <v>35000</v>
      </c>
      <c r="AA79" s="91">
        <f>K79</f>
        <v>30000</v>
      </c>
      <c r="AB79" s="91">
        <f t="shared" si="123"/>
        <v>5000</v>
      </c>
      <c r="AC79" s="4">
        <f t="shared" si="123"/>
        <v>0.8571428571428571</v>
      </c>
      <c r="AD79" s="92">
        <f t="shared" si="123"/>
        <v>1000</v>
      </c>
      <c r="AE79" s="80" t="str">
        <f>S79</f>
        <v>계</v>
      </c>
      <c r="AF79" s="80" t="str">
        <f>Q79&amp;"/"&amp;R79</f>
        <v>3/2</v>
      </c>
      <c r="AH79" s="20" t="str">
        <f t="shared" si="117"/>
        <v>코아루</v>
      </c>
      <c r="AI79" s="88">
        <f t="shared" si="115"/>
        <v>35</v>
      </c>
      <c r="AJ79" s="80" t="str">
        <f>IF(AI79="","",$AJ$2)</f>
        <v>A-</v>
      </c>
      <c r="AK79" s="80" t="s">
        <v>13</v>
      </c>
      <c r="AL79" s="80" t="s">
        <v>62</v>
      </c>
      <c r="AM79" s="80" t="s">
        <v>63</v>
      </c>
      <c r="AN79" s="80" t="str">
        <f>IF(AI79="","",$AN$2)</f>
        <v>C</v>
      </c>
      <c r="AO79" s="80" t="str">
        <f>IF(N79="","",IF(N79&gt;=$AO$1/100,"O","X"))</f>
        <v>O</v>
      </c>
      <c r="AP79" s="80" t="str">
        <f>IF(I79="","",IF(I79&lt;=$AP$1,"O","X"))</f>
        <v>O</v>
      </c>
      <c r="AQ79" s="80" t="str">
        <f>IF(O79="","",IF(O79&lt;=$AQ$1,"O","X"))</f>
        <v>O</v>
      </c>
      <c r="AR79" s="80" t="str">
        <f>IF(M79="","",IF(M79&lt;=$AR$1,"O","X"))</f>
        <v>O</v>
      </c>
      <c r="AS79" s="80" t="s">
        <v>2</v>
      </c>
      <c r="AT79" s="80" t="str">
        <f>IF(OR(F79="",AI79=""),"",IF(AND((F79&lt;=85),(AI79&gt;=15)),"O","X"))</f>
        <v>O</v>
      </c>
      <c r="AU79" s="80" t="str">
        <f>IF(C79="","",IF(C79&gt;=$AU$1,"O","X"))</f>
        <v>O</v>
      </c>
      <c r="AV79" s="80" t="str">
        <f>IF(AO79="","",IF(AND(AO79="O",AP79="O",AR79="O",AT79="O",AU79="O"),"후보","X"))</f>
        <v>후보</v>
      </c>
    </row>
    <row r="80" spans="1:48" x14ac:dyDescent="0.3">
      <c r="A80" s="9" t="s">
        <v>540</v>
      </c>
      <c r="B80" s="10" t="s">
        <v>925</v>
      </c>
      <c r="C80" s="89">
        <v>948</v>
      </c>
      <c r="D80" s="87">
        <v>116.8</v>
      </c>
      <c r="E80" s="88">
        <v>35</v>
      </c>
      <c r="F80" s="87">
        <v>85</v>
      </c>
      <c r="G80" s="17">
        <v>26</v>
      </c>
      <c r="H80" s="89">
        <v>177</v>
      </c>
      <c r="I80" s="90">
        <v>32500</v>
      </c>
      <c r="J80" s="90" t="s">
        <v>70</v>
      </c>
      <c r="K80" s="90"/>
      <c r="L80" s="90"/>
      <c r="M80" s="91">
        <f>I80-K80</f>
        <v>32500</v>
      </c>
      <c r="N80" s="4">
        <f>IF(ISERROR(K80/I80),"",K80/I80)</f>
        <v>0</v>
      </c>
      <c r="O80" s="92">
        <f>I80/E80</f>
        <v>928.57142857142856</v>
      </c>
      <c r="P80" s="92">
        <f>K80/E80</f>
        <v>0</v>
      </c>
      <c r="Q80" s="80">
        <v>3</v>
      </c>
      <c r="R80" s="80">
        <v>2</v>
      </c>
      <c r="S80" s="80" t="s">
        <v>61</v>
      </c>
      <c r="T80" s="5" t="s">
        <v>545</v>
      </c>
      <c r="U80" s="9"/>
      <c r="W80" s="87">
        <f t="shared" si="121"/>
        <v>116.8</v>
      </c>
      <c r="X80" s="88">
        <f t="shared" si="121"/>
        <v>35</v>
      </c>
      <c r="Y80" s="93">
        <f t="shared" si="122"/>
        <v>177</v>
      </c>
      <c r="Z80" s="91">
        <f t="shared" si="122"/>
        <v>32500</v>
      </c>
      <c r="AA80" s="91">
        <f>K80</f>
        <v>0</v>
      </c>
      <c r="AB80" s="91">
        <f t="shared" si="123"/>
        <v>32500</v>
      </c>
      <c r="AC80" s="4">
        <f t="shared" si="123"/>
        <v>0</v>
      </c>
      <c r="AD80" s="92">
        <f t="shared" si="123"/>
        <v>928.57142857142856</v>
      </c>
      <c r="AE80" s="80" t="str">
        <f>S80</f>
        <v>계</v>
      </c>
      <c r="AF80" s="80" t="str">
        <f>Q80&amp;"/"&amp;R80</f>
        <v>3/2</v>
      </c>
      <c r="AH80" s="20" t="str">
        <f t="shared" si="117"/>
        <v>코아루</v>
      </c>
      <c r="AI80" s="88">
        <f t="shared" si="115"/>
        <v>35</v>
      </c>
      <c r="AJ80" s="80" t="str">
        <f>IF(AI80="","",$AJ$2)</f>
        <v>A-</v>
      </c>
      <c r="AK80" s="80" t="s">
        <v>13</v>
      </c>
      <c r="AL80" s="80" t="s">
        <v>62</v>
      </c>
      <c r="AM80" s="80" t="s">
        <v>63</v>
      </c>
      <c r="AN80" s="80" t="str">
        <f>IF(AI80="","",$AN$2)</f>
        <v>C</v>
      </c>
      <c r="AO80" s="80" t="str">
        <f>IF(N80="","",IF(N80&gt;=$AO$1/100,"O","X"))</f>
        <v>X</v>
      </c>
      <c r="AP80" s="80" t="str">
        <f>IF(I80="","",IF(I80&lt;=$AP$1,"O","X"))</f>
        <v>O</v>
      </c>
      <c r="AQ80" s="80" t="str">
        <f>IF(O80="","",IF(O80&lt;=$AQ$1,"O","X"))</f>
        <v>O</v>
      </c>
      <c r="AR80" s="80" t="str">
        <f>IF(M80="","",IF(M80&lt;=$AR$1,"O","X"))</f>
        <v>X</v>
      </c>
      <c r="AS80" s="80" t="s">
        <v>2</v>
      </c>
      <c r="AT80" s="80" t="str">
        <f>IF(OR(F80="",AI80=""),"",IF(AND((F80&lt;=85),(AI80&gt;=15)),"O","X"))</f>
        <v>O</v>
      </c>
      <c r="AU80" s="80" t="str">
        <f>IF(C80="","",IF(C80&gt;=$AU$1,"O","X"))</f>
        <v>O</v>
      </c>
      <c r="AV80" s="80" t="str">
        <f>IF(AO80="","",IF(AND(AO80="O",AP80="O",AR80="O",AT80="O",AU80="O"),"후보","X"))</f>
        <v>X</v>
      </c>
    </row>
    <row r="81" spans="1:48" x14ac:dyDescent="0.3">
      <c r="A81" s="9" t="s">
        <v>540</v>
      </c>
      <c r="B81" s="10" t="s">
        <v>925</v>
      </c>
      <c r="C81" s="89">
        <v>948</v>
      </c>
      <c r="D81" s="87">
        <v>156.69999999999999</v>
      </c>
      <c r="E81" s="88">
        <v>47</v>
      </c>
      <c r="F81" s="87">
        <v>127.9</v>
      </c>
      <c r="G81" s="17">
        <v>39</v>
      </c>
      <c r="H81" s="89">
        <v>142</v>
      </c>
      <c r="I81" s="90">
        <v>39000</v>
      </c>
      <c r="J81" s="90" t="s">
        <v>68</v>
      </c>
      <c r="K81" s="90">
        <v>38000</v>
      </c>
      <c r="L81" s="90" t="s">
        <v>77</v>
      </c>
      <c r="M81" s="91">
        <f>I81-K81</f>
        <v>1000</v>
      </c>
      <c r="N81" s="4">
        <f>IF(ISERROR(K81/I81),"",K81/I81)</f>
        <v>0.97435897435897434</v>
      </c>
      <c r="O81" s="92">
        <f>I81/E81</f>
        <v>829.78723404255322</v>
      </c>
      <c r="P81" s="92">
        <f>K81/E81</f>
        <v>808.51063829787233</v>
      </c>
      <c r="Q81" s="80">
        <v>4</v>
      </c>
      <c r="R81" s="80">
        <v>2</v>
      </c>
      <c r="S81" s="80" t="s">
        <v>61</v>
      </c>
      <c r="T81" s="5">
        <v>156</v>
      </c>
      <c r="U81" s="9"/>
      <c r="W81" s="87">
        <f t="shared" si="121"/>
        <v>156.69999999999999</v>
      </c>
      <c r="X81" s="88">
        <f t="shared" si="121"/>
        <v>47</v>
      </c>
      <c r="Y81" s="93">
        <f t="shared" si="122"/>
        <v>142</v>
      </c>
      <c r="Z81" s="91">
        <f t="shared" si="122"/>
        <v>39000</v>
      </c>
      <c r="AA81" s="91">
        <f>K81</f>
        <v>38000</v>
      </c>
      <c r="AB81" s="91">
        <f t="shared" si="123"/>
        <v>1000</v>
      </c>
      <c r="AC81" s="4">
        <f t="shared" si="123"/>
        <v>0.97435897435897434</v>
      </c>
      <c r="AD81" s="92">
        <f t="shared" si="123"/>
        <v>829.78723404255322</v>
      </c>
      <c r="AE81" s="80" t="str">
        <f>S81</f>
        <v>계</v>
      </c>
      <c r="AF81" s="80" t="str">
        <f>Q81&amp;"/"&amp;R81</f>
        <v>4/2</v>
      </c>
      <c r="AH81" s="20" t="str">
        <f t="shared" si="117"/>
        <v>코아루</v>
      </c>
      <c r="AI81" s="88">
        <f t="shared" si="115"/>
        <v>47</v>
      </c>
      <c r="AJ81" s="80" t="str">
        <f>IF(AI81="","",$AJ$2)</f>
        <v>A-</v>
      </c>
      <c r="AK81" s="80" t="s">
        <v>13</v>
      </c>
      <c r="AL81" s="80" t="s">
        <v>62</v>
      </c>
      <c r="AM81" s="80" t="s">
        <v>63</v>
      </c>
      <c r="AN81" s="80" t="str">
        <f>IF(AI81="","",$AN$2)</f>
        <v>C</v>
      </c>
      <c r="AO81" s="80" t="str">
        <f>IF(N81="","",IF(N81&gt;=$AO$1/100,"O","X"))</f>
        <v>O</v>
      </c>
      <c r="AP81" s="80" t="str">
        <f>IF(I81="","",IF(I81&lt;=$AP$1,"O","X"))</f>
        <v>O</v>
      </c>
      <c r="AQ81" s="80" t="str">
        <f>IF(O81="","",IF(O81&lt;=$AQ$1,"O","X"))</f>
        <v>O</v>
      </c>
      <c r="AR81" s="80" t="str">
        <f>IF(M81="","",IF(M81&lt;=$AR$1,"O","X"))</f>
        <v>O</v>
      </c>
      <c r="AS81" s="80" t="s">
        <v>2</v>
      </c>
      <c r="AT81" s="80" t="str">
        <f>IF(OR(F81="",AI81=""),"",IF(AND((F81&lt;=85),(AI81&gt;=15)),"O","X"))</f>
        <v>X</v>
      </c>
      <c r="AU81" s="80" t="str">
        <f>IF(C81="","",IF(C81&gt;=$AU$1,"O","X"))</f>
        <v>O</v>
      </c>
      <c r="AV81" s="80" t="str">
        <f>IF(AO81="","",IF(AND(AO81="O",AP81="O",AR81="O",AT81="O",AU81="O"),"후보","X"))</f>
        <v>X</v>
      </c>
    </row>
    <row r="82" spans="1:48" x14ac:dyDescent="0.3">
      <c r="A82" s="9"/>
      <c r="B82" s="80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8" t="str">
        <f>$A$4&amp;" "&amp;A83&amp;"("&amp;B83&amp;","&amp;C83&amp;"^)"</f>
        <v>오창읍 우림필유1차('06.05.,1120^)</v>
      </c>
      <c r="X82" s="69"/>
      <c r="Y82" s="69"/>
      <c r="Z82" s="69"/>
      <c r="AA82" s="69"/>
      <c r="AB82" s="69"/>
      <c r="AC82" s="69"/>
      <c r="AD82" s="69"/>
      <c r="AE82" s="69"/>
      <c r="AF82" s="70"/>
      <c r="AH82" s="20" t="str">
        <f t="shared" si="117"/>
        <v/>
      </c>
      <c r="AI82" s="112" t="str">
        <f t="shared" si="115"/>
        <v/>
      </c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</row>
    <row r="83" spans="1:48" x14ac:dyDescent="0.3">
      <c r="A83" s="9" t="s">
        <v>561</v>
      </c>
      <c r="B83" s="10" t="s">
        <v>915</v>
      </c>
      <c r="C83" s="89">
        <v>1120</v>
      </c>
      <c r="D83" s="87">
        <v>84.7</v>
      </c>
      <c r="E83" s="88">
        <v>26</v>
      </c>
      <c r="F83" s="87">
        <v>59.9</v>
      </c>
      <c r="G83" s="17">
        <v>18</v>
      </c>
      <c r="H83" s="89">
        <v>284</v>
      </c>
      <c r="I83" s="90">
        <v>23500</v>
      </c>
      <c r="J83" s="90" t="s">
        <v>70</v>
      </c>
      <c r="K83" s="90">
        <v>23000</v>
      </c>
      <c r="L83" s="90" t="s">
        <v>67</v>
      </c>
      <c r="M83" s="91">
        <f>I83-K83</f>
        <v>500</v>
      </c>
      <c r="N83" s="4">
        <f>IF(ISERROR(K83/I83),"",K83/I83)</f>
        <v>0.97872340425531912</v>
      </c>
      <c r="O83" s="92">
        <f>I83/E83</f>
        <v>903.84615384615381</v>
      </c>
      <c r="P83" s="92">
        <f>K83/E83</f>
        <v>884.61538461538464</v>
      </c>
      <c r="Q83" s="80">
        <v>3</v>
      </c>
      <c r="R83" s="80">
        <v>2</v>
      </c>
      <c r="S83" s="80" t="s">
        <v>61</v>
      </c>
      <c r="T83" s="5" t="s">
        <v>83</v>
      </c>
      <c r="U83" s="9"/>
      <c r="W83" s="87">
        <f t="shared" ref="W83:X86" si="124">D83</f>
        <v>84.7</v>
      </c>
      <c r="X83" s="88">
        <f t="shared" si="124"/>
        <v>26</v>
      </c>
      <c r="Y83" s="93">
        <f t="shared" ref="Y83:Z86" si="125">H83</f>
        <v>284</v>
      </c>
      <c r="Z83" s="91">
        <f t="shared" si="125"/>
        <v>23500</v>
      </c>
      <c r="AA83" s="91">
        <f>K83</f>
        <v>23000</v>
      </c>
      <c r="AB83" s="91">
        <f t="shared" ref="AB83:AD86" si="126">M83</f>
        <v>500</v>
      </c>
      <c r="AC83" s="4">
        <f t="shared" si="126"/>
        <v>0.97872340425531912</v>
      </c>
      <c r="AD83" s="92">
        <f t="shared" si="126"/>
        <v>903.84615384615381</v>
      </c>
      <c r="AE83" s="80" t="str">
        <f>S83</f>
        <v>계</v>
      </c>
      <c r="AF83" s="80" t="str">
        <f>Q83&amp;"/"&amp;R83</f>
        <v>3/2</v>
      </c>
      <c r="AH83" s="20" t="str">
        <f t="shared" si="117"/>
        <v>우림필유1차</v>
      </c>
      <c r="AI83" s="88">
        <f t="shared" si="115"/>
        <v>26</v>
      </c>
      <c r="AJ83" s="80" t="str">
        <f>IF(AI83="","",$AJ$2)</f>
        <v>A-</v>
      </c>
      <c r="AK83" s="80" t="s">
        <v>13</v>
      </c>
      <c r="AL83" s="80" t="s">
        <v>62</v>
      </c>
      <c r="AM83" s="80" t="s">
        <v>63</v>
      </c>
      <c r="AN83" s="80" t="str">
        <f>IF(AI83="","",$AN$2)</f>
        <v>C</v>
      </c>
      <c r="AO83" s="80" t="str">
        <f>IF(N83="","",IF(N83&gt;=$AO$1/100,"O","X"))</f>
        <v>O</v>
      </c>
      <c r="AP83" s="80" t="str">
        <f>IF(I83="","",IF(I83&lt;=$AP$1,"O","X"))</f>
        <v>O</v>
      </c>
      <c r="AQ83" s="80" t="str">
        <f>IF(O83="","",IF(O83&lt;=$AQ$1,"O","X"))</f>
        <v>O</v>
      </c>
      <c r="AR83" s="80" t="str">
        <f>IF(M83="","",IF(M83&lt;=$AR$1,"O","X"))</f>
        <v>O</v>
      </c>
      <c r="AS83" s="80" t="s">
        <v>2</v>
      </c>
      <c r="AT83" s="80" t="str">
        <f>IF(OR(F83="",AI83=""),"",IF(AND((F83&lt;=85),(AI83&gt;=15)),"O","X"))</f>
        <v>O</v>
      </c>
      <c r="AU83" s="80" t="str">
        <f>IF(C83="","",IF(C83&gt;=$AU$1,"O","X"))</f>
        <v>O</v>
      </c>
      <c r="AV83" s="80" t="str">
        <f>IF(AO83="","",IF(AND(AO83="O",AP83="O",AR83="O",AT83="O",AU83="O"),"후보","X"))</f>
        <v>후보</v>
      </c>
    </row>
    <row r="84" spans="1:48" x14ac:dyDescent="0.3">
      <c r="A84" s="9" t="s">
        <v>561</v>
      </c>
      <c r="B84" s="10" t="s">
        <v>915</v>
      </c>
      <c r="C84" s="89">
        <v>1120</v>
      </c>
      <c r="D84" s="87">
        <v>85.1</v>
      </c>
      <c r="E84" s="88">
        <v>26</v>
      </c>
      <c r="F84" s="87">
        <v>59.9</v>
      </c>
      <c r="G84" s="17">
        <v>18</v>
      </c>
      <c r="H84" s="89">
        <v>36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80">
        <v>3</v>
      </c>
      <c r="R84" s="80">
        <v>2</v>
      </c>
      <c r="S84" s="80" t="s">
        <v>61</v>
      </c>
      <c r="T84" s="5" t="s">
        <v>508</v>
      </c>
      <c r="U84" s="9"/>
      <c r="W84" s="87">
        <f t="shared" si="124"/>
        <v>85.1</v>
      </c>
      <c r="X84" s="88">
        <f t="shared" si="124"/>
        <v>26</v>
      </c>
      <c r="Y84" s="93">
        <f t="shared" si="125"/>
        <v>36</v>
      </c>
      <c r="Z84" s="91">
        <f t="shared" si="125"/>
        <v>0</v>
      </c>
      <c r="AA84" s="91">
        <f>K84</f>
        <v>0</v>
      </c>
      <c r="AB84" s="91">
        <f t="shared" si="126"/>
        <v>0</v>
      </c>
      <c r="AC84" s="4" t="str">
        <f t="shared" si="126"/>
        <v/>
      </c>
      <c r="AD84" s="92">
        <f t="shared" si="126"/>
        <v>0</v>
      </c>
      <c r="AE84" s="80" t="str">
        <f>S84</f>
        <v>계</v>
      </c>
      <c r="AF84" s="80" t="str">
        <f>Q84&amp;"/"&amp;R84</f>
        <v>3/2</v>
      </c>
      <c r="AH84" s="20" t="str">
        <f t="shared" si="117"/>
        <v>우림필유1차</v>
      </c>
      <c r="AI84" s="88">
        <f t="shared" si="115"/>
        <v>26</v>
      </c>
      <c r="AJ84" s="80" t="str">
        <f>IF(AI84="","",$AJ$2)</f>
        <v>A-</v>
      </c>
      <c r="AK84" s="80" t="s">
        <v>13</v>
      </c>
      <c r="AL84" s="80" t="s">
        <v>62</v>
      </c>
      <c r="AM84" s="80" t="s">
        <v>63</v>
      </c>
      <c r="AN84" s="80" t="str">
        <f>IF(AI84="","",$AN$2)</f>
        <v>C</v>
      </c>
      <c r="AO84" s="80" t="str">
        <f>IF(N84="","",IF(N84&gt;=$AO$1/100,"O","X"))</f>
        <v/>
      </c>
      <c r="AP84" s="80" t="str">
        <f>IF(I84="","",IF(I84&lt;=$AP$1,"O","X"))</f>
        <v/>
      </c>
      <c r="AQ84" s="80" t="str">
        <f>IF(O84="","",IF(O84&lt;=$AQ$1,"O","X"))</f>
        <v>O</v>
      </c>
      <c r="AR84" s="80" t="str">
        <f>IF(M84="","",IF(M84&lt;=$AR$1,"O","X"))</f>
        <v>O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/>
      </c>
    </row>
    <row r="85" spans="1:48" x14ac:dyDescent="0.3">
      <c r="A85" s="9" t="s">
        <v>561</v>
      </c>
      <c r="B85" s="10" t="s">
        <v>915</v>
      </c>
      <c r="C85" s="89">
        <v>1120</v>
      </c>
      <c r="D85" s="87">
        <v>113.2</v>
      </c>
      <c r="E85" s="88">
        <v>34</v>
      </c>
      <c r="F85" s="87">
        <v>84.9</v>
      </c>
      <c r="G85" s="17">
        <v>26</v>
      </c>
      <c r="H85" s="89">
        <v>552</v>
      </c>
      <c r="I85" s="90">
        <v>31000</v>
      </c>
      <c r="J85" s="90" t="s">
        <v>66</v>
      </c>
      <c r="K85" s="90">
        <v>28000</v>
      </c>
      <c r="L85" s="90" t="s">
        <v>66</v>
      </c>
      <c r="M85" s="91">
        <f>I85-K85</f>
        <v>3000</v>
      </c>
      <c r="N85" s="4">
        <f>IF(ISERROR(K85/I85),"",K85/I85)</f>
        <v>0.90322580645161288</v>
      </c>
      <c r="O85" s="92">
        <f>I85/E85</f>
        <v>911.76470588235293</v>
      </c>
      <c r="P85" s="92">
        <f>K85/E85</f>
        <v>823.52941176470586</v>
      </c>
      <c r="Q85" s="80">
        <v>3</v>
      </c>
      <c r="R85" s="80">
        <v>2</v>
      </c>
      <c r="S85" s="80" t="s">
        <v>61</v>
      </c>
      <c r="T85" s="5">
        <v>113</v>
      </c>
      <c r="U85" s="9"/>
      <c r="W85" s="87">
        <f t="shared" si="124"/>
        <v>113.2</v>
      </c>
      <c r="X85" s="88">
        <f t="shared" si="124"/>
        <v>34</v>
      </c>
      <c r="Y85" s="93">
        <f t="shared" si="125"/>
        <v>552</v>
      </c>
      <c r="Z85" s="91">
        <f t="shared" si="125"/>
        <v>31000</v>
      </c>
      <c r="AA85" s="91">
        <f>K85</f>
        <v>28000</v>
      </c>
      <c r="AB85" s="91">
        <f t="shared" si="126"/>
        <v>3000</v>
      </c>
      <c r="AC85" s="4">
        <f t="shared" si="126"/>
        <v>0.90322580645161288</v>
      </c>
      <c r="AD85" s="92">
        <f t="shared" si="126"/>
        <v>911.76470588235293</v>
      </c>
      <c r="AE85" s="80" t="str">
        <f>S85</f>
        <v>계</v>
      </c>
      <c r="AF85" s="80" t="str">
        <f>Q85&amp;"/"&amp;R85</f>
        <v>3/2</v>
      </c>
      <c r="AH85" s="20" t="str">
        <f t="shared" si="117"/>
        <v>우림필유1차</v>
      </c>
      <c r="AI85" s="88">
        <f t="shared" si="115"/>
        <v>34</v>
      </c>
      <c r="AJ85" s="80" t="str">
        <f>IF(AI85="","",$AJ$2)</f>
        <v>A-</v>
      </c>
      <c r="AK85" s="80" t="s">
        <v>13</v>
      </c>
      <c r="AL85" s="80" t="s">
        <v>62</v>
      </c>
      <c r="AM85" s="80" t="s">
        <v>63</v>
      </c>
      <c r="AN85" s="80" t="str">
        <f>IF(AI85="","",$AN$2)</f>
        <v>C</v>
      </c>
      <c r="AO85" s="80" t="str">
        <f>IF(N85="","",IF(N85&gt;=$AO$1/100,"O","X"))</f>
        <v>O</v>
      </c>
      <c r="AP85" s="80" t="str">
        <f>IF(I85="","",IF(I85&lt;=$AP$1,"O","X"))</f>
        <v>O</v>
      </c>
      <c r="AQ85" s="80" t="str">
        <f>IF(O85="","",IF(O85&lt;=$AQ$1,"O","X"))</f>
        <v>O</v>
      </c>
      <c r="AR85" s="80" t="str">
        <f>IF(M85="","",IF(M85&lt;=$AR$1,"O","X"))</f>
        <v>O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>후보</v>
      </c>
    </row>
    <row r="86" spans="1:48" x14ac:dyDescent="0.3">
      <c r="A86" s="9" t="s">
        <v>561</v>
      </c>
      <c r="B86" s="10" t="s">
        <v>915</v>
      </c>
      <c r="C86" s="89">
        <v>1120</v>
      </c>
      <c r="D86" s="87">
        <v>151</v>
      </c>
      <c r="E86" s="88">
        <v>46</v>
      </c>
      <c r="F86" s="87">
        <v>120.1</v>
      </c>
      <c r="G86" s="17">
        <v>36</v>
      </c>
      <c r="H86" s="89">
        <v>248</v>
      </c>
      <c r="I86" s="90">
        <v>40000</v>
      </c>
      <c r="J86" s="90" t="s">
        <v>80</v>
      </c>
      <c r="K86" s="90">
        <v>40000</v>
      </c>
      <c r="L86" s="90" t="s">
        <v>86</v>
      </c>
      <c r="M86" s="91">
        <f>I86-K86</f>
        <v>0</v>
      </c>
      <c r="N86" s="4">
        <f>IF(ISERROR(K86/I86),"",K86/I86)</f>
        <v>1</v>
      </c>
      <c r="O86" s="92">
        <f>I86/E86</f>
        <v>869.56521739130437</v>
      </c>
      <c r="P86" s="92">
        <f>K86/E86</f>
        <v>869.56521739130437</v>
      </c>
      <c r="Q86" s="80">
        <v>4</v>
      </c>
      <c r="R86" s="80">
        <v>2</v>
      </c>
      <c r="S86" s="80" t="s">
        <v>61</v>
      </c>
      <c r="T86" s="5">
        <v>150</v>
      </c>
      <c r="U86" s="9"/>
      <c r="W86" s="87">
        <f t="shared" si="124"/>
        <v>151</v>
      </c>
      <c r="X86" s="88">
        <f t="shared" si="124"/>
        <v>46</v>
      </c>
      <c r="Y86" s="93">
        <f t="shared" si="125"/>
        <v>248</v>
      </c>
      <c r="Z86" s="91">
        <f t="shared" si="125"/>
        <v>40000</v>
      </c>
      <c r="AA86" s="91">
        <f>K86</f>
        <v>40000</v>
      </c>
      <c r="AB86" s="91">
        <f t="shared" si="126"/>
        <v>0</v>
      </c>
      <c r="AC86" s="4">
        <f t="shared" si="126"/>
        <v>1</v>
      </c>
      <c r="AD86" s="92">
        <f t="shared" si="126"/>
        <v>869.56521739130437</v>
      </c>
      <c r="AE86" s="80" t="str">
        <f>S86</f>
        <v>계</v>
      </c>
      <c r="AF86" s="80" t="str">
        <f>Q86&amp;"/"&amp;R86</f>
        <v>4/2</v>
      </c>
      <c r="AH86" s="20" t="str">
        <f t="shared" si="117"/>
        <v>우림필유1차</v>
      </c>
      <c r="AI86" s="88">
        <f t="shared" si="115"/>
        <v>46</v>
      </c>
      <c r="AJ86" s="80" t="str">
        <f>IF(AI86="","",$AJ$2)</f>
        <v>A-</v>
      </c>
      <c r="AK86" s="80" t="s">
        <v>13</v>
      </c>
      <c r="AL86" s="80" t="s">
        <v>62</v>
      </c>
      <c r="AM86" s="80" t="s">
        <v>63</v>
      </c>
      <c r="AN86" s="80" t="str">
        <f>IF(AI86="","",$AN$2)</f>
        <v>C</v>
      </c>
      <c r="AO86" s="80" t="str">
        <f>IF(N86="","",IF(N86&gt;=$AO$1/100,"O","X"))</f>
        <v>O</v>
      </c>
      <c r="AP86" s="80" t="str">
        <f>IF(I86="","",IF(I86&lt;=$AP$1,"O","X"))</f>
        <v>O</v>
      </c>
      <c r="AQ86" s="80" t="str">
        <f>IF(O86="","",IF(O86&lt;=$AQ$1,"O","X"))</f>
        <v>O</v>
      </c>
      <c r="AR86" s="80" t="str">
        <f>IF(M86="","",IF(M86&lt;=$AR$1,"O","X"))</f>
        <v>O</v>
      </c>
      <c r="AS86" s="80" t="s">
        <v>2</v>
      </c>
      <c r="AT86" s="80" t="str">
        <f>IF(OR(F86="",AI86=""),"",IF(AND((F86&lt;=85),(AI86&gt;=15)),"O","X"))</f>
        <v>X</v>
      </c>
      <c r="AU86" s="80" t="str">
        <f>IF(C86="","",IF(C86&gt;=$AU$1,"O","X"))</f>
        <v>O</v>
      </c>
      <c r="AV86" s="80" t="str">
        <f>IF(AO86="","",IF(AND(AO86="O",AP86="O",AR86="O",AT86="O",AU86="O"),"후보","X"))</f>
        <v>X</v>
      </c>
    </row>
    <row r="87" spans="1:48" x14ac:dyDescent="0.3">
      <c r="A87" s="9"/>
      <c r="B87" s="80"/>
      <c r="C87" s="6"/>
      <c r="D87" s="9"/>
      <c r="E87" s="14"/>
      <c r="F87" s="87"/>
      <c r="G87" s="9"/>
      <c r="H87" s="9"/>
      <c r="I87" s="9"/>
      <c r="J87" s="9"/>
      <c r="K87" s="9"/>
      <c r="L87" s="9"/>
      <c r="M87" s="9"/>
      <c r="N87" s="9"/>
      <c r="O87" s="92"/>
      <c r="P87" s="92"/>
      <c r="Q87" s="88"/>
      <c r="R87" s="88"/>
      <c r="S87" s="9"/>
      <c r="T87" s="47"/>
      <c r="U87" s="9"/>
      <c r="W87" s="68" t="str">
        <f>$A$4&amp;" "&amp;A88&amp;"("&amp;B88&amp;","&amp;C88&amp;"^)"</f>
        <v>오창읍 덕성그린('98.08.,210^)</v>
      </c>
      <c r="X87" s="69"/>
      <c r="Y87" s="69"/>
      <c r="Z87" s="69"/>
      <c r="AA87" s="69"/>
      <c r="AB87" s="69"/>
      <c r="AC87" s="69"/>
      <c r="AD87" s="69"/>
      <c r="AE87" s="69"/>
      <c r="AF87" s="70"/>
      <c r="AH87" s="20" t="str">
        <f t="shared" si="117"/>
        <v/>
      </c>
      <c r="AI87" s="112" t="str">
        <f t="shared" si="115"/>
        <v/>
      </c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</row>
    <row r="88" spans="1:48" x14ac:dyDescent="0.3">
      <c r="A88" s="9" t="s">
        <v>384</v>
      </c>
      <c r="B88" s="10" t="s">
        <v>926</v>
      </c>
      <c r="C88" s="89">
        <v>210</v>
      </c>
      <c r="D88" s="87">
        <v>74.599999999999994</v>
      </c>
      <c r="E88" s="88">
        <v>23</v>
      </c>
      <c r="F88" s="87">
        <v>60</v>
      </c>
      <c r="G88" s="17">
        <v>18</v>
      </c>
      <c r="H88" s="89">
        <v>210</v>
      </c>
      <c r="I88" s="90"/>
      <c r="J88" s="90"/>
      <c r="K88" s="90"/>
      <c r="L88" s="90"/>
      <c r="M88" s="91">
        <f>I88-K88</f>
        <v>0</v>
      </c>
      <c r="N88" s="4" t="str">
        <f>IF(ISERROR(K88/I88),"",K88/I88)</f>
        <v/>
      </c>
      <c r="O88" s="92">
        <f>I88/E88</f>
        <v>0</v>
      </c>
      <c r="P88" s="92">
        <f>K88/E88</f>
        <v>0</v>
      </c>
      <c r="Q88" s="80">
        <v>3</v>
      </c>
      <c r="R88" s="80">
        <v>1</v>
      </c>
      <c r="S88" s="80" t="s">
        <v>61</v>
      </c>
      <c r="T88" s="5">
        <v>74</v>
      </c>
      <c r="U88" s="9"/>
      <c r="W88" s="87">
        <f>D88</f>
        <v>74.599999999999994</v>
      </c>
      <c r="X88" s="88">
        <f>E88</f>
        <v>23</v>
      </c>
      <c r="Y88" s="93">
        <f>H88</f>
        <v>210</v>
      </c>
      <c r="Z88" s="91">
        <f>I88</f>
        <v>0</v>
      </c>
      <c r="AA88" s="91">
        <f>K88</f>
        <v>0</v>
      </c>
      <c r="AB88" s="91">
        <f>M88</f>
        <v>0</v>
      </c>
      <c r="AC88" s="4" t="str">
        <f>N88</f>
        <v/>
      </c>
      <c r="AD88" s="92">
        <f>O88</f>
        <v>0</v>
      </c>
      <c r="AE88" s="80" t="str">
        <f>S88</f>
        <v>계</v>
      </c>
      <c r="AF88" s="80" t="str">
        <f>Q88&amp;"/"&amp;R88</f>
        <v>3/1</v>
      </c>
      <c r="AH88" s="20" t="str">
        <f t="shared" si="117"/>
        <v>덕성그린</v>
      </c>
      <c r="AI88" s="88">
        <f t="shared" si="115"/>
        <v>23</v>
      </c>
      <c r="AJ88" s="80" t="str">
        <f>IF(AI88="","",$AJ$2)</f>
        <v>A-</v>
      </c>
      <c r="AK88" s="80" t="s">
        <v>13</v>
      </c>
      <c r="AL88" s="80" t="s">
        <v>62</v>
      </c>
      <c r="AM88" s="80" t="s">
        <v>63</v>
      </c>
      <c r="AN88" s="80" t="str">
        <f>IF(AI88="","",$AN$2)</f>
        <v>C</v>
      </c>
      <c r="AO88" s="80" t="str">
        <f>IF(N88="","",IF(N88&gt;=$AO$1/100,"O","X"))</f>
        <v/>
      </c>
      <c r="AP88" s="80" t="str">
        <f>IF(I88="","",IF(I88&lt;=$AP$1,"O","X"))</f>
        <v/>
      </c>
      <c r="AQ88" s="80" t="str">
        <f>IF(O88="","",IF(O88&lt;=$AQ$1,"O","X"))</f>
        <v>O</v>
      </c>
      <c r="AR88" s="80" t="str">
        <f>IF(M88="","",IF(M88&lt;=$AR$1,"O","X"))</f>
        <v>O</v>
      </c>
      <c r="AS88" s="80" t="s">
        <v>2</v>
      </c>
      <c r="AT88" s="80" t="str">
        <f>IF(OR(F88="",AI88=""),"",IF(AND((F88&lt;=85),(AI88&gt;=15)),"O","X"))</f>
        <v>O</v>
      </c>
      <c r="AU88" s="80" t="str">
        <f>IF(C88="","",IF(C88&gt;=$AU$1,"O","X"))</f>
        <v>X</v>
      </c>
      <c r="AV88" s="80" t="str">
        <f>IF(AO88="","",IF(AND(AO88="O",AP88="O",AR88="O",AT88="O",AU88="O"),"후보","X"))</f>
        <v/>
      </c>
    </row>
  </sheetData>
  <mergeCells count="1">
    <mergeCell ref="AJ1:AN1"/>
  </mergeCells>
  <phoneticPr fontId="2" type="noConversion"/>
  <conditionalFormatting sqref="AV4:AV6">
    <cfRule type="expression" dxfId="3065" priority="1368">
      <formula>AV4="X"</formula>
    </cfRule>
    <cfRule type="expression" dxfId="3064" priority="1369">
      <formula>AV4="후보"</formula>
    </cfRule>
  </conditionalFormatting>
  <conditionalFormatting sqref="AC1:AC2 AC4:AC6 N4:N5">
    <cfRule type="cellIs" dxfId="3063" priority="1365" operator="greaterThan">
      <formula>0.9</formula>
    </cfRule>
    <cfRule type="cellIs" dxfId="3062" priority="1366" operator="greaterThan">
      <formula>0.85</formula>
    </cfRule>
  </conditionalFormatting>
  <conditionalFormatting sqref="N1:N2">
    <cfRule type="cellIs" dxfId="3061" priority="1363" operator="greaterThan">
      <formula>0.9</formula>
    </cfRule>
    <cfRule type="cellIs" dxfId="3060" priority="1364" operator="greaterThan">
      <formula>0.85</formula>
    </cfRule>
  </conditionalFormatting>
  <conditionalFormatting sqref="N6">
    <cfRule type="cellIs" dxfId="3059" priority="1361" operator="greaterThan">
      <formula>0.9</formula>
    </cfRule>
    <cfRule type="cellIs" dxfId="3058" priority="1362" operator="greaterThan">
      <formula>0.85</formula>
    </cfRule>
  </conditionalFormatting>
  <conditionalFormatting sqref="E6">
    <cfRule type="expression" dxfId="3057" priority="1357">
      <formula>AND(IF(OR($Q6=1,$Q6=2),1,0),IF($X6&lt;=20,1,0))</formula>
    </cfRule>
    <cfRule type="expression" dxfId="3056" priority="1358">
      <formula>AND(IF($Q6=2,1,0),IF($X6&lt;30,1,0))</formula>
    </cfRule>
    <cfRule type="expression" dxfId="3055" priority="1359">
      <formula>AND(IF($Q6=3,1,0),IF($X6&lt;30,1,0))</formula>
    </cfRule>
    <cfRule type="expression" dxfId="3054" priority="1360">
      <formula>AND(IF($Q6=3,1,IF($Q6=4,1,0)),IF($F6&lt;=85,1,0))</formula>
    </cfRule>
  </conditionalFormatting>
  <conditionalFormatting sqref="X6">
    <cfRule type="expression" dxfId="3053" priority="1353">
      <formula>AND(IF(OR($Q6=1,$Q6=2),1,0),IF($X6&lt;=20,1,0))</formula>
    </cfRule>
    <cfRule type="expression" dxfId="3052" priority="1354">
      <formula>AND(IF($Q6=2,1,0),IF($X6&lt;30,1,0))</formula>
    </cfRule>
    <cfRule type="expression" dxfId="3051" priority="1355">
      <formula>AND(IF($Q6=3,1,0),IF($X6&lt;30,1,0))</formula>
    </cfRule>
    <cfRule type="expression" dxfId="3050" priority="1356">
      <formula>AND(IF($Q6=3,1,IF($Q6=4,1,0)),IF($F6&lt;=85,1,0))</formula>
    </cfRule>
  </conditionalFormatting>
  <conditionalFormatting sqref="AI6">
    <cfRule type="expression" dxfId="3049" priority="1349">
      <formula>AND(IF(OR($Q6=1,$Q6=2),1,0),IF($X6&lt;=20,1,0))</formula>
    </cfRule>
    <cfRule type="expression" dxfId="3048" priority="1350">
      <formula>AND(IF($Q6=2,1,0),IF($X6&lt;30,1,0))</formula>
    </cfRule>
    <cfRule type="expression" dxfId="3047" priority="1351">
      <formula>AND(IF($Q6=3,1,0),IF($X6&lt;30,1,0))</formula>
    </cfRule>
    <cfRule type="expression" dxfId="3046" priority="1352">
      <formula>AND(IF($Q6=3,1,IF($Q6=4,1,0)),IF($F6&lt;=85,1,0))</formula>
    </cfRule>
  </conditionalFormatting>
  <conditionalFormatting sqref="AV7">
    <cfRule type="expression" dxfId="3045" priority="1347">
      <formula>AV7="X"</formula>
    </cfRule>
    <cfRule type="expression" dxfId="3044" priority="1348">
      <formula>AV7="후보"</formula>
    </cfRule>
  </conditionalFormatting>
  <conditionalFormatting sqref="AC7">
    <cfRule type="cellIs" dxfId="3043" priority="1344" operator="greaterThan">
      <formula>0.9</formula>
    </cfRule>
    <cfRule type="cellIs" dxfId="3042" priority="1345" operator="greaterThan">
      <formula>0.85</formula>
    </cfRule>
  </conditionalFormatting>
  <conditionalFormatting sqref="N7">
    <cfRule type="cellIs" dxfId="3041" priority="1342" operator="greaterThan">
      <formula>0.9</formula>
    </cfRule>
    <cfRule type="cellIs" dxfId="3040" priority="1343" operator="greaterThan">
      <formula>0.85</formula>
    </cfRule>
  </conditionalFormatting>
  <conditionalFormatting sqref="E7">
    <cfRule type="expression" dxfId="3039" priority="1338">
      <formula>AND(IF(OR($Q7=1,$Q7=2),1,0),IF($X7&lt;=20,1,0))</formula>
    </cfRule>
    <cfRule type="expression" dxfId="3038" priority="1339">
      <formula>AND(IF($Q7=2,1,0),IF($X7&lt;30,1,0))</formula>
    </cfRule>
    <cfRule type="expression" dxfId="3037" priority="1340">
      <formula>AND(IF($Q7=3,1,0),IF($X7&lt;30,1,0))</formula>
    </cfRule>
    <cfRule type="expression" dxfId="3036" priority="1341">
      <formula>AND(IF($Q7=3,1,IF($Q7=4,1,0)),IF($F7&lt;=85,1,0))</formula>
    </cfRule>
  </conditionalFormatting>
  <conditionalFormatting sqref="X7">
    <cfRule type="expression" dxfId="3035" priority="1334">
      <formula>AND(IF(OR($Q7=1,$Q7=2),1,0),IF($X7&lt;=20,1,0))</formula>
    </cfRule>
    <cfRule type="expression" dxfId="3034" priority="1335">
      <formula>AND(IF($Q7=2,1,0),IF($X7&lt;30,1,0))</formula>
    </cfRule>
    <cfRule type="expression" dxfId="3033" priority="1336">
      <formula>AND(IF($Q7=3,1,0),IF($X7&lt;30,1,0))</formula>
    </cfRule>
    <cfRule type="expression" dxfId="3032" priority="1337">
      <formula>AND(IF($Q7=3,1,IF($Q7=4,1,0)),IF($F7&lt;=85,1,0))</formula>
    </cfRule>
  </conditionalFormatting>
  <conditionalFormatting sqref="AI7">
    <cfRule type="expression" dxfId="3031" priority="1330">
      <formula>AND(IF(OR($Q7=1,$Q7=2),1,0),IF($X7&lt;=20,1,0))</formula>
    </cfRule>
    <cfRule type="expression" dxfId="3030" priority="1331">
      <formula>AND(IF($Q7=2,1,0),IF($X7&lt;30,1,0))</formula>
    </cfRule>
    <cfRule type="expression" dxfId="3029" priority="1332">
      <formula>AND(IF($Q7=3,1,0),IF($X7&lt;30,1,0))</formula>
    </cfRule>
    <cfRule type="expression" dxfId="3028" priority="1333">
      <formula>AND(IF($Q7=3,1,IF($Q7=4,1,0)),IF($F7&lt;=85,1,0))</formula>
    </cfRule>
  </conditionalFormatting>
  <conditionalFormatting sqref="AV8">
    <cfRule type="expression" dxfId="3027" priority="1328">
      <formula>AV8="X"</formula>
    </cfRule>
    <cfRule type="expression" dxfId="3026" priority="1329">
      <formula>AV8="후보"</formula>
    </cfRule>
  </conditionalFormatting>
  <conditionalFormatting sqref="AC8">
    <cfRule type="cellIs" dxfId="3025" priority="1325" operator="greaterThan">
      <formula>0.9</formula>
    </cfRule>
    <cfRule type="cellIs" dxfId="3024" priority="1326" operator="greaterThan">
      <formula>0.85</formula>
    </cfRule>
  </conditionalFormatting>
  <conditionalFormatting sqref="N8">
    <cfRule type="cellIs" dxfId="3023" priority="1323" operator="greaterThan">
      <formula>0.9</formula>
    </cfRule>
    <cfRule type="cellIs" dxfId="3022" priority="1324" operator="greaterThan">
      <formula>0.85</formula>
    </cfRule>
  </conditionalFormatting>
  <conditionalFormatting sqref="E8">
    <cfRule type="expression" dxfId="3021" priority="1319">
      <formula>AND(IF(OR($Q8=1,$Q8=2),1,0),IF($X8&lt;=20,1,0))</formula>
    </cfRule>
    <cfRule type="expression" dxfId="3020" priority="1320">
      <formula>AND(IF($Q8=2,1,0),IF($X8&lt;30,1,0))</formula>
    </cfRule>
    <cfRule type="expression" dxfId="3019" priority="1321">
      <formula>AND(IF($Q8=3,1,0),IF($X8&lt;30,1,0))</formula>
    </cfRule>
    <cfRule type="expression" dxfId="3018" priority="1322">
      <formula>AND(IF($Q8=3,1,IF($Q8=4,1,0)),IF($F8&lt;=85,1,0))</formula>
    </cfRule>
  </conditionalFormatting>
  <conditionalFormatting sqref="X8">
    <cfRule type="expression" dxfId="3017" priority="1315">
      <formula>AND(IF(OR($Q8=1,$Q8=2),1,0),IF($X8&lt;=20,1,0))</formula>
    </cfRule>
    <cfRule type="expression" dxfId="3016" priority="1316">
      <formula>AND(IF($Q8=2,1,0),IF($X8&lt;30,1,0))</formula>
    </cfRule>
    <cfRule type="expression" dxfId="3015" priority="1317">
      <formula>AND(IF($Q8=3,1,0),IF($X8&lt;30,1,0))</formula>
    </cfRule>
    <cfRule type="expression" dxfId="3014" priority="1318">
      <formula>AND(IF($Q8=3,1,IF($Q8=4,1,0)),IF($F8&lt;=85,1,0))</formula>
    </cfRule>
  </conditionalFormatting>
  <conditionalFormatting sqref="AI8">
    <cfRule type="expression" dxfId="3013" priority="1311">
      <formula>AND(IF(OR($Q8=1,$Q8=2),1,0),IF($X8&lt;=20,1,0))</formula>
    </cfRule>
    <cfRule type="expression" dxfId="3012" priority="1312">
      <formula>AND(IF($Q8=2,1,0),IF($X8&lt;30,1,0))</formula>
    </cfRule>
    <cfRule type="expression" dxfId="3011" priority="1313">
      <formula>AND(IF($Q8=3,1,0),IF($X8&lt;30,1,0))</formula>
    </cfRule>
    <cfRule type="expression" dxfId="3010" priority="1314">
      <formula>AND(IF($Q8=3,1,IF($Q8=4,1,0)),IF($F8&lt;=85,1,0))</formula>
    </cfRule>
  </conditionalFormatting>
  <conditionalFormatting sqref="AV9">
    <cfRule type="expression" dxfId="3009" priority="1309">
      <formula>AV9="X"</formula>
    </cfRule>
    <cfRule type="expression" dxfId="3008" priority="1310">
      <formula>AV9="후보"</formula>
    </cfRule>
  </conditionalFormatting>
  <conditionalFormatting sqref="AC9 N9">
    <cfRule type="cellIs" dxfId="3007" priority="1306" operator="greaterThan">
      <formula>0.9</formula>
    </cfRule>
    <cfRule type="cellIs" dxfId="3006" priority="1307" operator="greaterThan">
      <formula>0.85</formula>
    </cfRule>
  </conditionalFormatting>
  <conditionalFormatting sqref="AV10">
    <cfRule type="expression" dxfId="3005" priority="1304">
      <formula>AV10="X"</formula>
    </cfRule>
    <cfRule type="expression" dxfId="3004" priority="1305">
      <formula>AV10="후보"</formula>
    </cfRule>
  </conditionalFormatting>
  <conditionalFormatting sqref="AC10">
    <cfRule type="cellIs" dxfId="3003" priority="1301" operator="greaterThan">
      <formula>0.9</formula>
    </cfRule>
    <cfRule type="cellIs" dxfId="3002" priority="1302" operator="greaterThan">
      <formula>0.85</formula>
    </cfRule>
  </conditionalFormatting>
  <conditionalFormatting sqref="N10">
    <cfRule type="cellIs" dxfId="3001" priority="1299" operator="greaterThan">
      <formula>0.9</formula>
    </cfRule>
    <cfRule type="cellIs" dxfId="3000" priority="1300" operator="greaterThan">
      <formula>0.85</formula>
    </cfRule>
  </conditionalFormatting>
  <conditionalFormatting sqref="E10">
    <cfRule type="expression" dxfId="2999" priority="1295">
      <formula>AND(IF(OR($Q10=1,$Q10=2),1,0),IF($X10&lt;=20,1,0))</formula>
    </cfRule>
    <cfRule type="expression" dxfId="2998" priority="1296">
      <formula>AND(IF($Q10=2,1,0),IF($X10&lt;30,1,0))</formula>
    </cfRule>
    <cfRule type="expression" dxfId="2997" priority="1297">
      <formula>AND(IF($Q10=3,1,0),IF($X10&lt;30,1,0))</formula>
    </cfRule>
    <cfRule type="expression" dxfId="2996" priority="1298">
      <formula>AND(IF($Q10=3,1,IF($Q10=4,1,0)),IF($F10&lt;=85,1,0))</formula>
    </cfRule>
  </conditionalFormatting>
  <conditionalFormatting sqref="X10">
    <cfRule type="expression" dxfId="2995" priority="1291">
      <formula>AND(IF(OR($Q10=1,$Q10=2),1,0),IF($X10&lt;=20,1,0))</formula>
    </cfRule>
    <cfRule type="expression" dxfId="2994" priority="1292">
      <formula>AND(IF($Q10=2,1,0),IF($X10&lt;30,1,0))</formula>
    </cfRule>
    <cfRule type="expression" dxfId="2993" priority="1293">
      <formula>AND(IF($Q10=3,1,0),IF($X10&lt;30,1,0))</formula>
    </cfRule>
    <cfRule type="expression" dxfId="2992" priority="1294">
      <formula>AND(IF($Q10=3,1,IF($Q10=4,1,0)),IF($F10&lt;=85,1,0))</formula>
    </cfRule>
  </conditionalFormatting>
  <conditionalFormatting sqref="AI10">
    <cfRule type="expression" dxfId="2991" priority="1287">
      <formula>AND(IF(OR($Q10=1,$Q10=2),1,0),IF($X10&lt;=20,1,0))</formula>
    </cfRule>
    <cfRule type="expression" dxfId="2990" priority="1288">
      <formula>AND(IF($Q10=2,1,0),IF($X10&lt;30,1,0))</formula>
    </cfRule>
    <cfRule type="expression" dxfId="2989" priority="1289">
      <formula>AND(IF($Q10=3,1,0),IF($X10&lt;30,1,0))</formula>
    </cfRule>
    <cfRule type="expression" dxfId="2988" priority="1290">
      <formula>AND(IF($Q10=3,1,IF($Q10=4,1,0)),IF($F10&lt;=85,1,0))</formula>
    </cfRule>
  </conditionalFormatting>
  <conditionalFormatting sqref="AV11">
    <cfRule type="expression" dxfId="2987" priority="1285">
      <formula>AV11="X"</formula>
    </cfRule>
    <cfRule type="expression" dxfId="2986" priority="1286">
      <formula>AV11="후보"</formula>
    </cfRule>
  </conditionalFormatting>
  <conditionalFormatting sqref="AC11">
    <cfRule type="cellIs" dxfId="2985" priority="1282" operator="greaterThan">
      <formula>0.9</formula>
    </cfRule>
    <cfRule type="cellIs" dxfId="2984" priority="1283" operator="greaterThan">
      <formula>0.85</formula>
    </cfRule>
  </conditionalFormatting>
  <conditionalFormatting sqref="N11">
    <cfRule type="cellIs" dxfId="2983" priority="1280" operator="greaterThan">
      <formula>0.9</formula>
    </cfRule>
    <cfRule type="cellIs" dxfId="2982" priority="1281" operator="greaterThan">
      <formula>0.85</formula>
    </cfRule>
  </conditionalFormatting>
  <conditionalFormatting sqref="E11">
    <cfRule type="expression" dxfId="2981" priority="1276">
      <formula>AND(IF(OR($Q11=1,$Q11=2),1,0),IF($X11&lt;=20,1,0))</formula>
    </cfRule>
    <cfRule type="expression" dxfId="2980" priority="1277">
      <formula>AND(IF($Q11=2,1,0),IF($X11&lt;30,1,0))</formula>
    </cfRule>
    <cfRule type="expression" dxfId="2979" priority="1278">
      <formula>AND(IF($Q11=3,1,0),IF($X11&lt;30,1,0))</formula>
    </cfRule>
    <cfRule type="expression" dxfId="2978" priority="1279">
      <formula>AND(IF($Q11=3,1,IF($Q11=4,1,0)),IF($F11&lt;=85,1,0))</formula>
    </cfRule>
  </conditionalFormatting>
  <conditionalFormatting sqref="X11">
    <cfRule type="expression" dxfId="2977" priority="1272">
      <formula>AND(IF(OR($Q11=1,$Q11=2),1,0),IF($X11&lt;=20,1,0))</formula>
    </cfRule>
    <cfRule type="expression" dxfId="2976" priority="1273">
      <formula>AND(IF($Q11=2,1,0),IF($X11&lt;30,1,0))</formula>
    </cfRule>
    <cfRule type="expression" dxfId="2975" priority="1274">
      <formula>AND(IF($Q11=3,1,0),IF($X11&lt;30,1,0))</formula>
    </cfRule>
    <cfRule type="expression" dxfId="2974" priority="1275">
      <formula>AND(IF($Q11=3,1,IF($Q11=4,1,0)),IF($F11&lt;=85,1,0))</formula>
    </cfRule>
  </conditionalFormatting>
  <conditionalFormatting sqref="AI11">
    <cfRule type="expression" dxfId="2973" priority="1268">
      <formula>AND(IF(OR($Q11=1,$Q11=2),1,0),IF($X11&lt;=20,1,0))</formula>
    </cfRule>
    <cfRule type="expression" dxfId="2972" priority="1269">
      <formula>AND(IF($Q11=2,1,0),IF($X11&lt;30,1,0))</formula>
    </cfRule>
    <cfRule type="expression" dxfId="2971" priority="1270">
      <formula>AND(IF($Q11=3,1,0),IF($X11&lt;30,1,0))</formula>
    </cfRule>
    <cfRule type="expression" dxfId="2970" priority="1271">
      <formula>AND(IF($Q11=3,1,IF($Q11=4,1,0)),IF($F11&lt;=85,1,0))</formula>
    </cfRule>
  </conditionalFormatting>
  <conditionalFormatting sqref="AV12">
    <cfRule type="expression" dxfId="2969" priority="1266">
      <formula>AV12="X"</formula>
    </cfRule>
    <cfRule type="expression" dxfId="2968" priority="1267">
      <formula>AV12="후보"</formula>
    </cfRule>
  </conditionalFormatting>
  <conditionalFormatting sqref="AC12 N12">
    <cfRule type="cellIs" dxfId="2967" priority="1263" operator="greaterThan">
      <formula>0.9</formula>
    </cfRule>
    <cfRule type="cellIs" dxfId="2966" priority="1264" operator="greaterThan">
      <formula>0.85</formula>
    </cfRule>
  </conditionalFormatting>
  <conditionalFormatting sqref="AV13">
    <cfRule type="expression" dxfId="2965" priority="1261">
      <formula>AV13="X"</formula>
    </cfRule>
    <cfRule type="expression" dxfId="2964" priority="1262">
      <formula>AV13="후보"</formula>
    </cfRule>
  </conditionalFormatting>
  <conditionalFormatting sqref="AC13">
    <cfRule type="cellIs" dxfId="2963" priority="1258" operator="greaterThan">
      <formula>0.9</formula>
    </cfRule>
    <cfRule type="cellIs" dxfId="2962" priority="1259" operator="greaterThan">
      <formula>0.85</formula>
    </cfRule>
  </conditionalFormatting>
  <conditionalFormatting sqref="N13">
    <cfRule type="cellIs" dxfId="2961" priority="1256" operator="greaterThan">
      <formula>0.9</formula>
    </cfRule>
    <cfRule type="cellIs" dxfId="2960" priority="1257" operator="greaterThan">
      <formula>0.85</formula>
    </cfRule>
  </conditionalFormatting>
  <conditionalFormatting sqref="E13">
    <cfRule type="expression" dxfId="2959" priority="1252">
      <formula>AND(IF(OR($Q13=1,$Q13=2),1,0),IF($X13&lt;=20,1,0))</formula>
    </cfRule>
    <cfRule type="expression" dxfId="2958" priority="1253">
      <formula>AND(IF($Q13=2,1,0),IF($X13&lt;30,1,0))</formula>
    </cfRule>
    <cfRule type="expression" dxfId="2957" priority="1254">
      <formula>AND(IF($Q13=3,1,0),IF($X13&lt;30,1,0))</formula>
    </cfRule>
    <cfRule type="expression" dxfId="2956" priority="1255">
      <formula>AND(IF($Q13=3,1,IF($Q13=4,1,0)),IF($F13&lt;=85,1,0))</formula>
    </cfRule>
  </conditionalFormatting>
  <conditionalFormatting sqref="X13">
    <cfRule type="expression" dxfId="2955" priority="1248">
      <formula>AND(IF(OR($Q13=1,$Q13=2),1,0),IF($X13&lt;=20,1,0))</formula>
    </cfRule>
    <cfRule type="expression" dxfId="2954" priority="1249">
      <formula>AND(IF($Q13=2,1,0),IF($X13&lt;30,1,0))</formula>
    </cfRule>
    <cfRule type="expression" dxfId="2953" priority="1250">
      <formula>AND(IF($Q13=3,1,0),IF($X13&lt;30,1,0))</formula>
    </cfRule>
    <cfRule type="expression" dxfId="2952" priority="1251">
      <formula>AND(IF($Q13=3,1,IF($Q13=4,1,0)),IF($F13&lt;=85,1,0))</formula>
    </cfRule>
  </conditionalFormatting>
  <conditionalFormatting sqref="AI13">
    <cfRule type="expression" dxfId="2951" priority="1244">
      <formula>AND(IF(OR($Q13=1,$Q13=2),1,0),IF($X13&lt;=20,1,0))</formula>
    </cfRule>
    <cfRule type="expression" dxfId="2950" priority="1245">
      <formula>AND(IF($Q13=2,1,0),IF($X13&lt;30,1,0))</formula>
    </cfRule>
    <cfRule type="expression" dxfId="2949" priority="1246">
      <formula>AND(IF($Q13=3,1,0),IF($X13&lt;30,1,0))</formula>
    </cfRule>
    <cfRule type="expression" dxfId="2948" priority="1247">
      <formula>AND(IF($Q13=3,1,IF($Q13=4,1,0)),IF($F13&lt;=85,1,0))</formula>
    </cfRule>
  </conditionalFormatting>
  <conditionalFormatting sqref="AV14">
    <cfRule type="expression" dxfId="2947" priority="1242">
      <formula>AV14="X"</formula>
    </cfRule>
    <cfRule type="expression" dxfId="2946" priority="1243">
      <formula>AV14="후보"</formula>
    </cfRule>
  </conditionalFormatting>
  <conditionalFormatting sqref="AC14">
    <cfRule type="cellIs" dxfId="2945" priority="1239" operator="greaterThan">
      <formula>0.9</formula>
    </cfRule>
    <cfRule type="cellIs" dxfId="2944" priority="1240" operator="greaterThan">
      <formula>0.85</formula>
    </cfRule>
  </conditionalFormatting>
  <conditionalFormatting sqref="N14">
    <cfRule type="cellIs" dxfId="2943" priority="1237" operator="greaterThan">
      <formula>0.9</formula>
    </cfRule>
    <cfRule type="cellIs" dxfId="2942" priority="1238" operator="greaterThan">
      <formula>0.85</formula>
    </cfRule>
  </conditionalFormatting>
  <conditionalFormatting sqref="E14">
    <cfRule type="expression" dxfId="2941" priority="1233">
      <formula>AND(IF(OR($Q14=1,$Q14=2),1,0),IF($X14&lt;=20,1,0))</formula>
    </cfRule>
    <cfRule type="expression" dxfId="2940" priority="1234">
      <formula>AND(IF($Q14=2,1,0),IF($X14&lt;30,1,0))</formula>
    </cfRule>
    <cfRule type="expression" dxfId="2939" priority="1235">
      <formula>AND(IF($Q14=3,1,0),IF($X14&lt;30,1,0))</formula>
    </cfRule>
    <cfRule type="expression" dxfId="2938" priority="1236">
      <formula>AND(IF($Q14=3,1,IF($Q14=4,1,0)),IF($F14&lt;=85,1,0))</formula>
    </cfRule>
  </conditionalFormatting>
  <conditionalFormatting sqref="X14">
    <cfRule type="expression" dxfId="2937" priority="1229">
      <formula>AND(IF(OR($Q14=1,$Q14=2),1,0),IF($X14&lt;=20,1,0))</formula>
    </cfRule>
    <cfRule type="expression" dxfId="2936" priority="1230">
      <formula>AND(IF($Q14=2,1,0),IF($X14&lt;30,1,0))</formula>
    </cfRule>
    <cfRule type="expression" dxfId="2935" priority="1231">
      <formula>AND(IF($Q14=3,1,0),IF($X14&lt;30,1,0))</formula>
    </cfRule>
    <cfRule type="expression" dxfId="2934" priority="1232">
      <formula>AND(IF($Q14=3,1,IF($Q14=4,1,0)),IF($F14&lt;=85,1,0))</formula>
    </cfRule>
  </conditionalFormatting>
  <conditionalFormatting sqref="AI14">
    <cfRule type="expression" dxfId="2933" priority="1225">
      <formula>AND(IF(OR($Q14=1,$Q14=2),1,0),IF($X14&lt;=20,1,0))</formula>
    </cfRule>
    <cfRule type="expression" dxfId="2932" priority="1226">
      <formula>AND(IF($Q14=2,1,0),IF($X14&lt;30,1,0))</formula>
    </cfRule>
    <cfRule type="expression" dxfId="2931" priority="1227">
      <formula>AND(IF($Q14=3,1,0),IF($X14&lt;30,1,0))</formula>
    </cfRule>
    <cfRule type="expression" dxfId="2930" priority="1228">
      <formula>AND(IF($Q14=3,1,IF($Q14=4,1,0)),IF($F14&lt;=85,1,0))</formula>
    </cfRule>
  </conditionalFormatting>
  <conditionalFormatting sqref="AV15">
    <cfRule type="expression" dxfId="2929" priority="1223">
      <formula>AV15="X"</formula>
    </cfRule>
    <cfRule type="expression" dxfId="2928" priority="1224">
      <formula>AV15="후보"</formula>
    </cfRule>
  </conditionalFormatting>
  <conditionalFormatting sqref="AC15">
    <cfRule type="cellIs" dxfId="2927" priority="1220" operator="greaterThan">
      <formula>0.9</formula>
    </cfRule>
    <cfRule type="cellIs" dxfId="2926" priority="1221" operator="greaterThan">
      <formula>0.85</formula>
    </cfRule>
  </conditionalFormatting>
  <conditionalFormatting sqref="N15">
    <cfRule type="cellIs" dxfId="2925" priority="1218" operator="greaterThan">
      <formula>0.9</formula>
    </cfRule>
    <cfRule type="cellIs" dxfId="2924" priority="1219" operator="greaterThan">
      <formula>0.85</formula>
    </cfRule>
  </conditionalFormatting>
  <conditionalFormatting sqref="E15">
    <cfRule type="expression" dxfId="2923" priority="1214">
      <formula>AND(IF(OR($Q15=1,$Q15=2),1,0),IF($X15&lt;=20,1,0))</formula>
    </cfRule>
    <cfRule type="expression" dxfId="2922" priority="1215">
      <formula>AND(IF($Q15=2,1,0),IF($X15&lt;30,1,0))</formula>
    </cfRule>
    <cfRule type="expression" dxfId="2921" priority="1216">
      <formula>AND(IF($Q15=3,1,0),IF($X15&lt;30,1,0))</formula>
    </cfRule>
    <cfRule type="expression" dxfId="2920" priority="1217">
      <formula>AND(IF($Q15=3,1,IF($Q15=4,1,0)),IF($F15&lt;=85,1,0))</formula>
    </cfRule>
  </conditionalFormatting>
  <conditionalFormatting sqref="X15">
    <cfRule type="expression" dxfId="2919" priority="1210">
      <formula>AND(IF(OR($Q15=1,$Q15=2),1,0),IF($X15&lt;=20,1,0))</formula>
    </cfRule>
    <cfRule type="expression" dxfId="2918" priority="1211">
      <formula>AND(IF($Q15=2,1,0),IF($X15&lt;30,1,0))</formula>
    </cfRule>
    <cfRule type="expression" dxfId="2917" priority="1212">
      <formula>AND(IF($Q15=3,1,0),IF($X15&lt;30,1,0))</formula>
    </cfRule>
    <cfRule type="expression" dxfId="2916" priority="1213">
      <formula>AND(IF($Q15=3,1,IF($Q15=4,1,0)),IF($F15&lt;=85,1,0))</formula>
    </cfRule>
  </conditionalFormatting>
  <conditionalFormatting sqref="AI15">
    <cfRule type="expression" dxfId="2915" priority="1206">
      <formula>AND(IF(OR($Q15=1,$Q15=2),1,0),IF($X15&lt;=20,1,0))</formula>
    </cfRule>
    <cfRule type="expression" dxfId="2914" priority="1207">
      <formula>AND(IF($Q15=2,1,0),IF($X15&lt;30,1,0))</formula>
    </cfRule>
    <cfRule type="expression" dxfId="2913" priority="1208">
      <formula>AND(IF($Q15=3,1,0),IF($X15&lt;30,1,0))</formula>
    </cfRule>
    <cfRule type="expression" dxfId="2912" priority="1209">
      <formula>AND(IF($Q15=3,1,IF($Q15=4,1,0)),IF($F15&lt;=85,1,0))</formula>
    </cfRule>
  </conditionalFormatting>
  <conditionalFormatting sqref="AV16">
    <cfRule type="expression" dxfId="2911" priority="1204">
      <formula>AV16="X"</formula>
    </cfRule>
    <cfRule type="expression" dxfId="2910" priority="1205">
      <formula>AV16="후보"</formula>
    </cfRule>
  </conditionalFormatting>
  <conditionalFormatting sqref="AC16 N16">
    <cfRule type="cellIs" dxfId="2909" priority="1201" operator="greaterThan">
      <formula>0.9</formula>
    </cfRule>
    <cfRule type="cellIs" dxfId="2908" priority="1202" operator="greaterThan">
      <formula>0.85</formula>
    </cfRule>
  </conditionalFormatting>
  <conditionalFormatting sqref="AV17">
    <cfRule type="expression" dxfId="2907" priority="1199">
      <formula>AV17="X"</formula>
    </cfRule>
    <cfRule type="expression" dxfId="2906" priority="1200">
      <formula>AV17="후보"</formula>
    </cfRule>
  </conditionalFormatting>
  <conditionalFormatting sqref="AC17">
    <cfRule type="cellIs" dxfId="2905" priority="1196" operator="greaterThan">
      <formula>0.9</formula>
    </cfRule>
    <cfRule type="cellIs" dxfId="2904" priority="1197" operator="greaterThan">
      <formula>0.85</formula>
    </cfRule>
  </conditionalFormatting>
  <conditionalFormatting sqref="N17">
    <cfRule type="cellIs" dxfId="2903" priority="1194" operator="greaterThan">
      <formula>0.9</formula>
    </cfRule>
    <cfRule type="cellIs" dxfId="2902" priority="1195" operator="greaterThan">
      <formula>0.85</formula>
    </cfRule>
  </conditionalFormatting>
  <conditionalFormatting sqref="E17">
    <cfRule type="expression" dxfId="2901" priority="1190">
      <formula>AND(IF(OR($Q17=1,$Q17=2),1,0),IF($X17&lt;=20,1,0))</formula>
    </cfRule>
    <cfRule type="expression" dxfId="2900" priority="1191">
      <formula>AND(IF($Q17=2,1,0),IF($X17&lt;30,1,0))</formula>
    </cfRule>
    <cfRule type="expression" dxfId="2899" priority="1192">
      <formula>AND(IF($Q17=3,1,0),IF($X17&lt;30,1,0))</formula>
    </cfRule>
    <cfRule type="expression" dxfId="2898" priority="1193">
      <formula>AND(IF($Q17=3,1,IF($Q17=4,1,0)),IF($F17&lt;=85,1,0))</formula>
    </cfRule>
  </conditionalFormatting>
  <conditionalFormatting sqref="X17">
    <cfRule type="expression" dxfId="2897" priority="1186">
      <formula>AND(IF(OR($Q17=1,$Q17=2),1,0),IF($X17&lt;=20,1,0))</formula>
    </cfRule>
    <cfRule type="expression" dxfId="2896" priority="1187">
      <formula>AND(IF($Q17=2,1,0),IF($X17&lt;30,1,0))</formula>
    </cfRule>
    <cfRule type="expression" dxfId="2895" priority="1188">
      <formula>AND(IF($Q17=3,1,0),IF($X17&lt;30,1,0))</formula>
    </cfRule>
    <cfRule type="expression" dxfId="2894" priority="1189">
      <formula>AND(IF($Q17=3,1,IF($Q17=4,1,0)),IF($F17&lt;=85,1,0))</formula>
    </cfRule>
  </conditionalFormatting>
  <conditionalFormatting sqref="AI17">
    <cfRule type="expression" dxfId="2893" priority="1182">
      <formula>AND(IF(OR($Q17=1,$Q17=2),1,0),IF($X17&lt;=20,1,0))</formula>
    </cfRule>
    <cfRule type="expression" dxfId="2892" priority="1183">
      <formula>AND(IF($Q17=2,1,0),IF($X17&lt;30,1,0))</formula>
    </cfRule>
    <cfRule type="expression" dxfId="2891" priority="1184">
      <formula>AND(IF($Q17=3,1,0),IF($X17&lt;30,1,0))</formula>
    </cfRule>
    <cfRule type="expression" dxfId="2890" priority="1185">
      <formula>AND(IF($Q17=3,1,IF($Q17=4,1,0)),IF($F17&lt;=85,1,0))</formula>
    </cfRule>
  </conditionalFormatting>
  <conditionalFormatting sqref="AV18">
    <cfRule type="expression" dxfId="2889" priority="1180">
      <formula>AV18="X"</formula>
    </cfRule>
    <cfRule type="expression" dxfId="2888" priority="1181">
      <formula>AV18="후보"</formula>
    </cfRule>
  </conditionalFormatting>
  <conditionalFormatting sqref="AC18">
    <cfRule type="cellIs" dxfId="2887" priority="1177" operator="greaterThan">
      <formula>0.9</formula>
    </cfRule>
    <cfRule type="cellIs" dxfId="2886" priority="1178" operator="greaterThan">
      <formula>0.85</formula>
    </cfRule>
  </conditionalFormatting>
  <conditionalFormatting sqref="N18">
    <cfRule type="cellIs" dxfId="2885" priority="1175" operator="greaterThan">
      <formula>0.9</formula>
    </cfRule>
    <cfRule type="cellIs" dxfId="2884" priority="1176" operator="greaterThan">
      <formula>0.85</formula>
    </cfRule>
  </conditionalFormatting>
  <conditionalFormatting sqref="E18">
    <cfRule type="expression" dxfId="2883" priority="1171">
      <formula>AND(IF(OR($Q18=1,$Q18=2),1,0),IF($X18&lt;=20,1,0))</formula>
    </cfRule>
    <cfRule type="expression" dxfId="2882" priority="1172">
      <formula>AND(IF($Q18=2,1,0),IF($X18&lt;30,1,0))</formula>
    </cfRule>
    <cfRule type="expression" dxfId="2881" priority="1173">
      <formula>AND(IF($Q18=3,1,0),IF($X18&lt;30,1,0))</formula>
    </cfRule>
    <cfRule type="expression" dxfId="2880" priority="1174">
      <formula>AND(IF($Q18=3,1,IF($Q18=4,1,0)),IF($F18&lt;=85,1,0))</formula>
    </cfRule>
  </conditionalFormatting>
  <conditionalFormatting sqref="X18">
    <cfRule type="expression" dxfId="2879" priority="1167">
      <formula>AND(IF(OR($Q18=1,$Q18=2),1,0),IF($X18&lt;=20,1,0))</formula>
    </cfRule>
    <cfRule type="expression" dxfId="2878" priority="1168">
      <formula>AND(IF($Q18=2,1,0),IF($X18&lt;30,1,0))</formula>
    </cfRule>
    <cfRule type="expression" dxfId="2877" priority="1169">
      <formula>AND(IF($Q18=3,1,0),IF($X18&lt;30,1,0))</formula>
    </cfRule>
    <cfRule type="expression" dxfId="2876" priority="1170">
      <formula>AND(IF($Q18=3,1,IF($Q18=4,1,0)),IF($F18&lt;=85,1,0))</formula>
    </cfRule>
  </conditionalFormatting>
  <conditionalFormatting sqref="AI18">
    <cfRule type="expression" dxfId="2875" priority="1163">
      <formula>AND(IF(OR($Q18=1,$Q18=2),1,0),IF($X18&lt;=20,1,0))</formula>
    </cfRule>
    <cfRule type="expression" dxfId="2874" priority="1164">
      <formula>AND(IF($Q18=2,1,0),IF($X18&lt;30,1,0))</formula>
    </cfRule>
    <cfRule type="expression" dxfId="2873" priority="1165">
      <formula>AND(IF($Q18=3,1,0),IF($X18&lt;30,1,0))</formula>
    </cfRule>
    <cfRule type="expression" dxfId="2872" priority="1166">
      <formula>AND(IF($Q18=3,1,IF($Q18=4,1,0)),IF($F18&lt;=85,1,0))</formula>
    </cfRule>
  </conditionalFormatting>
  <conditionalFormatting sqref="AV19">
    <cfRule type="expression" dxfId="2871" priority="1161">
      <formula>AV19="X"</formula>
    </cfRule>
    <cfRule type="expression" dxfId="2870" priority="1162">
      <formula>AV19="후보"</formula>
    </cfRule>
  </conditionalFormatting>
  <conditionalFormatting sqref="AC19">
    <cfRule type="cellIs" dxfId="2869" priority="1158" operator="greaterThan">
      <formula>0.9</formula>
    </cfRule>
    <cfRule type="cellIs" dxfId="2868" priority="1159" operator="greaterThan">
      <formula>0.85</formula>
    </cfRule>
  </conditionalFormatting>
  <conditionalFormatting sqref="N19">
    <cfRule type="cellIs" dxfId="2867" priority="1156" operator="greaterThan">
      <formula>0.9</formula>
    </cfRule>
    <cfRule type="cellIs" dxfId="2866" priority="1157" operator="greaterThan">
      <formula>0.85</formula>
    </cfRule>
  </conditionalFormatting>
  <conditionalFormatting sqref="E19">
    <cfRule type="expression" dxfId="2865" priority="1152">
      <formula>AND(IF(OR($Q19=1,$Q19=2),1,0),IF($X19&lt;=20,1,0))</formula>
    </cfRule>
    <cfRule type="expression" dxfId="2864" priority="1153">
      <formula>AND(IF($Q19=2,1,0),IF($X19&lt;30,1,0))</formula>
    </cfRule>
    <cfRule type="expression" dxfId="2863" priority="1154">
      <formula>AND(IF($Q19=3,1,0),IF($X19&lt;30,1,0))</formula>
    </cfRule>
    <cfRule type="expression" dxfId="2862" priority="1155">
      <formula>AND(IF($Q19=3,1,IF($Q19=4,1,0)),IF($F19&lt;=85,1,0))</formula>
    </cfRule>
  </conditionalFormatting>
  <conditionalFormatting sqref="X19">
    <cfRule type="expression" dxfId="2861" priority="1148">
      <formula>AND(IF(OR($Q19=1,$Q19=2),1,0),IF($X19&lt;=20,1,0))</formula>
    </cfRule>
    <cfRule type="expression" dxfId="2860" priority="1149">
      <formula>AND(IF($Q19=2,1,0),IF($X19&lt;30,1,0))</formula>
    </cfRule>
    <cfRule type="expression" dxfId="2859" priority="1150">
      <formula>AND(IF($Q19=3,1,0),IF($X19&lt;30,1,0))</formula>
    </cfRule>
    <cfRule type="expression" dxfId="2858" priority="1151">
      <formula>AND(IF($Q19=3,1,IF($Q19=4,1,0)),IF($F19&lt;=85,1,0))</formula>
    </cfRule>
  </conditionalFormatting>
  <conditionalFormatting sqref="AI19">
    <cfRule type="expression" dxfId="2857" priority="1144">
      <formula>AND(IF(OR($Q19=1,$Q19=2),1,0),IF($X19&lt;=20,1,0))</formula>
    </cfRule>
    <cfRule type="expression" dxfId="2856" priority="1145">
      <formula>AND(IF($Q19=2,1,0),IF($X19&lt;30,1,0))</formula>
    </cfRule>
    <cfRule type="expression" dxfId="2855" priority="1146">
      <formula>AND(IF($Q19=3,1,0),IF($X19&lt;30,1,0))</formula>
    </cfRule>
    <cfRule type="expression" dxfId="2854" priority="1147">
      <formula>AND(IF($Q19=3,1,IF($Q19=4,1,0)),IF($F19&lt;=85,1,0))</formula>
    </cfRule>
  </conditionalFormatting>
  <conditionalFormatting sqref="AV20">
    <cfRule type="expression" dxfId="2853" priority="1142">
      <formula>AV20="X"</formula>
    </cfRule>
    <cfRule type="expression" dxfId="2852" priority="1143">
      <formula>AV20="후보"</formula>
    </cfRule>
  </conditionalFormatting>
  <conditionalFormatting sqref="AC20">
    <cfRule type="cellIs" dxfId="2851" priority="1139" operator="greaterThan">
      <formula>0.9</formula>
    </cfRule>
    <cfRule type="cellIs" dxfId="2850" priority="1140" operator="greaterThan">
      <formula>0.85</formula>
    </cfRule>
  </conditionalFormatting>
  <conditionalFormatting sqref="N20">
    <cfRule type="cellIs" dxfId="2849" priority="1137" operator="greaterThan">
      <formula>0.9</formula>
    </cfRule>
    <cfRule type="cellIs" dxfId="2848" priority="1138" operator="greaterThan">
      <formula>0.85</formula>
    </cfRule>
  </conditionalFormatting>
  <conditionalFormatting sqref="E20">
    <cfRule type="expression" dxfId="2847" priority="1133">
      <formula>AND(IF(OR($Q20=1,$Q20=2),1,0),IF($X20&lt;=20,1,0))</formula>
    </cfRule>
    <cfRule type="expression" dxfId="2846" priority="1134">
      <formula>AND(IF($Q20=2,1,0),IF($X20&lt;30,1,0))</formula>
    </cfRule>
    <cfRule type="expression" dxfId="2845" priority="1135">
      <formula>AND(IF($Q20=3,1,0),IF($X20&lt;30,1,0))</formula>
    </cfRule>
    <cfRule type="expression" dxfId="2844" priority="1136">
      <formula>AND(IF($Q20=3,1,IF($Q20=4,1,0)),IF($F20&lt;=85,1,0))</formula>
    </cfRule>
  </conditionalFormatting>
  <conditionalFormatting sqref="X20">
    <cfRule type="expression" dxfId="2843" priority="1129">
      <formula>AND(IF(OR($Q20=1,$Q20=2),1,0),IF($X20&lt;=20,1,0))</formula>
    </cfRule>
    <cfRule type="expression" dxfId="2842" priority="1130">
      <formula>AND(IF($Q20=2,1,0),IF($X20&lt;30,1,0))</formula>
    </cfRule>
    <cfRule type="expression" dxfId="2841" priority="1131">
      <formula>AND(IF($Q20=3,1,0),IF($X20&lt;30,1,0))</formula>
    </cfRule>
    <cfRule type="expression" dxfId="2840" priority="1132">
      <formula>AND(IF($Q20=3,1,IF($Q20=4,1,0)),IF($F20&lt;=85,1,0))</formula>
    </cfRule>
  </conditionalFormatting>
  <conditionalFormatting sqref="AI20">
    <cfRule type="expression" dxfId="2839" priority="1125">
      <formula>AND(IF(OR($Q20=1,$Q20=2),1,0),IF($X20&lt;=20,1,0))</formula>
    </cfRule>
    <cfRule type="expression" dxfId="2838" priority="1126">
      <formula>AND(IF($Q20=2,1,0),IF($X20&lt;30,1,0))</formula>
    </cfRule>
    <cfRule type="expression" dxfId="2837" priority="1127">
      <formula>AND(IF($Q20=3,1,0),IF($X20&lt;30,1,0))</formula>
    </cfRule>
    <cfRule type="expression" dxfId="2836" priority="1128">
      <formula>AND(IF($Q20=3,1,IF($Q20=4,1,0)),IF($F20&lt;=85,1,0))</formula>
    </cfRule>
  </conditionalFormatting>
  <conditionalFormatting sqref="AV21">
    <cfRule type="expression" dxfId="2835" priority="1123">
      <formula>AV21="X"</formula>
    </cfRule>
    <cfRule type="expression" dxfId="2834" priority="1124">
      <formula>AV21="후보"</formula>
    </cfRule>
  </conditionalFormatting>
  <conditionalFormatting sqref="AC21">
    <cfRule type="cellIs" dxfId="2833" priority="1120" operator="greaterThan">
      <formula>0.9</formula>
    </cfRule>
    <cfRule type="cellIs" dxfId="2832" priority="1121" operator="greaterThan">
      <formula>0.85</formula>
    </cfRule>
  </conditionalFormatting>
  <conditionalFormatting sqref="N21">
    <cfRule type="cellIs" dxfId="2831" priority="1118" operator="greaterThan">
      <formula>0.9</formula>
    </cfRule>
    <cfRule type="cellIs" dxfId="2830" priority="1119" operator="greaterThan">
      <formula>0.85</formula>
    </cfRule>
  </conditionalFormatting>
  <conditionalFormatting sqref="E21">
    <cfRule type="expression" dxfId="2829" priority="1114">
      <formula>AND(IF(OR($Q21=1,$Q21=2),1,0),IF($X21&lt;=20,1,0))</formula>
    </cfRule>
    <cfRule type="expression" dxfId="2828" priority="1115">
      <formula>AND(IF($Q21=2,1,0),IF($X21&lt;30,1,0))</formula>
    </cfRule>
    <cfRule type="expression" dxfId="2827" priority="1116">
      <formula>AND(IF($Q21=3,1,0),IF($X21&lt;30,1,0))</formula>
    </cfRule>
    <cfRule type="expression" dxfId="2826" priority="1117">
      <formula>AND(IF($Q21=3,1,IF($Q21=4,1,0)),IF($F21&lt;=85,1,0))</formula>
    </cfRule>
  </conditionalFormatting>
  <conditionalFormatting sqref="X21">
    <cfRule type="expression" dxfId="2825" priority="1110">
      <formula>AND(IF(OR($Q21=1,$Q21=2),1,0),IF($X21&lt;=20,1,0))</formula>
    </cfRule>
    <cfRule type="expression" dxfId="2824" priority="1111">
      <formula>AND(IF($Q21=2,1,0),IF($X21&lt;30,1,0))</formula>
    </cfRule>
    <cfRule type="expression" dxfId="2823" priority="1112">
      <formula>AND(IF($Q21=3,1,0),IF($X21&lt;30,1,0))</formula>
    </cfRule>
    <cfRule type="expression" dxfId="2822" priority="1113">
      <formula>AND(IF($Q21=3,1,IF($Q21=4,1,0)),IF($F21&lt;=85,1,0))</formula>
    </cfRule>
  </conditionalFormatting>
  <conditionalFormatting sqref="AI21">
    <cfRule type="expression" dxfId="2821" priority="1106">
      <formula>AND(IF(OR($Q21=1,$Q21=2),1,0),IF($X21&lt;=20,1,0))</formula>
    </cfRule>
    <cfRule type="expression" dxfId="2820" priority="1107">
      <formula>AND(IF($Q21=2,1,0),IF($X21&lt;30,1,0))</formula>
    </cfRule>
    <cfRule type="expression" dxfId="2819" priority="1108">
      <formula>AND(IF($Q21=3,1,0),IF($X21&lt;30,1,0))</formula>
    </cfRule>
    <cfRule type="expression" dxfId="2818" priority="1109">
      <formula>AND(IF($Q21=3,1,IF($Q21=4,1,0)),IF($F21&lt;=85,1,0))</formula>
    </cfRule>
  </conditionalFormatting>
  <conditionalFormatting sqref="AV22">
    <cfRule type="expression" dxfId="2817" priority="1104">
      <formula>AV22="X"</formula>
    </cfRule>
    <cfRule type="expression" dxfId="2816" priority="1105">
      <formula>AV22="후보"</formula>
    </cfRule>
  </conditionalFormatting>
  <conditionalFormatting sqref="AC22">
    <cfRule type="cellIs" dxfId="2815" priority="1101" operator="greaterThan">
      <formula>0.9</formula>
    </cfRule>
    <cfRule type="cellIs" dxfId="2814" priority="1102" operator="greaterThan">
      <formula>0.85</formula>
    </cfRule>
  </conditionalFormatting>
  <conditionalFormatting sqref="N22">
    <cfRule type="cellIs" dxfId="2813" priority="1099" operator="greaterThan">
      <formula>0.9</formula>
    </cfRule>
    <cfRule type="cellIs" dxfId="2812" priority="1100" operator="greaterThan">
      <formula>0.85</formula>
    </cfRule>
  </conditionalFormatting>
  <conditionalFormatting sqref="E22">
    <cfRule type="expression" dxfId="2811" priority="1095">
      <formula>AND(IF(OR($Q22=1,$Q22=2),1,0),IF($X22&lt;=20,1,0))</formula>
    </cfRule>
    <cfRule type="expression" dxfId="2810" priority="1096">
      <formula>AND(IF($Q22=2,1,0),IF($X22&lt;30,1,0))</formula>
    </cfRule>
    <cfRule type="expression" dxfId="2809" priority="1097">
      <formula>AND(IF($Q22=3,1,0),IF($X22&lt;30,1,0))</formula>
    </cfRule>
    <cfRule type="expression" dxfId="2808" priority="1098">
      <formula>AND(IF($Q22=3,1,IF($Q22=4,1,0)),IF($F22&lt;=85,1,0))</formula>
    </cfRule>
  </conditionalFormatting>
  <conditionalFormatting sqref="X22">
    <cfRule type="expression" dxfId="2807" priority="1091">
      <formula>AND(IF(OR($Q22=1,$Q22=2),1,0),IF($X22&lt;=20,1,0))</formula>
    </cfRule>
    <cfRule type="expression" dxfId="2806" priority="1092">
      <formula>AND(IF($Q22=2,1,0),IF($X22&lt;30,1,0))</formula>
    </cfRule>
    <cfRule type="expression" dxfId="2805" priority="1093">
      <formula>AND(IF($Q22=3,1,0),IF($X22&lt;30,1,0))</formula>
    </cfRule>
    <cfRule type="expression" dxfId="2804" priority="1094">
      <formula>AND(IF($Q22=3,1,IF($Q22=4,1,0)),IF($F22&lt;=85,1,0))</formula>
    </cfRule>
  </conditionalFormatting>
  <conditionalFormatting sqref="AI22">
    <cfRule type="expression" dxfId="2803" priority="1087">
      <formula>AND(IF(OR($Q22=1,$Q22=2),1,0),IF($X22&lt;=20,1,0))</formula>
    </cfRule>
    <cfRule type="expression" dxfId="2802" priority="1088">
      <formula>AND(IF($Q22=2,1,0),IF($X22&lt;30,1,0))</formula>
    </cfRule>
    <cfRule type="expression" dxfId="2801" priority="1089">
      <formula>AND(IF($Q22=3,1,0),IF($X22&lt;30,1,0))</formula>
    </cfRule>
    <cfRule type="expression" dxfId="2800" priority="1090">
      <formula>AND(IF($Q22=3,1,IF($Q22=4,1,0)),IF($F22&lt;=85,1,0))</formula>
    </cfRule>
  </conditionalFormatting>
  <conditionalFormatting sqref="AV23">
    <cfRule type="expression" dxfId="2799" priority="1085">
      <formula>AV23="X"</formula>
    </cfRule>
    <cfRule type="expression" dxfId="2798" priority="1086">
      <formula>AV23="후보"</formula>
    </cfRule>
  </conditionalFormatting>
  <conditionalFormatting sqref="AC23 N23">
    <cfRule type="cellIs" dxfId="2797" priority="1082" operator="greaterThan">
      <formula>0.9</formula>
    </cfRule>
    <cfRule type="cellIs" dxfId="2796" priority="1083" operator="greaterThan">
      <formula>0.85</formula>
    </cfRule>
  </conditionalFormatting>
  <conditionalFormatting sqref="AV24">
    <cfRule type="expression" dxfId="2795" priority="1080">
      <formula>AV24="X"</formula>
    </cfRule>
    <cfRule type="expression" dxfId="2794" priority="1081">
      <formula>AV24="후보"</formula>
    </cfRule>
  </conditionalFormatting>
  <conditionalFormatting sqref="AC24">
    <cfRule type="cellIs" dxfId="2793" priority="1077" operator="greaterThan">
      <formula>0.9</formula>
    </cfRule>
    <cfRule type="cellIs" dxfId="2792" priority="1078" operator="greaterThan">
      <formula>0.85</formula>
    </cfRule>
  </conditionalFormatting>
  <conditionalFormatting sqref="N24">
    <cfRule type="cellIs" dxfId="2791" priority="1075" operator="greaterThan">
      <formula>0.9</formula>
    </cfRule>
    <cfRule type="cellIs" dxfId="2790" priority="1076" operator="greaterThan">
      <formula>0.85</formula>
    </cfRule>
  </conditionalFormatting>
  <conditionalFormatting sqref="E24">
    <cfRule type="expression" dxfId="2789" priority="1071">
      <formula>AND(IF(OR($Q24=1,$Q24=2),1,0),IF($X24&lt;=20,1,0))</formula>
    </cfRule>
    <cfRule type="expression" dxfId="2788" priority="1072">
      <formula>AND(IF($Q24=2,1,0),IF($X24&lt;30,1,0))</formula>
    </cfRule>
    <cfRule type="expression" dxfId="2787" priority="1073">
      <formula>AND(IF($Q24=3,1,0),IF($X24&lt;30,1,0))</formula>
    </cfRule>
    <cfRule type="expression" dxfId="2786" priority="1074">
      <formula>AND(IF($Q24=3,1,IF($Q24=4,1,0)),IF($F24&lt;=85,1,0))</formula>
    </cfRule>
  </conditionalFormatting>
  <conditionalFormatting sqref="X24">
    <cfRule type="expression" dxfId="2785" priority="1067">
      <formula>AND(IF(OR($Q24=1,$Q24=2),1,0),IF($X24&lt;=20,1,0))</formula>
    </cfRule>
    <cfRule type="expression" dxfId="2784" priority="1068">
      <formula>AND(IF($Q24=2,1,0),IF($X24&lt;30,1,0))</formula>
    </cfRule>
    <cfRule type="expression" dxfId="2783" priority="1069">
      <formula>AND(IF($Q24=3,1,0),IF($X24&lt;30,1,0))</formula>
    </cfRule>
    <cfRule type="expression" dxfId="2782" priority="1070">
      <formula>AND(IF($Q24=3,1,IF($Q24=4,1,0)),IF($F24&lt;=85,1,0))</formula>
    </cfRule>
  </conditionalFormatting>
  <conditionalFormatting sqref="AI24">
    <cfRule type="expression" dxfId="2781" priority="1063">
      <formula>AND(IF(OR($Q24=1,$Q24=2),1,0),IF($X24&lt;=20,1,0))</formula>
    </cfRule>
    <cfRule type="expression" dxfId="2780" priority="1064">
      <formula>AND(IF($Q24=2,1,0),IF($X24&lt;30,1,0))</formula>
    </cfRule>
    <cfRule type="expression" dxfId="2779" priority="1065">
      <formula>AND(IF($Q24=3,1,0),IF($X24&lt;30,1,0))</formula>
    </cfRule>
    <cfRule type="expression" dxfId="2778" priority="1066">
      <formula>AND(IF($Q24=3,1,IF($Q24=4,1,0)),IF($F24&lt;=85,1,0))</formula>
    </cfRule>
  </conditionalFormatting>
  <conditionalFormatting sqref="AV25">
    <cfRule type="expression" dxfId="2777" priority="1061">
      <formula>AV25="X"</formula>
    </cfRule>
    <cfRule type="expression" dxfId="2776" priority="1062">
      <formula>AV25="후보"</formula>
    </cfRule>
  </conditionalFormatting>
  <conditionalFormatting sqref="AC25">
    <cfRule type="cellIs" dxfId="2775" priority="1058" operator="greaterThan">
      <formula>0.9</formula>
    </cfRule>
    <cfRule type="cellIs" dxfId="2774" priority="1059" operator="greaterThan">
      <formula>0.85</formula>
    </cfRule>
  </conditionalFormatting>
  <conditionalFormatting sqref="N25">
    <cfRule type="cellIs" dxfId="2773" priority="1056" operator="greaterThan">
      <formula>0.9</formula>
    </cfRule>
    <cfRule type="cellIs" dxfId="2772" priority="1057" operator="greaterThan">
      <formula>0.85</formula>
    </cfRule>
  </conditionalFormatting>
  <conditionalFormatting sqref="E25">
    <cfRule type="expression" dxfId="2771" priority="1052">
      <formula>AND(IF(OR($Q25=1,$Q25=2),1,0),IF($X25&lt;=20,1,0))</formula>
    </cfRule>
    <cfRule type="expression" dxfId="2770" priority="1053">
      <formula>AND(IF($Q25=2,1,0),IF($X25&lt;30,1,0))</formula>
    </cfRule>
    <cfRule type="expression" dxfId="2769" priority="1054">
      <formula>AND(IF($Q25=3,1,0),IF($X25&lt;30,1,0))</formula>
    </cfRule>
    <cfRule type="expression" dxfId="2768" priority="1055">
      <formula>AND(IF($Q25=3,1,IF($Q25=4,1,0)),IF($F25&lt;=85,1,0))</formula>
    </cfRule>
  </conditionalFormatting>
  <conditionalFormatting sqref="X25">
    <cfRule type="expression" dxfId="2767" priority="1048">
      <formula>AND(IF(OR($Q25=1,$Q25=2),1,0),IF($X25&lt;=20,1,0))</formula>
    </cfRule>
    <cfRule type="expression" dxfId="2766" priority="1049">
      <formula>AND(IF($Q25=2,1,0),IF($X25&lt;30,1,0))</formula>
    </cfRule>
    <cfRule type="expression" dxfId="2765" priority="1050">
      <formula>AND(IF($Q25=3,1,0),IF($X25&lt;30,1,0))</formula>
    </cfRule>
    <cfRule type="expression" dxfId="2764" priority="1051">
      <formula>AND(IF($Q25=3,1,IF($Q25=4,1,0)),IF($F25&lt;=85,1,0))</formula>
    </cfRule>
  </conditionalFormatting>
  <conditionalFormatting sqref="AI25">
    <cfRule type="expression" dxfId="2763" priority="1044">
      <formula>AND(IF(OR($Q25=1,$Q25=2),1,0),IF($X25&lt;=20,1,0))</formula>
    </cfRule>
    <cfRule type="expression" dxfId="2762" priority="1045">
      <formula>AND(IF($Q25=2,1,0),IF($X25&lt;30,1,0))</formula>
    </cfRule>
    <cfRule type="expression" dxfId="2761" priority="1046">
      <formula>AND(IF($Q25=3,1,0),IF($X25&lt;30,1,0))</formula>
    </cfRule>
    <cfRule type="expression" dxfId="2760" priority="1047">
      <formula>AND(IF($Q25=3,1,IF($Q25=4,1,0)),IF($F25&lt;=85,1,0))</formula>
    </cfRule>
  </conditionalFormatting>
  <conditionalFormatting sqref="AV26">
    <cfRule type="expression" dxfId="2759" priority="1042">
      <formula>AV26="X"</formula>
    </cfRule>
    <cfRule type="expression" dxfId="2758" priority="1043">
      <formula>AV26="후보"</formula>
    </cfRule>
  </conditionalFormatting>
  <conditionalFormatting sqref="AC26 N26">
    <cfRule type="cellIs" dxfId="2757" priority="1039" operator="greaterThan">
      <formula>0.9</formula>
    </cfRule>
    <cfRule type="cellIs" dxfId="2756" priority="1040" operator="greaterThan">
      <formula>0.85</formula>
    </cfRule>
  </conditionalFormatting>
  <conditionalFormatting sqref="AV27">
    <cfRule type="expression" dxfId="2755" priority="1037">
      <formula>AV27="X"</formula>
    </cfRule>
    <cfRule type="expression" dxfId="2754" priority="1038">
      <formula>AV27="후보"</formula>
    </cfRule>
  </conditionalFormatting>
  <conditionalFormatting sqref="AC27">
    <cfRule type="cellIs" dxfId="2753" priority="1034" operator="greaterThan">
      <formula>0.9</formula>
    </cfRule>
    <cfRule type="cellIs" dxfId="2752" priority="1035" operator="greaterThan">
      <formula>0.85</formula>
    </cfRule>
  </conditionalFormatting>
  <conditionalFormatting sqref="N27">
    <cfRule type="cellIs" dxfId="2751" priority="1032" operator="greaterThan">
      <formula>0.9</formula>
    </cfRule>
    <cfRule type="cellIs" dxfId="2750" priority="1033" operator="greaterThan">
      <formula>0.85</formula>
    </cfRule>
  </conditionalFormatting>
  <conditionalFormatting sqref="E27">
    <cfRule type="expression" dxfId="2749" priority="1028">
      <formula>AND(IF(OR($Q27=1,$Q27=2),1,0),IF($X27&lt;=20,1,0))</formula>
    </cfRule>
    <cfRule type="expression" dxfId="2748" priority="1029">
      <formula>AND(IF($Q27=2,1,0),IF($X27&lt;30,1,0))</formula>
    </cfRule>
    <cfRule type="expression" dxfId="2747" priority="1030">
      <formula>AND(IF($Q27=3,1,0),IF($X27&lt;30,1,0))</formula>
    </cfRule>
    <cfRule type="expression" dxfId="2746" priority="1031">
      <formula>AND(IF($Q27=3,1,IF($Q27=4,1,0)),IF($F27&lt;=85,1,0))</formula>
    </cfRule>
  </conditionalFormatting>
  <conditionalFormatting sqref="X27">
    <cfRule type="expression" dxfId="2745" priority="1024">
      <formula>AND(IF(OR($Q27=1,$Q27=2),1,0),IF($X27&lt;=20,1,0))</formula>
    </cfRule>
    <cfRule type="expression" dxfId="2744" priority="1025">
      <formula>AND(IF($Q27=2,1,0),IF($X27&lt;30,1,0))</formula>
    </cfRule>
    <cfRule type="expression" dxfId="2743" priority="1026">
      <formula>AND(IF($Q27=3,1,0),IF($X27&lt;30,1,0))</formula>
    </cfRule>
    <cfRule type="expression" dxfId="2742" priority="1027">
      <formula>AND(IF($Q27=3,1,IF($Q27=4,1,0)),IF($F27&lt;=85,1,0))</formula>
    </cfRule>
  </conditionalFormatting>
  <conditionalFormatting sqref="AI27">
    <cfRule type="expression" dxfId="2741" priority="1020">
      <formula>AND(IF(OR($Q27=1,$Q27=2),1,0),IF($X27&lt;=20,1,0))</formula>
    </cfRule>
    <cfRule type="expression" dxfId="2740" priority="1021">
      <formula>AND(IF($Q27=2,1,0),IF($X27&lt;30,1,0))</formula>
    </cfRule>
    <cfRule type="expression" dxfId="2739" priority="1022">
      <formula>AND(IF($Q27=3,1,0),IF($X27&lt;30,1,0))</formula>
    </cfRule>
    <cfRule type="expression" dxfId="2738" priority="1023">
      <formula>AND(IF($Q27=3,1,IF($Q27=4,1,0)),IF($F27&lt;=85,1,0))</formula>
    </cfRule>
  </conditionalFormatting>
  <conditionalFormatting sqref="AV28">
    <cfRule type="expression" dxfId="2737" priority="1018">
      <formula>AV28="X"</formula>
    </cfRule>
    <cfRule type="expression" dxfId="2736" priority="1019">
      <formula>AV28="후보"</formula>
    </cfRule>
  </conditionalFormatting>
  <conditionalFormatting sqref="AC28">
    <cfRule type="cellIs" dxfId="2735" priority="1015" operator="greaterThan">
      <formula>0.9</formula>
    </cfRule>
    <cfRule type="cellIs" dxfId="2734" priority="1016" operator="greaterThan">
      <formula>0.85</formula>
    </cfRule>
  </conditionalFormatting>
  <conditionalFormatting sqref="N28">
    <cfRule type="cellIs" dxfId="2733" priority="1013" operator="greaterThan">
      <formula>0.9</formula>
    </cfRule>
    <cfRule type="cellIs" dxfId="2732" priority="1014" operator="greaterThan">
      <formula>0.85</formula>
    </cfRule>
  </conditionalFormatting>
  <conditionalFormatting sqref="E28">
    <cfRule type="expression" dxfId="2731" priority="1009">
      <formula>AND(IF(OR($Q28=1,$Q28=2),1,0),IF($X28&lt;=20,1,0))</formula>
    </cfRule>
    <cfRule type="expression" dxfId="2730" priority="1010">
      <formula>AND(IF($Q28=2,1,0),IF($X28&lt;30,1,0))</formula>
    </cfRule>
    <cfRule type="expression" dxfId="2729" priority="1011">
      <formula>AND(IF($Q28=3,1,0),IF($X28&lt;30,1,0))</formula>
    </cfRule>
    <cfRule type="expression" dxfId="2728" priority="1012">
      <formula>AND(IF($Q28=3,1,IF($Q28=4,1,0)),IF($F28&lt;=85,1,0))</formula>
    </cfRule>
  </conditionalFormatting>
  <conditionalFormatting sqref="X28">
    <cfRule type="expression" dxfId="2727" priority="1005">
      <formula>AND(IF(OR($Q28=1,$Q28=2),1,0),IF($X28&lt;=20,1,0))</formula>
    </cfRule>
    <cfRule type="expression" dxfId="2726" priority="1006">
      <formula>AND(IF($Q28=2,1,0),IF($X28&lt;30,1,0))</formula>
    </cfRule>
    <cfRule type="expression" dxfId="2725" priority="1007">
      <formula>AND(IF($Q28=3,1,0),IF($X28&lt;30,1,0))</formula>
    </cfRule>
    <cfRule type="expression" dxfId="2724" priority="1008">
      <formula>AND(IF($Q28=3,1,IF($Q28=4,1,0)),IF($F28&lt;=85,1,0))</formula>
    </cfRule>
  </conditionalFormatting>
  <conditionalFormatting sqref="AI28">
    <cfRule type="expression" dxfId="2723" priority="1001">
      <formula>AND(IF(OR($Q28=1,$Q28=2),1,0),IF($X28&lt;=20,1,0))</formula>
    </cfRule>
    <cfRule type="expression" dxfId="2722" priority="1002">
      <formula>AND(IF($Q28=2,1,0),IF($X28&lt;30,1,0))</formula>
    </cfRule>
    <cfRule type="expression" dxfId="2721" priority="1003">
      <formula>AND(IF($Q28=3,1,0),IF($X28&lt;30,1,0))</formula>
    </cfRule>
    <cfRule type="expression" dxfId="2720" priority="1004">
      <formula>AND(IF($Q28=3,1,IF($Q28=4,1,0)),IF($F28&lt;=85,1,0))</formula>
    </cfRule>
  </conditionalFormatting>
  <conditionalFormatting sqref="AV29">
    <cfRule type="expression" dxfId="2719" priority="999">
      <formula>AV29="X"</formula>
    </cfRule>
    <cfRule type="expression" dxfId="2718" priority="1000">
      <formula>AV29="후보"</formula>
    </cfRule>
  </conditionalFormatting>
  <conditionalFormatting sqref="AC29 N29">
    <cfRule type="cellIs" dxfId="2717" priority="996" operator="greaterThan">
      <formula>0.9</formula>
    </cfRule>
    <cfRule type="cellIs" dxfId="2716" priority="997" operator="greaterThan">
      <formula>0.85</formula>
    </cfRule>
  </conditionalFormatting>
  <conditionalFormatting sqref="AV30">
    <cfRule type="expression" dxfId="2715" priority="994">
      <formula>AV30="X"</formula>
    </cfRule>
    <cfRule type="expression" dxfId="2714" priority="995">
      <formula>AV30="후보"</formula>
    </cfRule>
  </conditionalFormatting>
  <conditionalFormatting sqref="AC30">
    <cfRule type="cellIs" dxfId="2713" priority="991" operator="greaterThan">
      <formula>0.9</formula>
    </cfRule>
    <cfRule type="cellIs" dxfId="2712" priority="992" operator="greaterThan">
      <formula>0.85</formula>
    </cfRule>
  </conditionalFormatting>
  <conditionalFormatting sqref="N30">
    <cfRule type="cellIs" dxfId="2711" priority="989" operator="greaterThan">
      <formula>0.9</formula>
    </cfRule>
    <cfRule type="cellIs" dxfId="2710" priority="990" operator="greaterThan">
      <formula>0.85</formula>
    </cfRule>
  </conditionalFormatting>
  <conditionalFormatting sqref="E30">
    <cfRule type="expression" dxfId="2709" priority="985">
      <formula>AND(IF(OR($Q30=1,$Q30=2),1,0),IF($X30&lt;=20,1,0))</formula>
    </cfRule>
    <cfRule type="expression" dxfId="2708" priority="986">
      <formula>AND(IF($Q30=2,1,0),IF($X30&lt;30,1,0))</formula>
    </cfRule>
    <cfRule type="expression" dxfId="2707" priority="987">
      <formula>AND(IF($Q30=3,1,0),IF($X30&lt;30,1,0))</formula>
    </cfRule>
    <cfRule type="expression" dxfId="2706" priority="988">
      <formula>AND(IF($Q30=3,1,IF($Q30=4,1,0)),IF($F30&lt;=85,1,0))</formula>
    </cfRule>
  </conditionalFormatting>
  <conditionalFormatting sqref="X30">
    <cfRule type="expression" dxfId="2705" priority="981">
      <formula>AND(IF(OR($Q30=1,$Q30=2),1,0),IF($X30&lt;=20,1,0))</formula>
    </cfRule>
    <cfRule type="expression" dxfId="2704" priority="982">
      <formula>AND(IF($Q30=2,1,0),IF($X30&lt;30,1,0))</formula>
    </cfRule>
    <cfRule type="expression" dxfId="2703" priority="983">
      <formula>AND(IF($Q30=3,1,0),IF($X30&lt;30,1,0))</formula>
    </cfRule>
    <cfRule type="expression" dxfId="2702" priority="984">
      <formula>AND(IF($Q30=3,1,IF($Q30=4,1,0)),IF($F30&lt;=85,1,0))</formula>
    </cfRule>
  </conditionalFormatting>
  <conditionalFormatting sqref="AI30">
    <cfRule type="expression" dxfId="2701" priority="977">
      <formula>AND(IF(OR($Q30=1,$Q30=2),1,0),IF($X30&lt;=20,1,0))</formula>
    </cfRule>
    <cfRule type="expression" dxfId="2700" priority="978">
      <formula>AND(IF($Q30=2,1,0),IF($X30&lt;30,1,0))</formula>
    </cfRule>
    <cfRule type="expression" dxfId="2699" priority="979">
      <formula>AND(IF($Q30=3,1,0),IF($X30&lt;30,1,0))</formula>
    </cfRule>
    <cfRule type="expression" dxfId="2698" priority="980">
      <formula>AND(IF($Q30=3,1,IF($Q30=4,1,0)),IF($F30&lt;=85,1,0))</formula>
    </cfRule>
  </conditionalFormatting>
  <conditionalFormatting sqref="AV31">
    <cfRule type="expression" dxfId="2697" priority="975">
      <formula>AV31="X"</formula>
    </cfRule>
    <cfRule type="expression" dxfId="2696" priority="976">
      <formula>AV31="후보"</formula>
    </cfRule>
  </conditionalFormatting>
  <conditionalFormatting sqref="AC31">
    <cfRule type="cellIs" dxfId="2695" priority="972" operator="greaterThan">
      <formula>0.9</formula>
    </cfRule>
    <cfRule type="cellIs" dxfId="2694" priority="973" operator="greaterThan">
      <formula>0.85</formula>
    </cfRule>
  </conditionalFormatting>
  <conditionalFormatting sqref="N31">
    <cfRule type="cellIs" dxfId="2693" priority="970" operator="greaterThan">
      <formula>0.9</formula>
    </cfRule>
    <cfRule type="cellIs" dxfId="2692" priority="971" operator="greaterThan">
      <formula>0.85</formula>
    </cfRule>
  </conditionalFormatting>
  <conditionalFormatting sqref="E31">
    <cfRule type="expression" dxfId="2691" priority="966">
      <formula>AND(IF(OR($Q31=1,$Q31=2),1,0),IF($X31&lt;=20,1,0))</formula>
    </cfRule>
    <cfRule type="expression" dxfId="2690" priority="967">
      <formula>AND(IF($Q31=2,1,0),IF($X31&lt;30,1,0))</formula>
    </cfRule>
    <cfRule type="expression" dxfId="2689" priority="968">
      <formula>AND(IF($Q31=3,1,0),IF($X31&lt;30,1,0))</formula>
    </cfRule>
    <cfRule type="expression" dxfId="2688" priority="969">
      <formula>AND(IF($Q31=3,1,IF($Q31=4,1,0)),IF($F31&lt;=85,1,0))</formula>
    </cfRule>
  </conditionalFormatting>
  <conditionalFormatting sqref="X31">
    <cfRule type="expression" dxfId="2687" priority="962">
      <formula>AND(IF(OR($Q31=1,$Q31=2),1,0),IF($X31&lt;=20,1,0))</formula>
    </cfRule>
    <cfRule type="expression" dxfId="2686" priority="963">
      <formula>AND(IF($Q31=2,1,0),IF($X31&lt;30,1,0))</formula>
    </cfRule>
    <cfRule type="expression" dxfId="2685" priority="964">
      <formula>AND(IF($Q31=3,1,0),IF($X31&lt;30,1,0))</formula>
    </cfRule>
    <cfRule type="expression" dxfId="2684" priority="965">
      <formula>AND(IF($Q31=3,1,IF($Q31=4,1,0)),IF($F31&lt;=85,1,0))</formula>
    </cfRule>
  </conditionalFormatting>
  <conditionalFormatting sqref="AI31">
    <cfRule type="expression" dxfId="2683" priority="958">
      <formula>AND(IF(OR($Q31=1,$Q31=2),1,0),IF($X31&lt;=20,1,0))</formula>
    </cfRule>
    <cfRule type="expression" dxfId="2682" priority="959">
      <formula>AND(IF($Q31=2,1,0),IF($X31&lt;30,1,0))</formula>
    </cfRule>
    <cfRule type="expression" dxfId="2681" priority="960">
      <formula>AND(IF($Q31=3,1,0),IF($X31&lt;30,1,0))</formula>
    </cfRule>
    <cfRule type="expression" dxfId="2680" priority="961">
      <formula>AND(IF($Q31=3,1,IF($Q31=4,1,0)),IF($F31&lt;=85,1,0))</formula>
    </cfRule>
  </conditionalFormatting>
  <conditionalFormatting sqref="AV32">
    <cfRule type="expression" dxfId="2679" priority="956">
      <formula>AV32="X"</formula>
    </cfRule>
    <cfRule type="expression" dxfId="2678" priority="957">
      <formula>AV32="후보"</formula>
    </cfRule>
  </conditionalFormatting>
  <conditionalFormatting sqref="AC32">
    <cfRule type="cellIs" dxfId="2677" priority="953" operator="greaterThan">
      <formula>0.9</formula>
    </cfRule>
    <cfRule type="cellIs" dxfId="2676" priority="954" operator="greaterThan">
      <formula>0.85</formula>
    </cfRule>
  </conditionalFormatting>
  <conditionalFormatting sqref="N32">
    <cfRule type="cellIs" dxfId="2675" priority="951" operator="greaterThan">
      <formula>0.9</formula>
    </cfRule>
    <cfRule type="cellIs" dxfId="2674" priority="952" operator="greaterThan">
      <formula>0.85</formula>
    </cfRule>
  </conditionalFormatting>
  <conditionalFormatting sqref="E32">
    <cfRule type="expression" dxfId="2673" priority="947">
      <formula>AND(IF(OR($Q32=1,$Q32=2),1,0),IF($X32&lt;=20,1,0))</formula>
    </cfRule>
    <cfRule type="expression" dxfId="2672" priority="948">
      <formula>AND(IF($Q32=2,1,0),IF($X32&lt;30,1,0))</formula>
    </cfRule>
    <cfRule type="expression" dxfId="2671" priority="949">
      <formula>AND(IF($Q32=3,1,0),IF($X32&lt;30,1,0))</formula>
    </cfRule>
    <cfRule type="expression" dxfId="2670" priority="950">
      <formula>AND(IF($Q32=3,1,IF($Q32=4,1,0)),IF($F32&lt;=85,1,0))</formula>
    </cfRule>
  </conditionalFormatting>
  <conditionalFormatting sqref="X32">
    <cfRule type="expression" dxfId="2669" priority="943">
      <formula>AND(IF(OR($Q32=1,$Q32=2),1,0),IF($X32&lt;=20,1,0))</formula>
    </cfRule>
    <cfRule type="expression" dxfId="2668" priority="944">
      <formula>AND(IF($Q32=2,1,0),IF($X32&lt;30,1,0))</formula>
    </cfRule>
    <cfRule type="expression" dxfId="2667" priority="945">
      <formula>AND(IF($Q32=3,1,0),IF($X32&lt;30,1,0))</formula>
    </cfRule>
    <cfRule type="expression" dxfId="2666" priority="946">
      <formula>AND(IF($Q32=3,1,IF($Q32=4,1,0)),IF($F32&lt;=85,1,0))</formula>
    </cfRule>
  </conditionalFormatting>
  <conditionalFormatting sqref="AI32">
    <cfRule type="expression" dxfId="2665" priority="939">
      <formula>AND(IF(OR($Q32=1,$Q32=2),1,0),IF($X32&lt;=20,1,0))</formula>
    </cfRule>
    <cfRule type="expression" dxfId="2664" priority="940">
      <formula>AND(IF($Q32=2,1,0),IF($X32&lt;30,1,0))</formula>
    </cfRule>
    <cfRule type="expression" dxfId="2663" priority="941">
      <formula>AND(IF($Q32=3,1,0),IF($X32&lt;30,1,0))</formula>
    </cfRule>
    <cfRule type="expression" dxfId="2662" priority="942">
      <formula>AND(IF($Q32=3,1,IF($Q32=4,1,0)),IF($F32&lt;=85,1,0))</formula>
    </cfRule>
  </conditionalFormatting>
  <conditionalFormatting sqref="AV33">
    <cfRule type="expression" dxfId="2661" priority="937">
      <formula>AV33="X"</formula>
    </cfRule>
    <cfRule type="expression" dxfId="2660" priority="938">
      <formula>AV33="후보"</formula>
    </cfRule>
  </conditionalFormatting>
  <conditionalFormatting sqref="AC33">
    <cfRule type="cellIs" dxfId="2659" priority="934" operator="greaterThan">
      <formula>0.9</formula>
    </cfRule>
    <cfRule type="cellIs" dxfId="2658" priority="935" operator="greaterThan">
      <formula>0.85</formula>
    </cfRule>
  </conditionalFormatting>
  <conditionalFormatting sqref="N33">
    <cfRule type="cellIs" dxfId="2657" priority="932" operator="greaterThan">
      <formula>0.9</formula>
    </cfRule>
    <cfRule type="cellIs" dxfId="2656" priority="933" operator="greaterThan">
      <formula>0.85</formula>
    </cfRule>
  </conditionalFormatting>
  <conditionalFormatting sqref="E33">
    <cfRule type="expression" dxfId="2655" priority="928">
      <formula>AND(IF(OR($Q33=1,$Q33=2),1,0),IF($X33&lt;=20,1,0))</formula>
    </cfRule>
    <cfRule type="expression" dxfId="2654" priority="929">
      <formula>AND(IF($Q33=2,1,0),IF($X33&lt;30,1,0))</formula>
    </cfRule>
    <cfRule type="expression" dxfId="2653" priority="930">
      <formula>AND(IF($Q33=3,1,0),IF($X33&lt;30,1,0))</formula>
    </cfRule>
    <cfRule type="expression" dxfId="2652" priority="931">
      <formula>AND(IF($Q33=3,1,IF($Q33=4,1,0)),IF($F33&lt;=85,1,0))</formula>
    </cfRule>
  </conditionalFormatting>
  <conditionalFormatting sqref="X33">
    <cfRule type="expression" dxfId="2651" priority="924">
      <formula>AND(IF(OR($Q33=1,$Q33=2),1,0),IF($X33&lt;=20,1,0))</formula>
    </cfRule>
    <cfRule type="expression" dxfId="2650" priority="925">
      <formula>AND(IF($Q33=2,1,0),IF($X33&lt;30,1,0))</formula>
    </cfRule>
    <cfRule type="expression" dxfId="2649" priority="926">
      <formula>AND(IF($Q33=3,1,0),IF($X33&lt;30,1,0))</formula>
    </cfRule>
    <cfRule type="expression" dxfId="2648" priority="927">
      <formula>AND(IF($Q33=3,1,IF($Q33=4,1,0)),IF($F33&lt;=85,1,0))</formula>
    </cfRule>
  </conditionalFormatting>
  <conditionalFormatting sqref="AI33">
    <cfRule type="expression" dxfId="2647" priority="920">
      <formula>AND(IF(OR($Q33=1,$Q33=2),1,0),IF($X33&lt;=20,1,0))</formula>
    </cfRule>
    <cfRule type="expression" dxfId="2646" priority="921">
      <formula>AND(IF($Q33=2,1,0),IF($X33&lt;30,1,0))</formula>
    </cfRule>
    <cfRule type="expression" dxfId="2645" priority="922">
      <formula>AND(IF($Q33=3,1,0),IF($X33&lt;30,1,0))</formula>
    </cfRule>
    <cfRule type="expression" dxfId="2644" priority="923">
      <formula>AND(IF($Q33=3,1,IF($Q33=4,1,0)),IF($F33&lt;=85,1,0))</formula>
    </cfRule>
  </conditionalFormatting>
  <conditionalFormatting sqref="AV34">
    <cfRule type="expression" dxfId="2643" priority="918">
      <formula>AV34="X"</formula>
    </cfRule>
    <cfRule type="expression" dxfId="2642" priority="919">
      <formula>AV34="후보"</formula>
    </cfRule>
  </conditionalFormatting>
  <conditionalFormatting sqref="AC34">
    <cfRule type="cellIs" dxfId="2641" priority="915" operator="greaterThan">
      <formula>0.9</formula>
    </cfRule>
    <cfRule type="cellIs" dxfId="2640" priority="916" operator="greaterThan">
      <formula>0.85</formula>
    </cfRule>
  </conditionalFormatting>
  <conditionalFormatting sqref="N34">
    <cfRule type="cellIs" dxfId="2639" priority="913" operator="greaterThan">
      <formula>0.9</formula>
    </cfRule>
    <cfRule type="cellIs" dxfId="2638" priority="914" operator="greaterThan">
      <formula>0.85</formula>
    </cfRule>
  </conditionalFormatting>
  <conditionalFormatting sqref="E34">
    <cfRule type="expression" dxfId="2637" priority="909">
      <formula>AND(IF(OR($Q34=1,$Q34=2),1,0),IF($X34&lt;=20,1,0))</formula>
    </cfRule>
    <cfRule type="expression" dxfId="2636" priority="910">
      <formula>AND(IF($Q34=2,1,0),IF($X34&lt;30,1,0))</formula>
    </cfRule>
    <cfRule type="expression" dxfId="2635" priority="911">
      <formula>AND(IF($Q34=3,1,0),IF($X34&lt;30,1,0))</formula>
    </cfRule>
    <cfRule type="expression" dxfId="2634" priority="912">
      <formula>AND(IF($Q34=3,1,IF($Q34=4,1,0)),IF($F34&lt;=85,1,0))</formula>
    </cfRule>
  </conditionalFormatting>
  <conditionalFormatting sqref="X34">
    <cfRule type="expression" dxfId="2633" priority="905">
      <formula>AND(IF(OR($Q34=1,$Q34=2),1,0),IF($X34&lt;=20,1,0))</formula>
    </cfRule>
    <cfRule type="expression" dxfId="2632" priority="906">
      <formula>AND(IF($Q34=2,1,0),IF($X34&lt;30,1,0))</formula>
    </cfRule>
    <cfRule type="expression" dxfId="2631" priority="907">
      <formula>AND(IF($Q34=3,1,0),IF($X34&lt;30,1,0))</formula>
    </cfRule>
    <cfRule type="expression" dxfId="2630" priority="908">
      <formula>AND(IF($Q34=3,1,IF($Q34=4,1,0)),IF($F34&lt;=85,1,0))</formula>
    </cfRule>
  </conditionalFormatting>
  <conditionalFormatting sqref="AI34">
    <cfRule type="expression" dxfId="2629" priority="901">
      <formula>AND(IF(OR($Q34=1,$Q34=2),1,0),IF($X34&lt;=20,1,0))</formula>
    </cfRule>
    <cfRule type="expression" dxfId="2628" priority="902">
      <formula>AND(IF($Q34=2,1,0),IF($X34&lt;30,1,0))</formula>
    </cfRule>
    <cfRule type="expression" dxfId="2627" priority="903">
      <formula>AND(IF($Q34=3,1,0),IF($X34&lt;30,1,0))</formula>
    </cfRule>
    <cfRule type="expression" dxfId="2626" priority="904">
      <formula>AND(IF($Q34=3,1,IF($Q34=4,1,0)),IF($F34&lt;=85,1,0))</formula>
    </cfRule>
  </conditionalFormatting>
  <conditionalFormatting sqref="AV35">
    <cfRule type="expression" dxfId="2625" priority="899">
      <formula>AV35="X"</formula>
    </cfRule>
    <cfRule type="expression" dxfId="2624" priority="900">
      <formula>AV35="후보"</formula>
    </cfRule>
  </conditionalFormatting>
  <conditionalFormatting sqref="AC35">
    <cfRule type="cellIs" dxfId="2623" priority="896" operator="greaterThan">
      <formula>0.9</formula>
    </cfRule>
    <cfRule type="cellIs" dxfId="2622" priority="897" operator="greaterThan">
      <formula>0.85</formula>
    </cfRule>
  </conditionalFormatting>
  <conditionalFormatting sqref="N35">
    <cfRule type="cellIs" dxfId="2621" priority="894" operator="greaterThan">
      <formula>0.9</formula>
    </cfRule>
    <cfRule type="cellIs" dxfId="2620" priority="895" operator="greaterThan">
      <formula>0.85</formula>
    </cfRule>
  </conditionalFormatting>
  <conditionalFormatting sqref="E35">
    <cfRule type="expression" dxfId="2619" priority="890">
      <formula>AND(IF(OR($Q35=1,$Q35=2),1,0),IF($X35&lt;=20,1,0))</formula>
    </cfRule>
    <cfRule type="expression" dxfId="2618" priority="891">
      <formula>AND(IF($Q35=2,1,0),IF($X35&lt;30,1,0))</formula>
    </cfRule>
    <cfRule type="expression" dxfId="2617" priority="892">
      <formula>AND(IF($Q35=3,1,0),IF($X35&lt;30,1,0))</formula>
    </cfRule>
    <cfRule type="expression" dxfId="2616" priority="893">
      <formula>AND(IF($Q35=3,1,IF($Q35=4,1,0)),IF($F35&lt;=85,1,0))</formula>
    </cfRule>
  </conditionalFormatting>
  <conditionalFormatting sqref="X35">
    <cfRule type="expression" dxfId="2615" priority="886">
      <formula>AND(IF(OR($Q35=1,$Q35=2),1,0),IF($X35&lt;=20,1,0))</formula>
    </cfRule>
    <cfRule type="expression" dxfId="2614" priority="887">
      <formula>AND(IF($Q35=2,1,0),IF($X35&lt;30,1,0))</formula>
    </cfRule>
    <cfRule type="expression" dxfId="2613" priority="888">
      <formula>AND(IF($Q35=3,1,0),IF($X35&lt;30,1,0))</formula>
    </cfRule>
    <cfRule type="expression" dxfId="2612" priority="889">
      <formula>AND(IF($Q35=3,1,IF($Q35=4,1,0)),IF($F35&lt;=85,1,0))</formula>
    </cfRule>
  </conditionalFormatting>
  <conditionalFormatting sqref="AI35">
    <cfRule type="expression" dxfId="2611" priority="882">
      <formula>AND(IF(OR($Q35=1,$Q35=2),1,0),IF($X35&lt;=20,1,0))</formula>
    </cfRule>
    <cfRule type="expression" dxfId="2610" priority="883">
      <formula>AND(IF($Q35=2,1,0),IF($X35&lt;30,1,0))</formula>
    </cfRule>
    <cfRule type="expression" dxfId="2609" priority="884">
      <formula>AND(IF($Q35=3,1,0),IF($X35&lt;30,1,0))</formula>
    </cfRule>
    <cfRule type="expression" dxfId="2608" priority="885">
      <formula>AND(IF($Q35=3,1,IF($Q35=4,1,0)),IF($F35&lt;=85,1,0))</formula>
    </cfRule>
  </conditionalFormatting>
  <conditionalFormatting sqref="AV36">
    <cfRule type="expression" dxfId="2607" priority="880">
      <formula>AV36="X"</formula>
    </cfRule>
    <cfRule type="expression" dxfId="2606" priority="881">
      <formula>AV36="후보"</formula>
    </cfRule>
  </conditionalFormatting>
  <conditionalFormatting sqref="AC36 N36">
    <cfRule type="cellIs" dxfId="2605" priority="877" operator="greaterThan">
      <formula>0.9</formula>
    </cfRule>
    <cfRule type="cellIs" dxfId="2604" priority="878" operator="greaterThan">
      <formula>0.85</formula>
    </cfRule>
  </conditionalFormatting>
  <conditionalFormatting sqref="AV37">
    <cfRule type="expression" dxfId="2603" priority="875">
      <formula>AV37="X"</formula>
    </cfRule>
    <cfRule type="expression" dxfId="2602" priority="876">
      <formula>AV37="후보"</formula>
    </cfRule>
  </conditionalFormatting>
  <conditionalFormatting sqref="AC37">
    <cfRule type="cellIs" dxfId="2601" priority="872" operator="greaterThan">
      <formula>0.9</formula>
    </cfRule>
    <cfRule type="cellIs" dxfId="2600" priority="873" operator="greaterThan">
      <formula>0.85</formula>
    </cfRule>
  </conditionalFormatting>
  <conditionalFormatting sqref="N37">
    <cfRule type="cellIs" dxfId="2599" priority="870" operator="greaterThan">
      <formula>0.9</formula>
    </cfRule>
    <cfRule type="cellIs" dxfId="2598" priority="871" operator="greaterThan">
      <formula>0.85</formula>
    </cfRule>
  </conditionalFormatting>
  <conditionalFormatting sqref="E37">
    <cfRule type="expression" dxfId="2597" priority="866">
      <formula>AND(IF(OR($Q37=1,$Q37=2),1,0),IF($X37&lt;=20,1,0))</formula>
    </cfRule>
    <cfRule type="expression" dxfId="2596" priority="867">
      <formula>AND(IF($Q37=2,1,0),IF($X37&lt;30,1,0))</formula>
    </cfRule>
    <cfRule type="expression" dxfId="2595" priority="868">
      <formula>AND(IF($Q37=3,1,0),IF($X37&lt;30,1,0))</formula>
    </cfRule>
    <cfRule type="expression" dxfId="2594" priority="869">
      <formula>AND(IF($Q37=3,1,IF($Q37=4,1,0)),IF($F37&lt;=85,1,0))</formula>
    </cfRule>
  </conditionalFormatting>
  <conditionalFormatting sqref="X37">
    <cfRule type="expression" dxfId="2593" priority="862">
      <formula>AND(IF(OR($Q37=1,$Q37=2),1,0),IF($X37&lt;=20,1,0))</formula>
    </cfRule>
    <cfRule type="expression" dxfId="2592" priority="863">
      <formula>AND(IF($Q37=2,1,0),IF($X37&lt;30,1,0))</formula>
    </cfRule>
    <cfRule type="expression" dxfId="2591" priority="864">
      <formula>AND(IF($Q37=3,1,0),IF($X37&lt;30,1,0))</formula>
    </cfRule>
    <cfRule type="expression" dxfId="2590" priority="865">
      <formula>AND(IF($Q37=3,1,IF($Q37=4,1,0)),IF($F37&lt;=85,1,0))</formula>
    </cfRule>
  </conditionalFormatting>
  <conditionalFormatting sqref="AI37">
    <cfRule type="expression" dxfId="2589" priority="858">
      <formula>AND(IF(OR($Q37=1,$Q37=2),1,0),IF($X37&lt;=20,1,0))</formula>
    </cfRule>
    <cfRule type="expression" dxfId="2588" priority="859">
      <formula>AND(IF($Q37=2,1,0),IF($X37&lt;30,1,0))</formula>
    </cfRule>
    <cfRule type="expression" dxfId="2587" priority="860">
      <formula>AND(IF($Q37=3,1,0),IF($X37&lt;30,1,0))</formula>
    </cfRule>
    <cfRule type="expression" dxfId="2586" priority="861">
      <formula>AND(IF($Q37=3,1,IF($Q37=4,1,0)),IF($F37&lt;=85,1,0))</formula>
    </cfRule>
  </conditionalFormatting>
  <conditionalFormatting sqref="AV38">
    <cfRule type="expression" dxfId="2585" priority="856">
      <formula>AV38="X"</formula>
    </cfRule>
    <cfRule type="expression" dxfId="2584" priority="857">
      <formula>AV38="후보"</formula>
    </cfRule>
  </conditionalFormatting>
  <conditionalFormatting sqref="AC38">
    <cfRule type="cellIs" dxfId="2583" priority="853" operator="greaterThan">
      <formula>0.9</formula>
    </cfRule>
    <cfRule type="cellIs" dxfId="2582" priority="854" operator="greaterThan">
      <formula>0.85</formula>
    </cfRule>
  </conditionalFormatting>
  <conditionalFormatting sqref="N38">
    <cfRule type="cellIs" dxfId="2581" priority="851" operator="greaterThan">
      <formula>0.9</formula>
    </cfRule>
    <cfRule type="cellIs" dxfId="2580" priority="852" operator="greaterThan">
      <formula>0.85</formula>
    </cfRule>
  </conditionalFormatting>
  <conditionalFormatting sqref="E38">
    <cfRule type="expression" dxfId="2579" priority="847">
      <formula>AND(IF(OR($Q38=1,$Q38=2),1,0),IF($X38&lt;=20,1,0))</formula>
    </cfRule>
    <cfRule type="expression" dxfId="2578" priority="848">
      <formula>AND(IF($Q38=2,1,0),IF($X38&lt;30,1,0))</formula>
    </cfRule>
    <cfRule type="expression" dxfId="2577" priority="849">
      <formula>AND(IF($Q38=3,1,0),IF($X38&lt;30,1,0))</formula>
    </cfRule>
    <cfRule type="expression" dxfId="2576" priority="850">
      <formula>AND(IF($Q38=3,1,IF($Q38=4,1,0)),IF($F38&lt;=85,1,0))</formula>
    </cfRule>
  </conditionalFormatting>
  <conditionalFormatting sqref="X38">
    <cfRule type="expression" dxfId="2575" priority="843">
      <formula>AND(IF(OR($Q38=1,$Q38=2),1,0),IF($X38&lt;=20,1,0))</formula>
    </cfRule>
    <cfRule type="expression" dxfId="2574" priority="844">
      <formula>AND(IF($Q38=2,1,0),IF($X38&lt;30,1,0))</formula>
    </cfRule>
    <cfRule type="expression" dxfId="2573" priority="845">
      <formula>AND(IF($Q38=3,1,0),IF($X38&lt;30,1,0))</formula>
    </cfRule>
    <cfRule type="expression" dxfId="2572" priority="846">
      <formula>AND(IF($Q38=3,1,IF($Q38=4,1,0)),IF($F38&lt;=85,1,0))</formula>
    </cfRule>
  </conditionalFormatting>
  <conditionalFormatting sqref="AI38">
    <cfRule type="expression" dxfId="2571" priority="839">
      <formula>AND(IF(OR($Q38=1,$Q38=2),1,0),IF($X38&lt;=20,1,0))</formula>
    </cfRule>
    <cfRule type="expression" dxfId="2570" priority="840">
      <formula>AND(IF($Q38=2,1,0),IF($X38&lt;30,1,0))</formula>
    </cfRule>
    <cfRule type="expression" dxfId="2569" priority="841">
      <formula>AND(IF($Q38=3,1,0),IF($X38&lt;30,1,0))</formula>
    </cfRule>
    <cfRule type="expression" dxfId="2568" priority="842">
      <formula>AND(IF($Q38=3,1,IF($Q38=4,1,0)),IF($F38&lt;=85,1,0))</formula>
    </cfRule>
  </conditionalFormatting>
  <conditionalFormatting sqref="AV39">
    <cfRule type="expression" dxfId="2567" priority="837">
      <formula>AV39="X"</formula>
    </cfRule>
    <cfRule type="expression" dxfId="2566" priority="838">
      <formula>AV39="후보"</formula>
    </cfRule>
  </conditionalFormatting>
  <conditionalFormatting sqref="AC39">
    <cfRule type="cellIs" dxfId="2565" priority="834" operator="greaterThan">
      <formula>0.9</formula>
    </cfRule>
    <cfRule type="cellIs" dxfId="2564" priority="835" operator="greaterThan">
      <formula>0.85</formula>
    </cfRule>
  </conditionalFormatting>
  <conditionalFormatting sqref="N39">
    <cfRule type="cellIs" dxfId="2563" priority="832" operator="greaterThan">
      <formula>0.9</formula>
    </cfRule>
    <cfRule type="cellIs" dxfId="2562" priority="833" operator="greaterThan">
      <formula>0.85</formula>
    </cfRule>
  </conditionalFormatting>
  <conditionalFormatting sqref="E39">
    <cfRule type="expression" dxfId="2561" priority="828">
      <formula>AND(IF(OR($Q39=1,$Q39=2),1,0),IF($X39&lt;=20,1,0))</formula>
    </cfRule>
    <cfRule type="expression" dxfId="2560" priority="829">
      <formula>AND(IF($Q39=2,1,0),IF($X39&lt;30,1,0))</formula>
    </cfRule>
    <cfRule type="expression" dxfId="2559" priority="830">
      <formula>AND(IF($Q39=3,1,0),IF($X39&lt;30,1,0))</formula>
    </cfRule>
    <cfRule type="expression" dxfId="2558" priority="831">
      <formula>AND(IF($Q39=3,1,IF($Q39=4,1,0)),IF($F39&lt;=85,1,0))</formula>
    </cfRule>
  </conditionalFormatting>
  <conditionalFormatting sqref="X39">
    <cfRule type="expression" dxfId="2557" priority="824">
      <formula>AND(IF(OR($Q39=1,$Q39=2),1,0),IF($X39&lt;=20,1,0))</formula>
    </cfRule>
    <cfRule type="expression" dxfId="2556" priority="825">
      <formula>AND(IF($Q39=2,1,0),IF($X39&lt;30,1,0))</formula>
    </cfRule>
    <cfRule type="expression" dxfId="2555" priority="826">
      <formula>AND(IF($Q39=3,1,0),IF($X39&lt;30,1,0))</formula>
    </cfRule>
    <cfRule type="expression" dxfId="2554" priority="827">
      <formula>AND(IF($Q39=3,1,IF($Q39=4,1,0)),IF($F39&lt;=85,1,0))</formula>
    </cfRule>
  </conditionalFormatting>
  <conditionalFormatting sqref="AI39">
    <cfRule type="expression" dxfId="2553" priority="820">
      <formula>AND(IF(OR($Q39=1,$Q39=2),1,0),IF($X39&lt;=20,1,0))</formula>
    </cfRule>
    <cfRule type="expression" dxfId="2552" priority="821">
      <formula>AND(IF($Q39=2,1,0),IF($X39&lt;30,1,0))</formula>
    </cfRule>
    <cfRule type="expression" dxfId="2551" priority="822">
      <formula>AND(IF($Q39=3,1,0),IF($X39&lt;30,1,0))</formula>
    </cfRule>
    <cfRule type="expression" dxfId="2550" priority="823">
      <formula>AND(IF($Q39=3,1,IF($Q39=4,1,0)),IF($F39&lt;=85,1,0))</formula>
    </cfRule>
  </conditionalFormatting>
  <conditionalFormatting sqref="AV40">
    <cfRule type="expression" dxfId="2549" priority="818">
      <formula>AV40="X"</formula>
    </cfRule>
    <cfRule type="expression" dxfId="2548" priority="819">
      <formula>AV40="후보"</formula>
    </cfRule>
  </conditionalFormatting>
  <conditionalFormatting sqref="AC40">
    <cfRule type="cellIs" dxfId="2547" priority="815" operator="greaterThan">
      <formula>0.9</formula>
    </cfRule>
    <cfRule type="cellIs" dxfId="2546" priority="816" operator="greaterThan">
      <formula>0.85</formula>
    </cfRule>
  </conditionalFormatting>
  <conditionalFormatting sqref="N40">
    <cfRule type="cellIs" dxfId="2545" priority="813" operator="greaterThan">
      <formula>0.9</formula>
    </cfRule>
    <cfRule type="cellIs" dxfId="2544" priority="814" operator="greaterThan">
      <formula>0.85</formula>
    </cfRule>
  </conditionalFormatting>
  <conditionalFormatting sqref="E40">
    <cfRule type="expression" dxfId="2543" priority="809">
      <formula>AND(IF(OR($Q40=1,$Q40=2),1,0),IF($X40&lt;=20,1,0))</formula>
    </cfRule>
    <cfRule type="expression" dxfId="2542" priority="810">
      <formula>AND(IF($Q40=2,1,0),IF($X40&lt;30,1,0))</formula>
    </cfRule>
    <cfRule type="expression" dxfId="2541" priority="811">
      <formula>AND(IF($Q40=3,1,0),IF($X40&lt;30,1,0))</formula>
    </cfRule>
    <cfRule type="expression" dxfId="2540" priority="812">
      <formula>AND(IF($Q40=3,1,IF($Q40=4,1,0)),IF($F40&lt;=85,1,0))</formula>
    </cfRule>
  </conditionalFormatting>
  <conditionalFormatting sqref="X40">
    <cfRule type="expression" dxfId="2539" priority="805">
      <formula>AND(IF(OR($Q40=1,$Q40=2),1,0),IF($X40&lt;=20,1,0))</formula>
    </cfRule>
    <cfRule type="expression" dxfId="2538" priority="806">
      <formula>AND(IF($Q40=2,1,0),IF($X40&lt;30,1,0))</formula>
    </cfRule>
    <cfRule type="expression" dxfId="2537" priority="807">
      <formula>AND(IF($Q40=3,1,0),IF($X40&lt;30,1,0))</formula>
    </cfRule>
    <cfRule type="expression" dxfId="2536" priority="808">
      <formula>AND(IF($Q40=3,1,IF($Q40=4,1,0)),IF($F40&lt;=85,1,0))</formula>
    </cfRule>
  </conditionalFormatting>
  <conditionalFormatting sqref="AI40">
    <cfRule type="expression" dxfId="2535" priority="801">
      <formula>AND(IF(OR($Q40=1,$Q40=2),1,0),IF($X40&lt;=20,1,0))</formula>
    </cfRule>
    <cfRule type="expression" dxfId="2534" priority="802">
      <formula>AND(IF($Q40=2,1,0),IF($X40&lt;30,1,0))</formula>
    </cfRule>
    <cfRule type="expression" dxfId="2533" priority="803">
      <formula>AND(IF($Q40=3,1,0),IF($X40&lt;30,1,0))</formula>
    </cfRule>
    <cfRule type="expression" dxfId="2532" priority="804">
      <formula>AND(IF($Q40=3,1,IF($Q40=4,1,0)),IF($F40&lt;=85,1,0))</formula>
    </cfRule>
  </conditionalFormatting>
  <conditionalFormatting sqref="AV41">
    <cfRule type="expression" dxfId="2531" priority="799">
      <formula>AV41="X"</formula>
    </cfRule>
    <cfRule type="expression" dxfId="2530" priority="800">
      <formula>AV41="후보"</formula>
    </cfRule>
  </conditionalFormatting>
  <conditionalFormatting sqref="AC41">
    <cfRule type="cellIs" dxfId="2529" priority="796" operator="greaterThan">
      <formula>0.9</formula>
    </cfRule>
    <cfRule type="cellIs" dxfId="2528" priority="797" operator="greaterThan">
      <formula>0.85</formula>
    </cfRule>
  </conditionalFormatting>
  <conditionalFormatting sqref="N41">
    <cfRule type="cellIs" dxfId="2527" priority="794" operator="greaterThan">
      <formula>0.9</formula>
    </cfRule>
    <cfRule type="cellIs" dxfId="2526" priority="795" operator="greaterThan">
      <formula>0.85</formula>
    </cfRule>
  </conditionalFormatting>
  <conditionalFormatting sqref="E41">
    <cfRule type="expression" dxfId="2525" priority="790">
      <formula>AND(IF(OR($Q41=1,$Q41=2),1,0),IF($X41&lt;=20,1,0))</formula>
    </cfRule>
    <cfRule type="expression" dxfId="2524" priority="791">
      <formula>AND(IF($Q41=2,1,0),IF($X41&lt;30,1,0))</formula>
    </cfRule>
    <cfRule type="expression" dxfId="2523" priority="792">
      <formula>AND(IF($Q41=3,1,0),IF($X41&lt;30,1,0))</formula>
    </cfRule>
    <cfRule type="expression" dxfId="2522" priority="793">
      <formula>AND(IF($Q41=3,1,IF($Q41=4,1,0)),IF($F41&lt;=85,1,0))</formula>
    </cfRule>
  </conditionalFormatting>
  <conditionalFormatting sqref="X41">
    <cfRule type="expression" dxfId="2521" priority="786">
      <formula>AND(IF(OR($Q41=1,$Q41=2),1,0),IF($X41&lt;=20,1,0))</formula>
    </cfRule>
    <cfRule type="expression" dxfId="2520" priority="787">
      <formula>AND(IF($Q41=2,1,0),IF($X41&lt;30,1,0))</formula>
    </cfRule>
    <cfRule type="expression" dxfId="2519" priority="788">
      <formula>AND(IF($Q41=3,1,0),IF($X41&lt;30,1,0))</formula>
    </cfRule>
    <cfRule type="expression" dxfId="2518" priority="789">
      <formula>AND(IF($Q41=3,1,IF($Q41=4,1,0)),IF($F41&lt;=85,1,0))</formula>
    </cfRule>
  </conditionalFormatting>
  <conditionalFormatting sqref="AI41">
    <cfRule type="expression" dxfId="2517" priority="782">
      <formula>AND(IF(OR($Q41=1,$Q41=2),1,0),IF($X41&lt;=20,1,0))</formula>
    </cfRule>
    <cfRule type="expression" dxfId="2516" priority="783">
      <formula>AND(IF($Q41=2,1,0),IF($X41&lt;30,1,0))</formula>
    </cfRule>
    <cfRule type="expression" dxfId="2515" priority="784">
      <formula>AND(IF($Q41=3,1,0),IF($X41&lt;30,1,0))</formula>
    </cfRule>
    <cfRule type="expression" dxfId="2514" priority="785">
      <formula>AND(IF($Q41=3,1,IF($Q41=4,1,0)),IF($F41&lt;=85,1,0))</formula>
    </cfRule>
  </conditionalFormatting>
  <conditionalFormatting sqref="AV42">
    <cfRule type="expression" dxfId="2513" priority="780">
      <formula>AV42="X"</formula>
    </cfRule>
    <cfRule type="expression" dxfId="2512" priority="781">
      <formula>AV42="후보"</formula>
    </cfRule>
  </conditionalFormatting>
  <conditionalFormatting sqref="AC42">
    <cfRule type="cellIs" dxfId="2511" priority="777" operator="greaterThan">
      <formula>0.9</formula>
    </cfRule>
    <cfRule type="cellIs" dxfId="2510" priority="778" operator="greaterThan">
      <formula>0.85</formula>
    </cfRule>
  </conditionalFormatting>
  <conditionalFormatting sqref="N42">
    <cfRule type="cellIs" dxfId="2509" priority="775" operator="greaterThan">
      <formula>0.9</formula>
    </cfRule>
    <cfRule type="cellIs" dxfId="2508" priority="776" operator="greaterThan">
      <formula>0.85</formula>
    </cfRule>
  </conditionalFormatting>
  <conditionalFormatting sqref="E42">
    <cfRule type="expression" dxfId="2507" priority="771">
      <formula>AND(IF(OR($Q42=1,$Q42=2),1,0),IF($X42&lt;=20,1,0))</formula>
    </cfRule>
    <cfRule type="expression" dxfId="2506" priority="772">
      <formula>AND(IF($Q42=2,1,0),IF($X42&lt;30,1,0))</formula>
    </cfRule>
    <cfRule type="expression" dxfId="2505" priority="773">
      <formula>AND(IF($Q42=3,1,0),IF($X42&lt;30,1,0))</formula>
    </cfRule>
    <cfRule type="expression" dxfId="2504" priority="774">
      <formula>AND(IF($Q42=3,1,IF($Q42=4,1,0)),IF($F42&lt;=85,1,0))</formula>
    </cfRule>
  </conditionalFormatting>
  <conditionalFormatting sqref="X42">
    <cfRule type="expression" dxfId="2503" priority="767">
      <formula>AND(IF(OR($Q42=1,$Q42=2),1,0),IF($X42&lt;=20,1,0))</formula>
    </cfRule>
    <cfRule type="expression" dxfId="2502" priority="768">
      <formula>AND(IF($Q42=2,1,0),IF($X42&lt;30,1,0))</formula>
    </cfRule>
    <cfRule type="expression" dxfId="2501" priority="769">
      <formula>AND(IF($Q42=3,1,0),IF($X42&lt;30,1,0))</formula>
    </cfRule>
    <cfRule type="expression" dxfId="2500" priority="770">
      <formula>AND(IF($Q42=3,1,IF($Q42=4,1,0)),IF($F42&lt;=85,1,0))</formula>
    </cfRule>
  </conditionalFormatting>
  <conditionalFormatting sqref="AI42">
    <cfRule type="expression" dxfId="2499" priority="763">
      <formula>AND(IF(OR($Q42=1,$Q42=2),1,0),IF($X42&lt;=20,1,0))</formula>
    </cfRule>
    <cfRule type="expression" dxfId="2498" priority="764">
      <formula>AND(IF($Q42=2,1,0),IF($X42&lt;30,1,0))</formula>
    </cfRule>
    <cfRule type="expression" dxfId="2497" priority="765">
      <formula>AND(IF($Q42=3,1,0),IF($X42&lt;30,1,0))</formula>
    </cfRule>
    <cfRule type="expression" dxfId="2496" priority="766">
      <formula>AND(IF($Q42=3,1,IF($Q42=4,1,0)),IF($F42&lt;=85,1,0))</formula>
    </cfRule>
  </conditionalFormatting>
  <conditionalFormatting sqref="AV43">
    <cfRule type="expression" dxfId="2495" priority="761">
      <formula>AV43="X"</formula>
    </cfRule>
    <cfRule type="expression" dxfId="2494" priority="762">
      <formula>AV43="후보"</formula>
    </cfRule>
  </conditionalFormatting>
  <conditionalFormatting sqref="AC43 N43">
    <cfRule type="cellIs" dxfId="2493" priority="758" operator="greaterThan">
      <formula>0.9</formula>
    </cfRule>
    <cfRule type="cellIs" dxfId="2492" priority="759" operator="greaterThan">
      <formula>0.85</formula>
    </cfRule>
  </conditionalFormatting>
  <conditionalFormatting sqref="AV44">
    <cfRule type="expression" dxfId="2491" priority="756">
      <formula>AV44="X"</formula>
    </cfRule>
    <cfRule type="expression" dxfId="2490" priority="757">
      <formula>AV44="후보"</formula>
    </cfRule>
  </conditionalFormatting>
  <conditionalFormatting sqref="AC44">
    <cfRule type="cellIs" dxfId="2489" priority="753" operator="greaterThan">
      <formula>0.9</formula>
    </cfRule>
    <cfRule type="cellIs" dxfId="2488" priority="754" operator="greaterThan">
      <formula>0.85</formula>
    </cfRule>
  </conditionalFormatting>
  <conditionalFormatting sqref="N44">
    <cfRule type="cellIs" dxfId="2487" priority="751" operator="greaterThan">
      <formula>0.9</formula>
    </cfRule>
    <cfRule type="cellIs" dxfId="2486" priority="752" operator="greaterThan">
      <formula>0.85</formula>
    </cfRule>
  </conditionalFormatting>
  <conditionalFormatting sqref="E44">
    <cfRule type="expression" dxfId="2485" priority="747">
      <formula>AND(IF(OR($Q44=1,$Q44=2),1,0),IF($X44&lt;=20,1,0))</formula>
    </cfRule>
    <cfRule type="expression" dxfId="2484" priority="748">
      <formula>AND(IF($Q44=2,1,0),IF($X44&lt;30,1,0))</formula>
    </cfRule>
    <cfRule type="expression" dxfId="2483" priority="749">
      <formula>AND(IF($Q44=3,1,0),IF($X44&lt;30,1,0))</formula>
    </cfRule>
    <cfRule type="expression" dxfId="2482" priority="750">
      <formula>AND(IF($Q44=3,1,IF($Q44=4,1,0)),IF($F44&lt;=85,1,0))</formula>
    </cfRule>
  </conditionalFormatting>
  <conditionalFormatting sqref="X44">
    <cfRule type="expression" dxfId="2481" priority="743">
      <formula>AND(IF(OR($Q44=1,$Q44=2),1,0),IF($X44&lt;=20,1,0))</formula>
    </cfRule>
    <cfRule type="expression" dxfId="2480" priority="744">
      <formula>AND(IF($Q44=2,1,0),IF($X44&lt;30,1,0))</formula>
    </cfRule>
    <cfRule type="expression" dxfId="2479" priority="745">
      <formula>AND(IF($Q44=3,1,0),IF($X44&lt;30,1,0))</formula>
    </cfRule>
    <cfRule type="expression" dxfId="2478" priority="746">
      <formula>AND(IF($Q44=3,1,IF($Q44=4,1,0)),IF($F44&lt;=85,1,0))</formula>
    </cfRule>
  </conditionalFormatting>
  <conditionalFormatting sqref="AI44">
    <cfRule type="expression" dxfId="2477" priority="739">
      <formula>AND(IF(OR($Q44=1,$Q44=2),1,0),IF($X44&lt;=20,1,0))</formula>
    </cfRule>
    <cfRule type="expression" dxfId="2476" priority="740">
      <formula>AND(IF($Q44=2,1,0),IF($X44&lt;30,1,0))</formula>
    </cfRule>
    <cfRule type="expression" dxfId="2475" priority="741">
      <formula>AND(IF($Q44=3,1,0),IF($X44&lt;30,1,0))</formula>
    </cfRule>
    <cfRule type="expression" dxfId="2474" priority="742">
      <formula>AND(IF($Q44=3,1,IF($Q44=4,1,0)),IF($F44&lt;=85,1,0))</formula>
    </cfRule>
  </conditionalFormatting>
  <conditionalFormatting sqref="AV45">
    <cfRule type="expression" dxfId="2473" priority="737">
      <formula>AV45="X"</formula>
    </cfRule>
    <cfRule type="expression" dxfId="2472" priority="738">
      <formula>AV45="후보"</formula>
    </cfRule>
  </conditionalFormatting>
  <conditionalFormatting sqref="AC45">
    <cfRule type="cellIs" dxfId="2471" priority="734" operator="greaterThan">
      <formula>0.9</formula>
    </cfRule>
    <cfRule type="cellIs" dxfId="2470" priority="735" operator="greaterThan">
      <formula>0.85</formula>
    </cfRule>
  </conditionalFormatting>
  <conditionalFormatting sqref="N45">
    <cfRule type="cellIs" dxfId="2469" priority="732" operator="greaterThan">
      <formula>0.9</formula>
    </cfRule>
    <cfRule type="cellIs" dxfId="2468" priority="733" operator="greaterThan">
      <formula>0.85</formula>
    </cfRule>
  </conditionalFormatting>
  <conditionalFormatting sqref="E45">
    <cfRule type="expression" dxfId="2467" priority="728">
      <formula>AND(IF(OR($Q45=1,$Q45=2),1,0),IF($X45&lt;=20,1,0))</formula>
    </cfRule>
    <cfRule type="expression" dxfId="2466" priority="729">
      <formula>AND(IF($Q45=2,1,0),IF($X45&lt;30,1,0))</formula>
    </cfRule>
    <cfRule type="expression" dxfId="2465" priority="730">
      <formula>AND(IF($Q45=3,1,0),IF($X45&lt;30,1,0))</formula>
    </cfRule>
    <cfRule type="expression" dxfId="2464" priority="731">
      <formula>AND(IF($Q45=3,1,IF($Q45=4,1,0)),IF($F45&lt;=85,1,0))</formula>
    </cfRule>
  </conditionalFormatting>
  <conditionalFormatting sqref="X45">
    <cfRule type="expression" dxfId="2463" priority="724">
      <formula>AND(IF(OR($Q45=1,$Q45=2),1,0),IF($X45&lt;=20,1,0))</formula>
    </cfRule>
    <cfRule type="expression" dxfId="2462" priority="725">
      <formula>AND(IF($Q45=2,1,0),IF($X45&lt;30,1,0))</formula>
    </cfRule>
    <cfRule type="expression" dxfId="2461" priority="726">
      <formula>AND(IF($Q45=3,1,0),IF($X45&lt;30,1,0))</formula>
    </cfRule>
    <cfRule type="expression" dxfId="2460" priority="727">
      <formula>AND(IF($Q45=3,1,IF($Q45=4,1,0)),IF($F45&lt;=85,1,0))</formula>
    </cfRule>
  </conditionalFormatting>
  <conditionalFormatting sqref="AI45">
    <cfRule type="expression" dxfId="2459" priority="720">
      <formula>AND(IF(OR($Q45=1,$Q45=2),1,0),IF($X45&lt;=20,1,0))</formula>
    </cfRule>
    <cfRule type="expression" dxfId="2458" priority="721">
      <formula>AND(IF($Q45=2,1,0),IF($X45&lt;30,1,0))</formula>
    </cfRule>
    <cfRule type="expression" dxfId="2457" priority="722">
      <formula>AND(IF($Q45=3,1,0),IF($X45&lt;30,1,0))</formula>
    </cfRule>
    <cfRule type="expression" dxfId="2456" priority="723">
      <formula>AND(IF($Q45=3,1,IF($Q45=4,1,0)),IF($F45&lt;=85,1,0))</formula>
    </cfRule>
  </conditionalFormatting>
  <conditionalFormatting sqref="AV46">
    <cfRule type="expression" dxfId="2455" priority="718">
      <formula>AV46="X"</formula>
    </cfRule>
    <cfRule type="expression" dxfId="2454" priority="719">
      <formula>AV46="후보"</formula>
    </cfRule>
  </conditionalFormatting>
  <conditionalFormatting sqref="AC46">
    <cfRule type="cellIs" dxfId="2453" priority="715" operator="greaterThan">
      <formula>0.9</formula>
    </cfRule>
    <cfRule type="cellIs" dxfId="2452" priority="716" operator="greaterThan">
      <formula>0.85</formula>
    </cfRule>
  </conditionalFormatting>
  <conditionalFormatting sqref="N46">
    <cfRule type="cellIs" dxfId="2451" priority="713" operator="greaterThan">
      <formula>0.9</formula>
    </cfRule>
    <cfRule type="cellIs" dxfId="2450" priority="714" operator="greaterThan">
      <formula>0.85</formula>
    </cfRule>
  </conditionalFormatting>
  <conditionalFormatting sqref="E46">
    <cfRule type="expression" dxfId="2449" priority="709">
      <formula>AND(IF(OR($Q46=1,$Q46=2),1,0),IF($X46&lt;=20,1,0))</formula>
    </cfRule>
    <cfRule type="expression" dxfId="2448" priority="710">
      <formula>AND(IF($Q46=2,1,0),IF($X46&lt;30,1,0))</formula>
    </cfRule>
    <cfRule type="expression" dxfId="2447" priority="711">
      <formula>AND(IF($Q46=3,1,0),IF($X46&lt;30,1,0))</formula>
    </cfRule>
    <cfRule type="expression" dxfId="2446" priority="712">
      <formula>AND(IF($Q46=3,1,IF($Q46=4,1,0)),IF($F46&lt;=85,1,0))</formula>
    </cfRule>
  </conditionalFormatting>
  <conditionalFormatting sqref="X46">
    <cfRule type="expression" dxfId="2445" priority="705">
      <formula>AND(IF(OR($Q46=1,$Q46=2),1,0),IF($X46&lt;=20,1,0))</formula>
    </cfRule>
    <cfRule type="expression" dxfId="2444" priority="706">
      <formula>AND(IF($Q46=2,1,0),IF($X46&lt;30,1,0))</formula>
    </cfRule>
    <cfRule type="expression" dxfId="2443" priority="707">
      <formula>AND(IF($Q46=3,1,0),IF($X46&lt;30,1,0))</formula>
    </cfRule>
    <cfRule type="expression" dxfId="2442" priority="708">
      <formula>AND(IF($Q46=3,1,IF($Q46=4,1,0)),IF($F46&lt;=85,1,0))</formula>
    </cfRule>
  </conditionalFormatting>
  <conditionalFormatting sqref="AI46">
    <cfRule type="expression" dxfId="2441" priority="701">
      <formula>AND(IF(OR($Q46=1,$Q46=2),1,0),IF($X46&lt;=20,1,0))</formula>
    </cfRule>
    <cfRule type="expression" dxfId="2440" priority="702">
      <formula>AND(IF($Q46=2,1,0),IF($X46&lt;30,1,0))</formula>
    </cfRule>
    <cfRule type="expression" dxfId="2439" priority="703">
      <formula>AND(IF($Q46=3,1,0),IF($X46&lt;30,1,0))</formula>
    </cfRule>
    <cfRule type="expression" dxfId="2438" priority="704">
      <formula>AND(IF($Q46=3,1,IF($Q46=4,1,0)),IF($F46&lt;=85,1,0))</formula>
    </cfRule>
  </conditionalFormatting>
  <conditionalFormatting sqref="AV47">
    <cfRule type="expression" dxfId="2437" priority="699">
      <formula>AV47="X"</formula>
    </cfRule>
    <cfRule type="expression" dxfId="2436" priority="700">
      <formula>AV47="후보"</formula>
    </cfRule>
  </conditionalFormatting>
  <conditionalFormatting sqref="AC47">
    <cfRule type="cellIs" dxfId="2435" priority="696" operator="greaterThan">
      <formula>0.9</formula>
    </cfRule>
    <cfRule type="cellIs" dxfId="2434" priority="697" operator="greaterThan">
      <formula>0.85</formula>
    </cfRule>
  </conditionalFormatting>
  <conditionalFormatting sqref="N47">
    <cfRule type="cellIs" dxfId="2433" priority="694" operator="greaterThan">
      <formula>0.9</formula>
    </cfRule>
    <cfRule type="cellIs" dxfId="2432" priority="695" operator="greaterThan">
      <formula>0.85</formula>
    </cfRule>
  </conditionalFormatting>
  <conditionalFormatting sqref="E47">
    <cfRule type="expression" dxfId="2431" priority="690">
      <formula>AND(IF(OR($Q47=1,$Q47=2),1,0),IF($X47&lt;=20,1,0))</formula>
    </cfRule>
    <cfRule type="expression" dxfId="2430" priority="691">
      <formula>AND(IF($Q47=2,1,0),IF($X47&lt;30,1,0))</formula>
    </cfRule>
    <cfRule type="expression" dxfId="2429" priority="692">
      <formula>AND(IF($Q47=3,1,0),IF($X47&lt;30,1,0))</formula>
    </cfRule>
    <cfRule type="expression" dxfId="2428" priority="693">
      <formula>AND(IF($Q47=3,1,IF($Q47=4,1,0)),IF($F47&lt;=85,1,0))</formula>
    </cfRule>
  </conditionalFormatting>
  <conditionalFormatting sqref="X47">
    <cfRule type="expression" dxfId="2427" priority="686">
      <formula>AND(IF(OR($Q47=1,$Q47=2),1,0),IF($X47&lt;=20,1,0))</formula>
    </cfRule>
    <cfRule type="expression" dxfId="2426" priority="687">
      <formula>AND(IF($Q47=2,1,0),IF($X47&lt;30,1,0))</formula>
    </cfRule>
    <cfRule type="expression" dxfId="2425" priority="688">
      <formula>AND(IF($Q47=3,1,0),IF($X47&lt;30,1,0))</formula>
    </cfRule>
    <cfRule type="expression" dxfId="2424" priority="689">
      <formula>AND(IF($Q47=3,1,IF($Q47=4,1,0)),IF($F47&lt;=85,1,0))</formula>
    </cfRule>
  </conditionalFormatting>
  <conditionalFormatting sqref="AI47">
    <cfRule type="expression" dxfId="2423" priority="682">
      <formula>AND(IF(OR($Q47=1,$Q47=2),1,0),IF($X47&lt;=20,1,0))</formula>
    </cfRule>
    <cfRule type="expression" dxfId="2422" priority="683">
      <formula>AND(IF($Q47=2,1,0),IF($X47&lt;30,1,0))</formula>
    </cfRule>
    <cfRule type="expression" dxfId="2421" priority="684">
      <formula>AND(IF($Q47=3,1,0),IF($X47&lt;30,1,0))</formula>
    </cfRule>
    <cfRule type="expression" dxfId="2420" priority="685">
      <formula>AND(IF($Q47=3,1,IF($Q47=4,1,0)),IF($F47&lt;=85,1,0))</formula>
    </cfRule>
  </conditionalFormatting>
  <conditionalFormatting sqref="AV48">
    <cfRule type="expression" dxfId="2419" priority="680">
      <formula>AV48="X"</formula>
    </cfRule>
    <cfRule type="expression" dxfId="2418" priority="681">
      <formula>AV48="후보"</formula>
    </cfRule>
  </conditionalFormatting>
  <conditionalFormatting sqref="AC48">
    <cfRule type="cellIs" dxfId="2417" priority="677" operator="greaterThan">
      <formula>0.9</formula>
    </cfRule>
    <cfRule type="cellIs" dxfId="2416" priority="678" operator="greaterThan">
      <formula>0.85</formula>
    </cfRule>
  </conditionalFormatting>
  <conditionalFormatting sqref="N48">
    <cfRule type="cellIs" dxfId="2415" priority="675" operator="greaterThan">
      <formula>0.9</formula>
    </cfRule>
    <cfRule type="cellIs" dxfId="2414" priority="676" operator="greaterThan">
      <formula>0.85</formula>
    </cfRule>
  </conditionalFormatting>
  <conditionalFormatting sqref="E48">
    <cfRule type="expression" dxfId="2413" priority="671">
      <formula>AND(IF(OR($Q48=1,$Q48=2),1,0),IF($X48&lt;=20,1,0))</formula>
    </cfRule>
    <cfRule type="expression" dxfId="2412" priority="672">
      <formula>AND(IF($Q48=2,1,0),IF($X48&lt;30,1,0))</formula>
    </cfRule>
    <cfRule type="expression" dxfId="2411" priority="673">
      <formula>AND(IF($Q48=3,1,0),IF($X48&lt;30,1,0))</formula>
    </cfRule>
    <cfRule type="expression" dxfId="2410" priority="674">
      <formula>AND(IF($Q48=3,1,IF($Q48=4,1,0)),IF($F48&lt;=85,1,0))</formula>
    </cfRule>
  </conditionalFormatting>
  <conditionalFormatting sqref="X48">
    <cfRule type="expression" dxfId="2409" priority="667">
      <formula>AND(IF(OR($Q48=1,$Q48=2),1,0),IF($X48&lt;=20,1,0))</formula>
    </cfRule>
    <cfRule type="expression" dxfId="2408" priority="668">
      <formula>AND(IF($Q48=2,1,0),IF($X48&lt;30,1,0))</formula>
    </cfRule>
    <cfRule type="expression" dxfId="2407" priority="669">
      <formula>AND(IF($Q48=3,1,0),IF($X48&lt;30,1,0))</formula>
    </cfRule>
    <cfRule type="expression" dxfId="2406" priority="670">
      <formula>AND(IF($Q48=3,1,IF($Q48=4,1,0)),IF($F48&lt;=85,1,0))</formula>
    </cfRule>
  </conditionalFormatting>
  <conditionalFormatting sqref="AI48">
    <cfRule type="expression" dxfId="2405" priority="663">
      <formula>AND(IF(OR($Q48=1,$Q48=2),1,0),IF($X48&lt;=20,1,0))</formula>
    </cfRule>
    <cfRule type="expression" dxfId="2404" priority="664">
      <formula>AND(IF($Q48=2,1,0),IF($X48&lt;30,1,0))</formula>
    </cfRule>
    <cfRule type="expression" dxfId="2403" priority="665">
      <formula>AND(IF($Q48=3,1,0),IF($X48&lt;30,1,0))</formula>
    </cfRule>
    <cfRule type="expression" dxfId="2402" priority="666">
      <formula>AND(IF($Q48=3,1,IF($Q48=4,1,0)),IF($F48&lt;=85,1,0))</formula>
    </cfRule>
  </conditionalFormatting>
  <conditionalFormatting sqref="AV49">
    <cfRule type="expression" dxfId="2401" priority="661">
      <formula>AV49="X"</formula>
    </cfRule>
    <cfRule type="expression" dxfId="2400" priority="662">
      <formula>AV49="후보"</formula>
    </cfRule>
  </conditionalFormatting>
  <conditionalFormatting sqref="AC49">
    <cfRule type="cellIs" dxfId="2399" priority="658" operator="greaterThan">
      <formula>0.9</formula>
    </cfRule>
    <cfRule type="cellIs" dxfId="2398" priority="659" operator="greaterThan">
      <formula>0.85</formula>
    </cfRule>
  </conditionalFormatting>
  <conditionalFormatting sqref="N49">
    <cfRule type="cellIs" dxfId="2397" priority="656" operator="greaterThan">
      <formula>0.9</formula>
    </cfRule>
    <cfRule type="cellIs" dxfId="2396" priority="657" operator="greaterThan">
      <formula>0.85</formula>
    </cfRule>
  </conditionalFormatting>
  <conditionalFormatting sqref="E49">
    <cfRule type="expression" dxfId="2395" priority="652">
      <formula>AND(IF(OR($Q49=1,$Q49=2),1,0),IF($X49&lt;=20,1,0))</formula>
    </cfRule>
    <cfRule type="expression" dxfId="2394" priority="653">
      <formula>AND(IF($Q49=2,1,0),IF($X49&lt;30,1,0))</formula>
    </cfRule>
    <cfRule type="expression" dxfId="2393" priority="654">
      <formula>AND(IF($Q49=3,1,0),IF($X49&lt;30,1,0))</formula>
    </cfRule>
    <cfRule type="expression" dxfId="2392" priority="655">
      <formula>AND(IF($Q49=3,1,IF($Q49=4,1,0)),IF($F49&lt;=85,1,0))</formula>
    </cfRule>
  </conditionalFormatting>
  <conditionalFormatting sqref="X49">
    <cfRule type="expression" dxfId="2391" priority="648">
      <formula>AND(IF(OR($Q49=1,$Q49=2),1,0),IF($X49&lt;=20,1,0))</formula>
    </cfRule>
    <cfRule type="expression" dxfId="2390" priority="649">
      <formula>AND(IF($Q49=2,1,0),IF($X49&lt;30,1,0))</formula>
    </cfRule>
    <cfRule type="expression" dxfId="2389" priority="650">
      <formula>AND(IF($Q49=3,1,0),IF($X49&lt;30,1,0))</formula>
    </cfRule>
    <cfRule type="expression" dxfId="2388" priority="651">
      <formula>AND(IF($Q49=3,1,IF($Q49=4,1,0)),IF($F49&lt;=85,1,0))</formula>
    </cfRule>
  </conditionalFormatting>
  <conditionalFormatting sqref="AI49">
    <cfRule type="expression" dxfId="2387" priority="644">
      <formula>AND(IF(OR($Q49=1,$Q49=2),1,0),IF($X49&lt;=20,1,0))</formula>
    </cfRule>
    <cfRule type="expression" dxfId="2386" priority="645">
      <formula>AND(IF($Q49=2,1,0),IF($X49&lt;30,1,0))</formula>
    </cfRule>
    <cfRule type="expression" dxfId="2385" priority="646">
      <formula>AND(IF($Q49=3,1,0),IF($X49&lt;30,1,0))</formula>
    </cfRule>
    <cfRule type="expression" dxfId="2384" priority="647">
      <formula>AND(IF($Q49=3,1,IF($Q49=4,1,0)),IF($F49&lt;=85,1,0))</formula>
    </cfRule>
  </conditionalFormatting>
  <conditionalFormatting sqref="AV50">
    <cfRule type="expression" dxfId="2383" priority="642">
      <formula>AV50="X"</formula>
    </cfRule>
    <cfRule type="expression" dxfId="2382" priority="643">
      <formula>AV50="후보"</formula>
    </cfRule>
  </conditionalFormatting>
  <conditionalFormatting sqref="AC50">
    <cfRule type="cellIs" dxfId="2381" priority="639" operator="greaterThan">
      <formula>0.9</formula>
    </cfRule>
    <cfRule type="cellIs" dxfId="2380" priority="640" operator="greaterThan">
      <formula>0.85</formula>
    </cfRule>
  </conditionalFormatting>
  <conditionalFormatting sqref="N50">
    <cfRule type="cellIs" dxfId="2379" priority="637" operator="greaterThan">
      <formula>0.9</formula>
    </cfRule>
    <cfRule type="cellIs" dxfId="2378" priority="638" operator="greaterThan">
      <formula>0.85</formula>
    </cfRule>
  </conditionalFormatting>
  <conditionalFormatting sqref="E50">
    <cfRule type="expression" dxfId="2377" priority="633">
      <formula>AND(IF(OR($Q50=1,$Q50=2),1,0),IF($X50&lt;=20,1,0))</formula>
    </cfRule>
    <cfRule type="expression" dxfId="2376" priority="634">
      <formula>AND(IF($Q50=2,1,0),IF($X50&lt;30,1,0))</formula>
    </cfRule>
    <cfRule type="expression" dxfId="2375" priority="635">
      <formula>AND(IF($Q50=3,1,0),IF($X50&lt;30,1,0))</formula>
    </cfRule>
    <cfRule type="expression" dxfId="2374" priority="636">
      <formula>AND(IF($Q50=3,1,IF($Q50=4,1,0)),IF($F50&lt;=85,1,0))</formula>
    </cfRule>
  </conditionalFormatting>
  <conditionalFormatting sqref="X50">
    <cfRule type="expression" dxfId="2373" priority="629">
      <formula>AND(IF(OR($Q50=1,$Q50=2),1,0),IF($X50&lt;=20,1,0))</formula>
    </cfRule>
    <cfRule type="expression" dxfId="2372" priority="630">
      <formula>AND(IF($Q50=2,1,0),IF($X50&lt;30,1,0))</formula>
    </cfRule>
    <cfRule type="expression" dxfId="2371" priority="631">
      <formula>AND(IF($Q50=3,1,0),IF($X50&lt;30,1,0))</formula>
    </cfRule>
    <cfRule type="expression" dxfId="2370" priority="632">
      <formula>AND(IF($Q50=3,1,IF($Q50=4,1,0)),IF($F50&lt;=85,1,0))</formula>
    </cfRule>
  </conditionalFormatting>
  <conditionalFormatting sqref="AI50">
    <cfRule type="expression" dxfId="2369" priority="625">
      <formula>AND(IF(OR($Q50=1,$Q50=2),1,0),IF($X50&lt;=20,1,0))</formula>
    </cfRule>
    <cfRule type="expression" dxfId="2368" priority="626">
      <formula>AND(IF($Q50=2,1,0),IF($X50&lt;30,1,0))</formula>
    </cfRule>
    <cfRule type="expression" dxfId="2367" priority="627">
      <formula>AND(IF($Q50=3,1,0),IF($X50&lt;30,1,0))</formula>
    </cfRule>
    <cfRule type="expression" dxfId="2366" priority="628">
      <formula>AND(IF($Q50=3,1,IF($Q50=4,1,0)),IF($F50&lt;=85,1,0))</formula>
    </cfRule>
  </conditionalFormatting>
  <conditionalFormatting sqref="AV51">
    <cfRule type="expression" dxfId="2365" priority="623">
      <formula>AV51="X"</formula>
    </cfRule>
    <cfRule type="expression" dxfId="2364" priority="624">
      <formula>AV51="후보"</formula>
    </cfRule>
  </conditionalFormatting>
  <conditionalFormatting sqref="AC51 N51">
    <cfRule type="cellIs" dxfId="2363" priority="620" operator="greaterThan">
      <formula>0.9</formula>
    </cfRule>
    <cfRule type="cellIs" dxfId="2362" priority="621" operator="greaterThan">
      <formula>0.85</formula>
    </cfRule>
  </conditionalFormatting>
  <conditionalFormatting sqref="AV52">
    <cfRule type="expression" dxfId="2361" priority="618">
      <formula>AV52="X"</formula>
    </cfRule>
    <cfRule type="expression" dxfId="2360" priority="619">
      <formula>AV52="후보"</formula>
    </cfRule>
  </conditionalFormatting>
  <conditionalFormatting sqref="AC52">
    <cfRule type="cellIs" dxfId="2359" priority="615" operator="greaterThan">
      <formula>0.9</formula>
    </cfRule>
    <cfRule type="cellIs" dxfId="2358" priority="616" operator="greaterThan">
      <formula>0.85</formula>
    </cfRule>
  </conditionalFormatting>
  <conditionalFormatting sqref="N52">
    <cfRule type="cellIs" dxfId="2357" priority="613" operator="greaterThan">
      <formula>0.9</formula>
    </cfRule>
    <cfRule type="cellIs" dxfId="2356" priority="614" operator="greaterThan">
      <formula>0.85</formula>
    </cfRule>
  </conditionalFormatting>
  <conditionalFormatting sqref="E52">
    <cfRule type="expression" dxfId="2355" priority="609">
      <formula>AND(IF(OR($Q52=1,$Q52=2),1,0),IF($X52&lt;=20,1,0))</formula>
    </cfRule>
    <cfRule type="expression" dxfId="2354" priority="610">
      <formula>AND(IF($Q52=2,1,0),IF($X52&lt;30,1,0))</formula>
    </cfRule>
    <cfRule type="expression" dxfId="2353" priority="611">
      <formula>AND(IF($Q52=3,1,0),IF($X52&lt;30,1,0))</formula>
    </cfRule>
    <cfRule type="expression" dxfId="2352" priority="612">
      <formula>AND(IF($Q52=3,1,IF($Q52=4,1,0)),IF($F52&lt;=85,1,0))</formula>
    </cfRule>
  </conditionalFormatting>
  <conditionalFormatting sqref="X52">
    <cfRule type="expression" dxfId="2351" priority="605">
      <formula>AND(IF(OR($Q52=1,$Q52=2),1,0),IF($X52&lt;=20,1,0))</formula>
    </cfRule>
    <cfRule type="expression" dxfId="2350" priority="606">
      <formula>AND(IF($Q52=2,1,0),IF($X52&lt;30,1,0))</formula>
    </cfRule>
    <cfRule type="expression" dxfId="2349" priority="607">
      <formula>AND(IF($Q52=3,1,0),IF($X52&lt;30,1,0))</formula>
    </cfRule>
    <cfRule type="expression" dxfId="2348" priority="608">
      <formula>AND(IF($Q52=3,1,IF($Q52=4,1,0)),IF($F52&lt;=85,1,0))</formula>
    </cfRule>
  </conditionalFormatting>
  <conditionalFormatting sqref="AI52">
    <cfRule type="expression" dxfId="2347" priority="601">
      <formula>AND(IF(OR($Q52=1,$Q52=2),1,0),IF($X52&lt;=20,1,0))</formula>
    </cfRule>
    <cfRule type="expression" dxfId="2346" priority="602">
      <formula>AND(IF($Q52=2,1,0),IF($X52&lt;30,1,0))</formula>
    </cfRule>
    <cfRule type="expression" dxfId="2345" priority="603">
      <formula>AND(IF($Q52=3,1,0),IF($X52&lt;30,1,0))</formula>
    </cfRule>
    <cfRule type="expression" dxfId="2344" priority="604">
      <formula>AND(IF($Q52=3,1,IF($Q52=4,1,0)),IF($F52&lt;=85,1,0))</formula>
    </cfRule>
  </conditionalFormatting>
  <conditionalFormatting sqref="AV53">
    <cfRule type="expression" dxfId="2343" priority="599">
      <formula>AV53="X"</formula>
    </cfRule>
    <cfRule type="expression" dxfId="2342" priority="600">
      <formula>AV53="후보"</formula>
    </cfRule>
  </conditionalFormatting>
  <conditionalFormatting sqref="AC53">
    <cfRule type="cellIs" dxfId="2341" priority="596" operator="greaterThan">
      <formula>0.9</formula>
    </cfRule>
    <cfRule type="cellIs" dxfId="2340" priority="597" operator="greaterThan">
      <formula>0.85</formula>
    </cfRule>
  </conditionalFormatting>
  <conditionalFormatting sqref="N53">
    <cfRule type="cellIs" dxfId="2339" priority="594" operator="greaterThan">
      <formula>0.9</formula>
    </cfRule>
    <cfRule type="cellIs" dxfId="2338" priority="595" operator="greaterThan">
      <formula>0.85</formula>
    </cfRule>
  </conditionalFormatting>
  <conditionalFormatting sqref="E53">
    <cfRule type="expression" dxfId="2337" priority="590">
      <formula>AND(IF(OR($Q53=1,$Q53=2),1,0),IF($X53&lt;=20,1,0))</formula>
    </cfRule>
    <cfRule type="expression" dxfId="2336" priority="591">
      <formula>AND(IF($Q53=2,1,0),IF($X53&lt;30,1,0))</formula>
    </cfRule>
    <cfRule type="expression" dxfId="2335" priority="592">
      <formula>AND(IF($Q53=3,1,0),IF($X53&lt;30,1,0))</formula>
    </cfRule>
    <cfRule type="expression" dxfId="2334" priority="593">
      <formula>AND(IF($Q53=3,1,IF($Q53=4,1,0)),IF($F53&lt;=85,1,0))</formula>
    </cfRule>
  </conditionalFormatting>
  <conditionalFormatting sqref="X53">
    <cfRule type="expression" dxfId="2333" priority="586">
      <formula>AND(IF(OR($Q53=1,$Q53=2),1,0),IF($X53&lt;=20,1,0))</formula>
    </cfRule>
    <cfRule type="expression" dxfId="2332" priority="587">
      <formula>AND(IF($Q53=2,1,0),IF($X53&lt;30,1,0))</formula>
    </cfRule>
    <cfRule type="expression" dxfId="2331" priority="588">
      <formula>AND(IF($Q53=3,1,0),IF($X53&lt;30,1,0))</formula>
    </cfRule>
    <cfRule type="expression" dxfId="2330" priority="589">
      <formula>AND(IF($Q53=3,1,IF($Q53=4,1,0)),IF($F53&lt;=85,1,0))</formula>
    </cfRule>
  </conditionalFormatting>
  <conditionalFormatting sqref="AI53">
    <cfRule type="expression" dxfId="2329" priority="582">
      <formula>AND(IF(OR($Q53=1,$Q53=2),1,0),IF($X53&lt;=20,1,0))</formula>
    </cfRule>
    <cfRule type="expression" dxfId="2328" priority="583">
      <formula>AND(IF($Q53=2,1,0),IF($X53&lt;30,1,0))</formula>
    </cfRule>
    <cfRule type="expression" dxfId="2327" priority="584">
      <formula>AND(IF($Q53=3,1,0),IF($X53&lt;30,1,0))</formula>
    </cfRule>
    <cfRule type="expression" dxfId="2326" priority="585">
      <formula>AND(IF($Q53=3,1,IF($Q53=4,1,0)),IF($F53&lt;=85,1,0))</formula>
    </cfRule>
  </conditionalFormatting>
  <conditionalFormatting sqref="AV54">
    <cfRule type="expression" dxfId="2325" priority="580">
      <formula>AV54="X"</formula>
    </cfRule>
    <cfRule type="expression" dxfId="2324" priority="581">
      <formula>AV54="후보"</formula>
    </cfRule>
  </conditionalFormatting>
  <conditionalFormatting sqref="AC54">
    <cfRule type="cellIs" dxfId="2323" priority="577" operator="greaterThan">
      <formula>0.9</formula>
    </cfRule>
    <cfRule type="cellIs" dxfId="2322" priority="578" operator="greaterThan">
      <formula>0.85</formula>
    </cfRule>
  </conditionalFormatting>
  <conditionalFormatting sqref="N54">
    <cfRule type="cellIs" dxfId="2321" priority="575" operator="greaterThan">
      <formula>0.9</formula>
    </cfRule>
    <cfRule type="cellIs" dxfId="2320" priority="576" operator="greaterThan">
      <formula>0.85</formula>
    </cfRule>
  </conditionalFormatting>
  <conditionalFormatting sqref="E54">
    <cfRule type="expression" dxfId="2319" priority="571">
      <formula>AND(IF(OR($Q54=1,$Q54=2),1,0),IF($X54&lt;=20,1,0))</formula>
    </cfRule>
    <cfRule type="expression" dxfId="2318" priority="572">
      <formula>AND(IF($Q54=2,1,0),IF($X54&lt;30,1,0))</formula>
    </cfRule>
    <cfRule type="expression" dxfId="2317" priority="573">
      <formula>AND(IF($Q54=3,1,0),IF($X54&lt;30,1,0))</formula>
    </cfRule>
    <cfRule type="expression" dxfId="2316" priority="574">
      <formula>AND(IF($Q54=3,1,IF($Q54=4,1,0)),IF($F54&lt;=85,1,0))</formula>
    </cfRule>
  </conditionalFormatting>
  <conditionalFormatting sqref="X54">
    <cfRule type="expression" dxfId="2315" priority="567">
      <formula>AND(IF(OR($Q54=1,$Q54=2),1,0),IF($X54&lt;=20,1,0))</formula>
    </cfRule>
    <cfRule type="expression" dxfId="2314" priority="568">
      <formula>AND(IF($Q54=2,1,0),IF($X54&lt;30,1,0))</formula>
    </cfRule>
    <cfRule type="expression" dxfId="2313" priority="569">
      <formula>AND(IF($Q54=3,1,0),IF($X54&lt;30,1,0))</formula>
    </cfRule>
    <cfRule type="expression" dxfId="2312" priority="570">
      <formula>AND(IF($Q54=3,1,IF($Q54=4,1,0)),IF($F54&lt;=85,1,0))</formula>
    </cfRule>
  </conditionalFormatting>
  <conditionalFormatting sqref="AI54">
    <cfRule type="expression" dxfId="2311" priority="563">
      <formula>AND(IF(OR($Q54=1,$Q54=2),1,0),IF($X54&lt;=20,1,0))</formula>
    </cfRule>
    <cfRule type="expression" dxfId="2310" priority="564">
      <formula>AND(IF($Q54=2,1,0),IF($X54&lt;30,1,0))</formula>
    </cfRule>
    <cfRule type="expression" dxfId="2309" priority="565">
      <formula>AND(IF($Q54=3,1,0),IF($X54&lt;30,1,0))</formula>
    </cfRule>
    <cfRule type="expression" dxfId="2308" priority="566">
      <formula>AND(IF($Q54=3,1,IF($Q54=4,1,0)),IF($F54&lt;=85,1,0))</formula>
    </cfRule>
  </conditionalFormatting>
  <conditionalFormatting sqref="AV55">
    <cfRule type="expression" dxfId="2307" priority="561">
      <formula>AV55="X"</formula>
    </cfRule>
    <cfRule type="expression" dxfId="2306" priority="562">
      <formula>AV55="후보"</formula>
    </cfRule>
  </conditionalFormatting>
  <conditionalFormatting sqref="AC55">
    <cfRule type="cellIs" dxfId="2305" priority="558" operator="greaterThan">
      <formula>0.9</formula>
    </cfRule>
    <cfRule type="cellIs" dxfId="2304" priority="559" operator="greaterThan">
      <formula>0.85</formula>
    </cfRule>
  </conditionalFormatting>
  <conditionalFormatting sqref="N55">
    <cfRule type="cellIs" dxfId="2303" priority="556" operator="greaterThan">
      <formula>0.9</formula>
    </cfRule>
    <cfRule type="cellIs" dxfId="2302" priority="557" operator="greaterThan">
      <formula>0.85</formula>
    </cfRule>
  </conditionalFormatting>
  <conditionalFormatting sqref="E55">
    <cfRule type="expression" dxfId="2301" priority="552">
      <formula>AND(IF(OR($Q55=1,$Q55=2),1,0),IF($X55&lt;=20,1,0))</formula>
    </cfRule>
    <cfRule type="expression" dxfId="2300" priority="553">
      <formula>AND(IF($Q55=2,1,0),IF($X55&lt;30,1,0))</formula>
    </cfRule>
    <cfRule type="expression" dxfId="2299" priority="554">
      <formula>AND(IF($Q55=3,1,0),IF($X55&lt;30,1,0))</formula>
    </cfRule>
    <cfRule type="expression" dxfId="2298" priority="555">
      <formula>AND(IF($Q55=3,1,IF($Q55=4,1,0)),IF($F55&lt;=85,1,0))</formula>
    </cfRule>
  </conditionalFormatting>
  <conditionalFormatting sqref="X55">
    <cfRule type="expression" dxfId="2297" priority="548">
      <formula>AND(IF(OR($Q55=1,$Q55=2),1,0),IF($X55&lt;=20,1,0))</formula>
    </cfRule>
    <cfRule type="expression" dxfId="2296" priority="549">
      <formula>AND(IF($Q55=2,1,0),IF($X55&lt;30,1,0))</formula>
    </cfRule>
    <cfRule type="expression" dxfId="2295" priority="550">
      <formula>AND(IF($Q55=3,1,0),IF($X55&lt;30,1,0))</formula>
    </cfRule>
    <cfRule type="expression" dxfId="2294" priority="551">
      <formula>AND(IF($Q55=3,1,IF($Q55=4,1,0)),IF($F55&lt;=85,1,0))</formula>
    </cfRule>
  </conditionalFormatting>
  <conditionalFormatting sqref="AI55">
    <cfRule type="expression" dxfId="2293" priority="544">
      <formula>AND(IF(OR($Q55=1,$Q55=2),1,0),IF($X55&lt;=20,1,0))</formula>
    </cfRule>
    <cfRule type="expression" dxfId="2292" priority="545">
      <formula>AND(IF($Q55=2,1,0),IF($X55&lt;30,1,0))</formula>
    </cfRule>
    <cfRule type="expression" dxfId="2291" priority="546">
      <formula>AND(IF($Q55=3,1,0),IF($X55&lt;30,1,0))</formula>
    </cfRule>
    <cfRule type="expression" dxfId="2290" priority="547">
      <formula>AND(IF($Q55=3,1,IF($Q55=4,1,0)),IF($F55&lt;=85,1,0))</formula>
    </cfRule>
  </conditionalFormatting>
  <conditionalFormatting sqref="AV56">
    <cfRule type="expression" dxfId="2289" priority="542">
      <formula>AV56="X"</formula>
    </cfRule>
    <cfRule type="expression" dxfId="2288" priority="543">
      <formula>AV56="후보"</formula>
    </cfRule>
  </conditionalFormatting>
  <conditionalFormatting sqref="AC56">
    <cfRule type="cellIs" dxfId="2287" priority="539" operator="greaterThan">
      <formula>0.9</formula>
    </cfRule>
    <cfRule type="cellIs" dxfId="2286" priority="540" operator="greaterThan">
      <formula>0.85</formula>
    </cfRule>
  </conditionalFormatting>
  <conditionalFormatting sqref="N56">
    <cfRule type="cellIs" dxfId="2285" priority="537" operator="greaterThan">
      <formula>0.9</formula>
    </cfRule>
    <cfRule type="cellIs" dxfId="2284" priority="538" operator="greaterThan">
      <formula>0.85</formula>
    </cfRule>
  </conditionalFormatting>
  <conditionalFormatting sqref="E56">
    <cfRule type="expression" dxfId="2283" priority="533">
      <formula>AND(IF(OR($Q56=1,$Q56=2),1,0),IF($X56&lt;=20,1,0))</formula>
    </cfRule>
    <cfRule type="expression" dxfId="2282" priority="534">
      <formula>AND(IF($Q56=2,1,0),IF($X56&lt;30,1,0))</formula>
    </cfRule>
    <cfRule type="expression" dxfId="2281" priority="535">
      <formula>AND(IF($Q56=3,1,0),IF($X56&lt;30,1,0))</formula>
    </cfRule>
    <cfRule type="expression" dxfId="2280" priority="536">
      <formula>AND(IF($Q56=3,1,IF($Q56=4,1,0)),IF($F56&lt;=85,1,0))</formula>
    </cfRule>
  </conditionalFormatting>
  <conditionalFormatting sqref="X56">
    <cfRule type="expression" dxfId="2279" priority="529">
      <formula>AND(IF(OR($Q56=1,$Q56=2),1,0),IF($X56&lt;=20,1,0))</formula>
    </cfRule>
    <cfRule type="expression" dxfId="2278" priority="530">
      <formula>AND(IF($Q56=2,1,0),IF($X56&lt;30,1,0))</formula>
    </cfRule>
    <cfRule type="expression" dxfId="2277" priority="531">
      <formula>AND(IF($Q56=3,1,0),IF($X56&lt;30,1,0))</formula>
    </cfRule>
    <cfRule type="expression" dxfId="2276" priority="532">
      <formula>AND(IF($Q56=3,1,IF($Q56=4,1,0)),IF($F56&lt;=85,1,0))</formula>
    </cfRule>
  </conditionalFormatting>
  <conditionalFormatting sqref="AI56">
    <cfRule type="expression" dxfId="2275" priority="525">
      <formula>AND(IF(OR($Q56=1,$Q56=2),1,0),IF($X56&lt;=20,1,0))</formula>
    </cfRule>
    <cfRule type="expression" dxfId="2274" priority="526">
      <formula>AND(IF($Q56=2,1,0),IF($X56&lt;30,1,0))</formula>
    </cfRule>
    <cfRule type="expression" dxfId="2273" priority="527">
      <formula>AND(IF($Q56=3,1,0),IF($X56&lt;30,1,0))</formula>
    </cfRule>
    <cfRule type="expression" dxfId="2272" priority="528">
      <formula>AND(IF($Q56=3,1,IF($Q56=4,1,0)),IF($F56&lt;=85,1,0))</formula>
    </cfRule>
  </conditionalFormatting>
  <conditionalFormatting sqref="AV57">
    <cfRule type="expression" dxfId="2271" priority="523">
      <formula>AV57="X"</formula>
    </cfRule>
    <cfRule type="expression" dxfId="2270" priority="524">
      <formula>AV57="후보"</formula>
    </cfRule>
  </conditionalFormatting>
  <conditionalFormatting sqref="AC57">
    <cfRule type="cellIs" dxfId="2269" priority="520" operator="greaterThan">
      <formula>0.9</formula>
    </cfRule>
    <cfRule type="cellIs" dxfId="2268" priority="521" operator="greaterThan">
      <formula>0.85</formula>
    </cfRule>
  </conditionalFormatting>
  <conditionalFormatting sqref="N57">
    <cfRule type="cellIs" dxfId="2267" priority="518" operator="greaterThan">
      <formula>0.9</formula>
    </cfRule>
    <cfRule type="cellIs" dxfId="2266" priority="519" operator="greaterThan">
      <formula>0.85</formula>
    </cfRule>
  </conditionalFormatting>
  <conditionalFormatting sqref="E57">
    <cfRule type="expression" dxfId="2265" priority="514">
      <formula>AND(IF(OR($Q57=1,$Q57=2),1,0),IF($X57&lt;=20,1,0))</formula>
    </cfRule>
    <cfRule type="expression" dxfId="2264" priority="515">
      <formula>AND(IF($Q57=2,1,0),IF($X57&lt;30,1,0))</formula>
    </cfRule>
    <cfRule type="expression" dxfId="2263" priority="516">
      <formula>AND(IF($Q57=3,1,0),IF($X57&lt;30,1,0))</formula>
    </cfRule>
    <cfRule type="expression" dxfId="2262" priority="517">
      <formula>AND(IF($Q57=3,1,IF($Q57=4,1,0)),IF($F57&lt;=85,1,0))</formula>
    </cfRule>
  </conditionalFormatting>
  <conditionalFormatting sqref="X57">
    <cfRule type="expression" dxfId="2261" priority="510">
      <formula>AND(IF(OR($Q57=1,$Q57=2),1,0),IF($X57&lt;=20,1,0))</formula>
    </cfRule>
    <cfRule type="expression" dxfId="2260" priority="511">
      <formula>AND(IF($Q57=2,1,0),IF($X57&lt;30,1,0))</formula>
    </cfRule>
    <cfRule type="expression" dxfId="2259" priority="512">
      <formula>AND(IF($Q57=3,1,0),IF($X57&lt;30,1,0))</formula>
    </cfRule>
    <cfRule type="expression" dxfId="2258" priority="513">
      <formula>AND(IF($Q57=3,1,IF($Q57=4,1,0)),IF($F57&lt;=85,1,0))</formula>
    </cfRule>
  </conditionalFormatting>
  <conditionalFormatting sqref="AI57">
    <cfRule type="expression" dxfId="2257" priority="506">
      <formula>AND(IF(OR($Q57=1,$Q57=2),1,0),IF($X57&lt;=20,1,0))</formula>
    </cfRule>
    <cfRule type="expression" dxfId="2256" priority="507">
      <formula>AND(IF($Q57=2,1,0),IF($X57&lt;30,1,0))</formula>
    </cfRule>
    <cfRule type="expression" dxfId="2255" priority="508">
      <formula>AND(IF($Q57=3,1,0),IF($X57&lt;30,1,0))</formula>
    </cfRule>
    <cfRule type="expression" dxfId="2254" priority="509">
      <formula>AND(IF($Q57=3,1,IF($Q57=4,1,0)),IF($F57&lt;=85,1,0))</formula>
    </cfRule>
  </conditionalFormatting>
  <conditionalFormatting sqref="AV58">
    <cfRule type="expression" dxfId="2253" priority="504">
      <formula>AV58="X"</formula>
    </cfRule>
    <cfRule type="expression" dxfId="2252" priority="505">
      <formula>AV58="후보"</formula>
    </cfRule>
  </conditionalFormatting>
  <conditionalFormatting sqref="AC58">
    <cfRule type="cellIs" dxfId="2251" priority="501" operator="greaterThan">
      <formula>0.9</formula>
    </cfRule>
    <cfRule type="cellIs" dxfId="2250" priority="502" operator="greaterThan">
      <formula>0.85</formula>
    </cfRule>
  </conditionalFormatting>
  <conditionalFormatting sqref="N58">
    <cfRule type="cellIs" dxfId="2249" priority="499" operator="greaterThan">
      <formula>0.9</formula>
    </cfRule>
    <cfRule type="cellIs" dxfId="2248" priority="500" operator="greaterThan">
      <formula>0.85</formula>
    </cfRule>
  </conditionalFormatting>
  <conditionalFormatting sqref="E58">
    <cfRule type="expression" dxfId="2247" priority="495">
      <formula>AND(IF(OR($Q58=1,$Q58=2),1,0),IF($X58&lt;=20,1,0))</formula>
    </cfRule>
    <cfRule type="expression" dxfId="2246" priority="496">
      <formula>AND(IF($Q58=2,1,0),IF($X58&lt;30,1,0))</formula>
    </cfRule>
    <cfRule type="expression" dxfId="2245" priority="497">
      <formula>AND(IF($Q58=3,1,0),IF($X58&lt;30,1,0))</formula>
    </cfRule>
    <cfRule type="expression" dxfId="2244" priority="498">
      <formula>AND(IF($Q58=3,1,IF($Q58=4,1,0)),IF($F58&lt;=85,1,0))</formula>
    </cfRule>
  </conditionalFormatting>
  <conditionalFormatting sqref="X58">
    <cfRule type="expression" dxfId="2243" priority="491">
      <formula>AND(IF(OR($Q58=1,$Q58=2),1,0),IF($X58&lt;=20,1,0))</formula>
    </cfRule>
    <cfRule type="expression" dxfId="2242" priority="492">
      <formula>AND(IF($Q58=2,1,0),IF($X58&lt;30,1,0))</formula>
    </cfRule>
    <cfRule type="expression" dxfId="2241" priority="493">
      <formula>AND(IF($Q58=3,1,0),IF($X58&lt;30,1,0))</formula>
    </cfRule>
    <cfRule type="expression" dxfId="2240" priority="494">
      <formula>AND(IF($Q58=3,1,IF($Q58=4,1,0)),IF($F58&lt;=85,1,0))</formula>
    </cfRule>
  </conditionalFormatting>
  <conditionalFormatting sqref="AI58">
    <cfRule type="expression" dxfId="2239" priority="487">
      <formula>AND(IF(OR($Q58=1,$Q58=2),1,0),IF($X58&lt;=20,1,0))</formula>
    </cfRule>
    <cfRule type="expression" dxfId="2238" priority="488">
      <formula>AND(IF($Q58=2,1,0),IF($X58&lt;30,1,0))</formula>
    </cfRule>
    <cfRule type="expression" dxfId="2237" priority="489">
      <formula>AND(IF($Q58=3,1,0),IF($X58&lt;30,1,0))</formula>
    </cfRule>
    <cfRule type="expression" dxfId="2236" priority="490">
      <formula>AND(IF($Q58=3,1,IF($Q58=4,1,0)),IF($F58&lt;=85,1,0))</formula>
    </cfRule>
  </conditionalFormatting>
  <conditionalFormatting sqref="AV59">
    <cfRule type="expression" dxfId="2235" priority="485">
      <formula>AV59="X"</formula>
    </cfRule>
    <cfRule type="expression" dxfId="2234" priority="486">
      <formula>AV59="후보"</formula>
    </cfRule>
  </conditionalFormatting>
  <conditionalFormatting sqref="AC59">
    <cfRule type="cellIs" dxfId="2233" priority="482" operator="greaterThan">
      <formula>0.9</formula>
    </cfRule>
    <cfRule type="cellIs" dxfId="2232" priority="483" operator="greaterThan">
      <formula>0.85</formula>
    </cfRule>
  </conditionalFormatting>
  <conditionalFormatting sqref="N59">
    <cfRule type="cellIs" dxfId="2231" priority="480" operator="greaterThan">
      <formula>0.9</formula>
    </cfRule>
    <cfRule type="cellIs" dxfId="2230" priority="481" operator="greaterThan">
      <formula>0.85</formula>
    </cfRule>
  </conditionalFormatting>
  <conditionalFormatting sqref="E59">
    <cfRule type="expression" dxfId="2229" priority="476">
      <formula>AND(IF(OR($Q59=1,$Q59=2),1,0),IF($X59&lt;=20,1,0))</formula>
    </cfRule>
    <cfRule type="expression" dxfId="2228" priority="477">
      <formula>AND(IF($Q59=2,1,0),IF($X59&lt;30,1,0))</formula>
    </cfRule>
    <cfRule type="expression" dxfId="2227" priority="478">
      <formula>AND(IF($Q59=3,1,0),IF($X59&lt;30,1,0))</formula>
    </cfRule>
    <cfRule type="expression" dxfId="2226" priority="479">
      <formula>AND(IF($Q59=3,1,IF($Q59=4,1,0)),IF($F59&lt;=85,1,0))</formula>
    </cfRule>
  </conditionalFormatting>
  <conditionalFormatting sqref="X59">
    <cfRule type="expression" dxfId="2225" priority="472">
      <formula>AND(IF(OR($Q59=1,$Q59=2),1,0),IF($X59&lt;=20,1,0))</formula>
    </cfRule>
    <cfRule type="expression" dxfId="2224" priority="473">
      <formula>AND(IF($Q59=2,1,0),IF($X59&lt;30,1,0))</formula>
    </cfRule>
    <cfRule type="expression" dxfId="2223" priority="474">
      <formula>AND(IF($Q59=3,1,0),IF($X59&lt;30,1,0))</formula>
    </cfRule>
    <cfRule type="expression" dxfId="2222" priority="475">
      <formula>AND(IF($Q59=3,1,IF($Q59=4,1,0)),IF($F59&lt;=85,1,0))</formula>
    </cfRule>
  </conditionalFormatting>
  <conditionalFormatting sqref="AI59">
    <cfRule type="expression" dxfId="2221" priority="468">
      <formula>AND(IF(OR($Q59=1,$Q59=2),1,0),IF($X59&lt;=20,1,0))</formula>
    </cfRule>
    <cfRule type="expression" dxfId="2220" priority="469">
      <formula>AND(IF($Q59=2,1,0),IF($X59&lt;30,1,0))</formula>
    </cfRule>
    <cfRule type="expression" dxfId="2219" priority="470">
      <formula>AND(IF($Q59=3,1,0),IF($X59&lt;30,1,0))</formula>
    </cfRule>
    <cfRule type="expression" dxfId="2218" priority="471">
      <formula>AND(IF($Q59=3,1,IF($Q59=4,1,0)),IF($F59&lt;=85,1,0))</formula>
    </cfRule>
  </conditionalFormatting>
  <conditionalFormatting sqref="AV60">
    <cfRule type="expression" dxfId="2217" priority="466">
      <formula>AV60="X"</formula>
    </cfRule>
    <cfRule type="expression" dxfId="2216" priority="467">
      <formula>AV60="후보"</formula>
    </cfRule>
  </conditionalFormatting>
  <conditionalFormatting sqref="AC60">
    <cfRule type="cellIs" dxfId="2215" priority="463" operator="greaterThan">
      <formula>0.9</formula>
    </cfRule>
    <cfRule type="cellIs" dxfId="2214" priority="464" operator="greaterThan">
      <formula>0.85</formula>
    </cfRule>
  </conditionalFormatting>
  <conditionalFormatting sqref="N60">
    <cfRule type="cellIs" dxfId="2213" priority="461" operator="greaterThan">
      <formula>0.9</formula>
    </cfRule>
    <cfRule type="cellIs" dxfId="2212" priority="462" operator="greaterThan">
      <formula>0.85</formula>
    </cfRule>
  </conditionalFormatting>
  <conditionalFormatting sqref="E60">
    <cfRule type="expression" dxfId="2211" priority="457">
      <formula>AND(IF(OR($Q60=1,$Q60=2),1,0),IF($X60&lt;=20,1,0))</formula>
    </cfRule>
    <cfRule type="expression" dxfId="2210" priority="458">
      <formula>AND(IF($Q60=2,1,0),IF($X60&lt;30,1,0))</formula>
    </cfRule>
    <cfRule type="expression" dxfId="2209" priority="459">
      <formula>AND(IF($Q60=3,1,0),IF($X60&lt;30,1,0))</formula>
    </cfRule>
    <cfRule type="expression" dxfId="2208" priority="460">
      <formula>AND(IF($Q60=3,1,IF($Q60=4,1,0)),IF($F60&lt;=85,1,0))</formula>
    </cfRule>
  </conditionalFormatting>
  <conditionalFormatting sqref="X60">
    <cfRule type="expression" dxfId="2207" priority="453">
      <formula>AND(IF(OR($Q60=1,$Q60=2),1,0),IF($X60&lt;=20,1,0))</formula>
    </cfRule>
    <cfRule type="expression" dxfId="2206" priority="454">
      <formula>AND(IF($Q60=2,1,0),IF($X60&lt;30,1,0))</formula>
    </cfRule>
    <cfRule type="expression" dxfId="2205" priority="455">
      <formula>AND(IF($Q60=3,1,0),IF($X60&lt;30,1,0))</formula>
    </cfRule>
    <cfRule type="expression" dxfId="2204" priority="456">
      <formula>AND(IF($Q60=3,1,IF($Q60=4,1,0)),IF($F60&lt;=85,1,0))</formula>
    </cfRule>
  </conditionalFormatting>
  <conditionalFormatting sqref="AI60">
    <cfRule type="expression" dxfId="2203" priority="449">
      <formula>AND(IF(OR($Q60=1,$Q60=2),1,0),IF($X60&lt;=20,1,0))</formula>
    </cfRule>
    <cfRule type="expression" dxfId="2202" priority="450">
      <formula>AND(IF($Q60=2,1,0),IF($X60&lt;30,1,0))</formula>
    </cfRule>
    <cfRule type="expression" dxfId="2201" priority="451">
      <formula>AND(IF($Q60=3,1,0),IF($X60&lt;30,1,0))</formula>
    </cfRule>
    <cfRule type="expression" dxfId="2200" priority="452">
      <formula>AND(IF($Q60=3,1,IF($Q60=4,1,0)),IF($F60&lt;=85,1,0))</formula>
    </cfRule>
  </conditionalFormatting>
  <conditionalFormatting sqref="AV61">
    <cfRule type="expression" dxfId="2199" priority="447">
      <formula>AV61="X"</formula>
    </cfRule>
    <cfRule type="expression" dxfId="2198" priority="448">
      <formula>AV61="후보"</formula>
    </cfRule>
  </conditionalFormatting>
  <conditionalFormatting sqref="AC61">
    <cfRule type="cellIs" dxfId="2197" priority="444" operator="greaterThan">
      <formula>0.9</formula>
    </cfRule>
    <cfRule type="cellIs" dxfId="2196" priority="445" operator="greaterThan">
      <formula>0.85</formula>
    </cfRule>
  </conditionalFormatting>
  <conditionalFormatting sqref="N61">
    <cfRule type="cellIs" dxfId="2195" priority="442" operator="greaterThan">
      <formula>0.9</formula>
    </cfRule>
    <cfRule type="cellIs" dxfId="2194" priority="443" operator="greaterThan">
      <formula>0.85</formula>
    </cfRule>
  </conditionalFormatting>
  <conditionalFormatting sqref="E61">
    <cfRule type="expression" dxfId="2193" priority="438">
      <formula>AND(IF(OR($Q61=1,$Q61=2),1,0),IF($X61&lt;=20,1,0))</formula>
    </cfRule>
    <cfRule type="expression" dxfId="2192" priority="439">
      <formula>AND(IF($Q61=2,1,0),IF($X61&lt;30,1,0))</formula>
    </cfRule>
    <cfRule type="expression" dxfId="2191" priority="440">
      <formula>AND(IF($Q61=3,1,0),IF($X61&lt;30,1,0))</formula>
    </cfRule>
    <cfRule type="expression" dxfId="2190" priority="441">
      <formula>AND(IF($Q61=3,1,IF($Q61=4,1,0)),IF($F61&lt;=85,1,0))</formula>
    </cfRule>
  </conditionalFormatting>
  <conditionalFormatting sqref="X61">
    <cfRule type="expression" dxfId="2189" priority="434">
      <formula>AND(IF(OR($Q61=1,$Q61=2),1,0),IF($X61&lt;=20,1,0))</formula>
    </cfRule>
    <cfRule type="expression" dxfId="2188" priority="435">
      <formula>AND(IF($Q61=2,1,0),IF($X61&lt;30,1,0))</formula>
    </cfRule>
    <cfRule type="expression" dxfId="2187" priority="436">
      <formula>AND(IF($Q61=3,1,0),IF($X61&lt;30,1,0))</formula>
    </cfRule>
    <cfRule type="expression" dxfId="2186" priority="437">
      <formula>AND(IF($Q61=3,1,IF($Q61=4,1,0)),IF($F61&lt;=85,1,0))</formula>
    </cfRule>
  </conditionalFormatting>
  <conditionalFormatting sqref="AI61">
    <cfRule type="expression" dxfId="2185" priority="430">
      <formula>AND(IF(OR($Q61=1,$Q61=2),1,0),IF($X61&lt;=20,1,0))</formula>
    </cfRule>
    <cfRule type="expression" dxfId="2184" priority="431">
      <formula>AND(IF($Q61=2,1,0),IF($X61&lt;30,1,0))</formula>
    </cfRule>
    <cfRule type="expression" dxfId="2183" priority="432">
      <formula>AND(IF($Q61=3,1,0),IF($X61&lt;30,1,0))</formula>
    </cfRule>
    <cfRule type="expression" dxfId="2182" priority="433">
      <formula>AND(IF($Q61=3,1,IF($Q61=4,1,0)),IF($F61&lt;=85,1,0))</formula>
    </cfRule>
  </conditionalFormatting>
  <conditionalFormatting sqref="AV62">
    <cfRule type="expression" dxfId="2181" priority="428">
      <formula>AV62="X"</formula>
    </cfRule>
    <cfRule type="expression" dxfId="2180" priority="429">
      <formula>AV62="후보"</formula>
    </cfRule>
  </conditionalFormatting>
  <conditionalFormatting sqref="AC62">
    <cfRule type="cellIs" dxfId="2179" priority="425" operator="greaterThan">
      <formula>0.9</formula>
    </cfRule>
    <cfRule type="cellIs" dxfId="2178" priority="426" operator="greaterThan">
      <formula>0.85</formula>
    </cfRule>
  </conditionalFormatting>
  <conditionalFormatting sqref="N62">
    <cfRule type="cellIs" dxfId="2177" priority="423" operator="greaterThan">
      <formula>0.9</formula>
    </cfRule>
    <cfRule type="cellIs" dxfId="2176" priority="424" operator="greaterThan">
      <formula>0.85</formula>
    </cfRule>
  </conditionalFormatting>
  <conditionalFormatting sqref="E62">
    <cfRule type="expression" dxfId="2175" priority="419">
      <formula>AND(IF(OR($Q62=1,$Q62=2),1,0),IF($X62&lt;=20,1,0))</formula>
    </cfRule>
    <cfRule type="expression" dxfId="2174" priority="420">
      <formula>AND(IF($Q62=2,1,0),IF($X62&lt;30,1,0))</formula>
    </cfRule>
    <cfRule type="expression" dxfId="2173" priority="421">
      <formula>AND(IF($Q62=3,1,0),IF($X62&lt;30,1,0))</formula>
    </cfRule>
    <cfRule type="expression" dxfId="2172" priority="422">
      <formula>AND(IF($Q62=3,1,IF($Q62=4,1,0)),IF($F62&lt;=85,1,0))</formula>
    </cfRule>
  </conditionalFormatting>
  <conditionalFormatting sqref="X62">
    <cfRule type="expression" dxfId="2171" priority="415">
      <formula>AND(IF(OR($Q62=1,$Q62=2),1,0),IF($X62&lt;=20,1,0))</formula>
    </cfRule>
    <cfRule type="expression" dxfId="2170" priority="416">
      <formula>AND(IF($Q62=2,1,0),IF($X62&lt;30,1,0))</formula>
    </cfRule>
    <cfRule type="expression" dxfId="2169" priority="417">
      <formula>AND(IF($Q62=3,1,0),IF($X62&lt;30,1,0))</formula>
    </cfRule>
    <cfRule type="expression" dxfId="2168" priority="418">
      <formula>AND(IF($Q62=3,1,IF($Q62=4,1,0)),IF($F62&lt;=85,1,0))</formula>
    </cfRule>
  </conditionalFormatting>
  <conditionalFormatting sqref="AI62">
    <cfRule type="expression" dxfId="2167" priority="411">
      <formula>AND(IF(OR($Q62=1,$Q62=2),1,0),IF($X62&lt;=20,1,0))</formula>
    </cfRule>
    <cfRule type="expression" dxfId="2166" priority="412">
      <formula>AND(IF($Q62=2,1,0),IF($X62&lt;30,1,0))</formula>
    </cfRule>
    <cfRule type="expression" dxfId="2165" priority="413">
      <formula>AND(IF($Q62=3,1,0),IF($X62&lt;30,1,0))</formula>
    </cfRule>
    <cfRule type="expression" dxfId="2164" priority="414">
      <formula>AND(IF($Q62=3,1,IF($Q62=4,1,0)),IF($F62&lt;=85,1,0))</formula>
    </cfRule>
  </conditionalFormatting>
  <conditionalFormatting sqref="AV63">
    <cfRule type="expression" dxfId="2163" priority="409">
      <formula>AV63="X"</formula>
    </cfRule>
    <cfRule type="expression" dxfId="2162" priority="410">
      <formula>AV63="후보"</formula>
    </cfRule>
  </conditionalFormatting>
  <conditionalFormatting sqref="AC63 N63">
    <cfRule type="cellIs" dxfId="2161" priority="406" operator="greaterThan">
      <formula>0.9</formula>
    </cfRule>
    <cfRule type="cellIs" dxfId="2160" priority="407" operator="greaterThan">
      <formula>0.85</formula>
    </cfRule>
  </conditionalFormatting>
  <conditionalFormatting sqref="AV64">
    <cfRule type="expression" dxfId="2159" priority="404">
      <formula>AV64="X"</formula>
    </cfRule>
    <cfRule type="expression" dxfId="2158" priority="405">
      <formula>AV64="후보"</formula>
    </cfRule>
  </conditionalFormatting>
  <conditionalFormatting sqref="AC64">
    <cfRule type="cellIs" dxfId="2157" priority="401" operator="greaterThan">
      <formula>0.9</formula>
    </cfRule>
    <cfRule type="cellIs" dxfId="2156" priority="402" operator="greaterThan">
      <formula>0.85</formula>
    </cfRule>
  </conditionalFormatting>
  <conditionalFormatting sqref="N64">
    <cfRule type="cellIs" dxfId="2155" priority="399" operator="greaterThan">
      <formula>0.9</formula>
    </cfRule>
    <cfRule type="cellIs" dxfId="2154" priority="400" operator="greaterThan">
      <formula>0.85</formula>
    </cfRule>
  </conditionalFormatting>
  <conditionalFormatting sqref="E64">
    <cfRule type="expression" dxfId="2153" priority="395">
      <formula>AND(IF(OR($Q64=1,$Q64=2),1,0),IF($X64&lt;=20,1,0))</formula>
    </cfRule>
    <cfRule type="expression" dxfId="2152" priority="396">
      <formula>AND(IF($Q64=2,1,0),IF($X64&lt;30,1,0))</formula>
    </cfRule>
    <cfRule type="expression" dxfId="2151" priority="397">
      <formula>AND(IF($Q64=3,1,0),IF($X64&lt;30,1,0))</formula>
    </cfRule>
    <cfRule type="expression" dxfId="2150" priority="398">
      <formula>AND(IF($Q64=3,1,IF($Q64=4,1,0)),IF($F64&lt;=85,1,0))</formula>
    </cfRule>
  </conditionalFormatting>
  <conditionalFormatting sqref="X64">
    <cfRule type="expression" dxfId="2149" priority="391">
      <formula>AND(IF(OR($Q64=1,$Q64=2),1,0),IF($X64&lt;=20,1,0))</formula>
    </cfRule>
    <cfRule type="expression" dxfId="2148" priority="392">
      <formula>AND(IF($Q64=2,1,0),IF($X64&lt;30,1,0))</formula>
    </cfRule>
    <cfRule type="expression" dxfId="2147" priority="393">
      <formula>AND(IF($Q64=3,1,0),IF($X64&lt;30,1,0))</formula>
    </cfRule>
    <cfRule type="expression" dxfId="2146" priority="394">
      <formula>AND(IF($Q64=3,1,IF($Q64=4,1,0)),IF($F64&lt;=85,1,0))</formula>
    </cfRule>
  </conditionalFormatting>
  <conditionalFormatting sqref="AI64">
    <cfRule type="expression" dxfId="2145" priority="387">
      <formula>AND(IF(OR($Q64=1,$Q64=2),1,0),IF($X64&lt;=20,1,0))</formula>
    </cfRule>
    <cfRule type="expression" dxfId="2144" priority="388">
      <formula>AND(IF($Q64=2,1,0),IF($X64&lt;30,1,0))</formula>
    </cfRule>
    <cfRule type="expression" dxfId="2143" priority="389">
      <formula>AND(IF($Q64=3,1,0),IF($X64&lt;30,1,0))</formula>
    </cfRule>
    <cfRule type="expression" dxfId="2142" priority="390">
      <formula>AND(IF($Q64=3,1,IF($Q64=4,1,0)),IF($F64&lt;=85,1,0))</formula>
    </cfRule>
  </conditionalFormatting>
  <conditionalFormatting sqref="AV65">
    <cfRule type="expression" dxfId="2141" priority="385">
      <formula>AV65="X"</formula>
    </cfRule>
    <cfRule type="expression" dxfId="2140" priority="386">
      <formula>AV65="후보"</formula>
    </cfRule>
  </conditionalFormatting>
  <conditionalFormatting sqref="AC65">
    <cfRule type="cellIs" dxfId="2139" priority="382" operator="greaterThan">
      <formula>0.9</formula>
    </cfRule>
    <cfRule type="cellIs" dxfId="2138" priority="383" operator="greaterThan">
      <formula>0.85</formula>
    </cfRule>
  </conditionalFormatting>
  <conditionalFormatting sqref="N65">
    <cfRule type="cellIs" dxfId="2137" priority="380" operator="greaterThan">
      <formula>0.9</formula>
    </cfRule>
    <cfRule type="cellIs" dxfId="2136" priority="381" operator="greaterThan">
      <formula>0.85</formula>
    </cfRule>
  </conditionalFormatting>
  <conditionalFormatting sqref="E65">
    <cfRule type="expression" dxfId="2135" priority="376">
      <formula>AND(IF(OR($Q65=1,$Q65=2),1,0),IF($X65&lt;=20,1,0))</formula>
    </cfRule>
    <cfRule type="expression" dxfId="2134" priority="377">
      <formula>AND(IF($Q65=2,1,0),IF($X65&lt;30,1,0))</formula>
    </cfRule>
    <cfRule type="expression" dxfId="2133" priority="378">
      <formula>AND(IF($Q65=3,1,0),IF($X65&lt;30,1,0))</formula>
    </cfRule>
    <cfRule type="expression" dxfId="2132" priority="379">
      <formula>AND(IF($Q65=3,1,IF($Q65=4,1,0)),IF($F65&lt;=85,1,0))</formula>
    </cfRule>
  </conditionalFormatting>
  <conditionalFormatting sqref="X65">
    <cfRule type="expression" dxfId="2131" priority="372">
      <formula>AND(IF(OR($Q65=1,$Q65=2),1,0),IF($X65&lt;=20,1,0))</formula>
    </cfRule>
    <cfRule type="expression" dxfId="2130" priority="373">
      <formula>AND(IF($Q65=2,1,0),IF($X65&lt;30,1,0))</formula>
    </cfRule>
    <cfRule type="expression" dxfId="2129" priority="374">
      <formula>AND(IF($Q65=3,1,0),IF($X65&lt;30,1,0))</formula>
    </cfRule>
    <cfRule type="expression" dxfId="2128" priority="375">
      <formula>AND(IF($Q65=3,1,IF($Q65=4,1,0)),IF($F65&lt;=85,1,0))</formula>
    </cfRule>
  </conditionalFormatting>
  <conditionalFormatting sqref="AI65">
    <cfRule type="expression" dxfId="2127" priority="368">
      <formula>AND(IF(OR($Q65=1,$Q65=2),1,0),IF($X65&lt;=20,1,0))</formula>
    </cfRule>
    <cfRule type="expression" dxfId="2126" priority="369">
      <formula>AND(IF($Q65=2,1,0),IF($X65&lt;30,1,0))</formula>
    </cfRule>
    <cfRule type="expression" dxfId="2125" priority="370">
      <formula>AND(IF($Q65=3,1,0),IF($X65&lt;30,1,0))</formula>
    </cfRule>
    <cfRule type="expression" dxfId="2124" priority="371">
      <formula>AND(IF($Q65=3,1,IF($Q65=4,1,0)),IF($F65&lt;=85,1,0))</formula>
    </cfRule>
  </conditionalFormatting>
  <conditionalFormatting sqref="AV66">
    <cfRule type="expression" dxfId="2123" priority="366">
      <formula>AV66="X"</formula>
    </cfRule>
    <cfRule type="expression" dxfId="2122" priority="367">
      <formula>AV66="후보"</formula>
    </cfRule>
  </conditionalFormatting>
  <conditionalFormatting sqref="AC66">
    <cfRule type="cellIs" dxfId="2121" priority="363" operator="greaterThan">
      <formula>0.9</formula>
    </cfRule>
    <cfRule type="cellIs" dxfId="2120" priority="364" operator="greaterThan">
      <formula>0.85</formula>
    </cfRule>
  </conditionalFormatting>
  <conditionalFormatting sqref="N66">
    <cfRule type="cellIs" dxfId="2119" priority="361" operator="greaterThan">
      <formula>0.9</formula>
    </cfRule>
    <cfRule type="cellIs" dxfId="2118" priority="362" operator="greaterThan">
      <formula>0.85</formula>
    </cfRule>
  </conditionalFormatting>
  <conditionalFormatting sqref="E66">
    <cfRule type="expression" dxfId="2117" priority="357">
      <formula>AND(IF(OR($Q66=1,$Q66=2),1,0),IF($X66&lt;=20,1,0))</formula>
    </cfRule>
    <cfRule type="expression" dxfId="2116" priority="358">
      <formula>AND(IF($Q66=2,1,0),IF($X66&lt;30,1,0))</formula>
    </cfRule>
    <cfRule type="expression" dxfId="2115" priority="359">
      <formula>AND(IF($Q66=3,1,0),IF($X66&lt;30,1,0))</formula>
    </cfRule>
    <cfRule type="expression" dxfId="2114" priority="360">
      <formula>AND(IF($Q66=3,1,IF($Q66=4,1,0)),IF($F66&lt;=85,1,0))</formula>
    </cfRule>
  </conditionalFormatting>
  <conditionalFormatting sqref="X66">
    <cfRule type="expression" dxfId="2113" priority="353">
      <formula>AND(IF(OR($Q66=1,$Q66=2),1,0),IF($X66&lt;=20,1,0))</formula>
    </cfRule>
    <cfRule type="expression" dxfId="2112" priority="354">
      <formula>AND(IF($Q66=2,1,0),IF($X66&lt;30,1,0))</formula>
    </cfRule>
    <cfRule type="expression" dxfId="2111" priority="355">
      <formula>AND(IF($Q66=3,1,0),IF($X66&lt;30,1,0))</formula>
    </cfRule>
    <cfRule type="expression" dxfId="2110" priority="356">
      <formula>AND(IF($Q66=3,1,IF($Q66=4,1,0)),IF($F66&lt;=85,1,0))</formula>
    </cfRule>
  </conditionalFormatting>
  <conditionalFormatting sqref="AI66">
    <cfRule type="expression" dxfId="2109" priority="349">
      <formula>AND(IF(OR($Q66=1,$Q66=2),1,0),IF($X66&lt;=20,1,0))</formula>
    </cfRule>
    <cfRule type="expression" dxfId="2108" priority="350">
      <formula>AND(IF($Q66=2,1,0),IF($X66&lt;30,1,0))</formula>
    </cfRule>
    <cfRule type="expression" dxfId="2107" priority="351">
      <formula>AND(IF($Q66=3,1,0),IF($X66&lt;30,1,0))</formula>
    </cfRule>
    <cfRule type="expression" dxfId="2106" priority="352">
      <formula>AND(IF($Q66=3,1,IF($Q66=4,1,0)),IF($F66&lt;=85,1,0))</formula>
    </cfRule>
  </conditionalFormatting>
  <conditionalFormatting sqref="AV67">
    <cfRule type="expression" dxfId="2105" priority="347">
      <formula>AV67="X"</formula>
    </cfRule>
    <cfRule type="expression" dxfId="2104" priority="348">
      <formula>AV67="후보"</formula>
    </cfRule>
  </conditionalFormatting>
  <conditionalFormatting sqref="AC67">
    <cfRule type="cellIs" dxfId="2103" priority="344" operator="greaterThan">
      <formula>0.9</formula>
    </cfRule>
    <cfRule type="cellIs" dxfId="2102" priority="345" operator="greaterThan">
      <formula>0.85</formula>
    </cfRule>
  </conditionalFormatting>
  <conditionalFormatting sqref="N67">
    <cfRule type="cellIs" dxfId="2101" priority="342" operator="greaterThan">
      <formula>0.9</formula>
    </cfRule>
    <cfRule type="cellIs" dxfId="2100" priority="343" operator="greaterThan">
      <formula>0.85</formula>
    </cfRule>
  </conditionalFormatting>
  <conditionalFormatting sqref="E67">
    <cfRule type="expression" dxfId="2099" priority="338">
      <formula>AND(IF(OR($Q67=1,$Q67=2),1,0),IF($X67&lt;=20,1,0))</formula>
    </cfRule>
    <cfRule type="expression" dxfId="2098" priority="339">
      <formula>AND(IF($Q67=2,1,0),IF($X67&lt;30,1,0))</formula>
    </cfRule>
    <cfRule type="expression" dxfId="2097" priority="340">
      <formula>AND(IF($Q67=3,1,0),IF($X67&lt;30,1,0))</formula>
    </cfRule>
    <cfRule type="expression" dxfId="2096" priority="341">
      <formula>AND(IF($Q67=3,1,IF($Q67=4,1,0)),IF($F67&lt;=85,1,0))</formula>
    </cfRule>
  </conditionalFormatting>
  <conditionalFormatting sqref="X67">
    <cfRule type="expression" dxfId="2095" priority="334">
      <formula>AND(IF(OR($Q67=1,$Q67=2),1,0),IF($X67&lt;=20,1,0))</formula>
    </cfRule>
    <cfRule type="expression" dxfId="2094" priority="335">
      <formula>AND(IF($Q67=2,1,0),IF($X67&lt;30,1,0))</formula>
    </cfRule>
    <cfRule type="expression" dxfId="2093" priority="336">
      <formula>AND(IF($Q67=3,1,0),IF($X67&lt;30,1,0))</formula>
    </cfRule>
    <cfRule type="expression" dxfId="2092" priority="337">
      <formula>AND(IF($Q67=3,1,IF($Q67=4,1,0)),IF($F67&lt;=85,1,0))</formula>
    </cfRule>
  </conditionalFormatting>
  <conditionalFormatting sqref="AI67">
    <cfRule type="expression" dxfId="2091" priority="330">
      <formula>AND(IF(OR($Q67=1,$Q67=2),1,0),IF($X67&lt;=20,1,0))</formula>
    </cfRule>
    <cfRule type="expression" dxfId="2090" priority="331">
      <formula>AND(IF($Q67=2,1,0),IF($X67&lt;30,1,0))</formula>
    </cfRule>
    <cfRule type="expression" dxfId="2089" priority="332">
      <formula>AND(IF($Q67=3,1,0),IF($X67&lt;30,1,0))</formula>
    </cfRule>
    <cfRule type="expression" dxfId="2088" priority="333">
      <formula>AND(IF($Q67=3,1,IF($Q67=4,1,0)),IF($F67&lt;=85,1,0))</formula>
    </cfRule>
  </conditionalFormatting>
  <conditionalFormatting sqref="AV68">
    <cfRule type="expression" dxfId="2087" priority="328">
      <formula>AV68="X"</formula>
    </cfRule>
    <cfRule type="expression" dxfId="2086" priority="329">
      <formula>AV68="후보"</formula>
    </cfRule>
  </conditionalFormatting>
  <conditionalFormatting sqref="AC68 N68">
    <cfRule type="cellIs" dxfId="2085" priority="325" operator="greaterThan">
      <formula>0.9</formula>
    </cfRule>
    <cfRule type="cellIs" dxfId="2084" priority="326" operator="greaterThan">
      <formula>0.85</formula>
    </cfRule>
  </conditionalFormatting>
  <conditionalFormatting sqref="AV69">
    <cfRule type="expression" dxfId="2083" priority="323">
      <formula>AV69="X"</formula>
    </cfRule>
    <cfRule type="expression" dxfId="2082" priority="324">
      <formula>AV69="후보"</formula>
    </cfRule>
  </conditionalFormatting>
  <conditionalFormatting sqref="AC69">
    <cfRule type="cellIs" dxfId="2081" priority="320" operator="greaterThan">
      <formula>0.9</formula>
    </cfRule>
    <cfRule type="cellIs" dxfId="2080" priority="321" operator="greaterThan">
      <formula>0.85</formula>
    </cfRule>
  </conditionalFormatting>
  <conditionalFormatting sqref="N69">
    <cfRule type="cellIs" dxfId="2079" priority="318" operator="greaterThan">
      <formula>0.9</formula>
    </cfRule>
    <cfRule type="cellIs" dxfId="2078" priority="319" operator="greaterThan">
      <formula>0.85</formula>
    </cfRule>
  </conditionalFormatting>
  <conditionalFormatting sqref="E69">
    <cfRule type="expression" dxfId="2077" priority="314">
      <formula>AND(IF(OR($Q69=1,$Q69=2),1,0),IF($X69&lt;=20,1,0))</formula>
    </cfRule>
    <cfRule type="expression" dxfId="2076" priority="315">
      <formula>AND(IF($Q69=2,1,0),IF($X69&lt;30,1,0))</formula>
    </cfRule>
    <cfRule type="expression" dxfId="2075" priority="316">
      <formula>AND(IF($Q69=3,1,0),IF($X69&lt;30,1,0))</formula>
    </cfRule>
    <cfRule type="expression" dxfId="2074" priority="317">
      <formula>AND(IF($Q69=3,1,IF($Q69=4,1,0)),IF($F69&lt;=85,1,0))</formula>
    </cfRule>
  </conditionalFormatting>
  <conditionalFormatting sqref="X69">
    <cfRule type="expression" dxfId="2073" priority="310">
      <formula>AND(IF(OR($Q69=1,$Q69=2),1,0),IF($X69&lt;=20,1,0))</formula>
    </cfRule>
    <cfRule type="expression" dxfId="2072" priority="311">
      <formula>AND(IF($Q69=2,1,0),IF($X69&lt;30,1,0))</formula>
    </cfRule>
    <cfRule type="expression" dxfId="2071" priority="312">
      <formula>AND(IF($Q69=3,1,0),IF($X69&lt;30,1,0))</formula>
    </cfRule>
    <cfRule type="expression" dxfId="2070" priority="313">
      <formula>AND(IF($Q69=3,1,IF($Q69=4,1,0)),IF($F69&lt;=85,1,0))</formula>
    </cfRule>
  </conditionalFormatting>
  <conditionalFormatting sqref="AI69">
    <cfRule type="expression" dxfId="2069" priority="306">
      <formula>AND(IF(OR($Q69=1,$Q69=2),1,0),IF($X69&lt;=20,1,0))</formula>
    </cfRule>
    <cfRule type="expression" dxfId="2068" priority="307">
      <formula>AND(IF($Q69=2,1,0),IF($X69&lt;30,1,0))</formula>
    </cfRule>
    <cfRule type="expression" dxfId="2067" priority="308">
      <formula>AND(IF($Q69=3,1,0),IF($X69&lt;30,1,0))</formula>
    </cfRule>
    <cfRule type="expression" dxfId="2066" priority="309">
      <formula>AND(IF($Q69=3,1,IF($Q69=4,1,0)),IF($F69&lt;=85,1,0))</formula>
    </cfRule>
  </conditionalFormatting>
  <conditionalFormatting sqref="AV70">
    <cfRule type="expression" dxfId="2065" priority="304">
      <formula>AV70="X"</formula>
    </cfRule>
    <cfRule type="expression" dxfId="2064" priority="305">
      <formula>AV70="후보"</formula>
    </cfRule>
  </conditionalFormatting>
  <conditionalFormatting sqref="AC70">
    <cfRule type="cellIs" dxfId="2063" priority="301" operator="greaterThan">
      <formula>0.9</formula>
    </cfRule>
    <cfRule type="cellIs" dxfId="2062" priority="302" operator="greaterThan">
      <formula>0.85</formula>
    </cfRule>
  </conditionalFormatting>
  <conditionalFormatting sqref="N70">
    <cfRule type="cellIs" dxfId="2061" priority="299" operator="greaterThan">
      <formula>0.9</formula>
    </cfRule>
    <cfRule type="cellIs" dxfId="2060" priority="300" operator="greaterThan">
      <formula>0.85</formula>
    </cfRule>
  </conditionalFormatting>
  <conditionalFormatting sqref="E70">
    <cfRule type="expression" dxfId="2059" priority="295">
      <formula>AND(IF(OR($Q70=1,$Q70=2),1,0),IF($X70&lt;=20,1,0))</formula>
    </cfRule>
    <cfRule type="expression" dxfId="2058" priority="296">
      <formula>AND(IF($Q70=2,1,0),IF($X70&lt;30,1,0))</formula>
    </cfRule>
    <cfRule type="expression" dxfId="2057" priority="297">
      <formula>AND(IF($Q70=3,1,0),IF($X70&lt;30,1,0))</formula>
    </cfRule>
    <cfRule type="expression" dxfId="2056" priority="298">
      <formula>AND(IF($Q70=3,1,IF($Q70=4,1,0)),IF($F70&lt;=85,1,0))</formula>
    </cfRule>
  </conditionalFormatting>
  <conditionalFormatting sqref="X70">
    <cfRule type="expression" dxfId="2055" priority="291">
      <formula>AND(IF(OR($Q70=1,$Q70=2),1,0),IF($X70&lt;=20,1,0))</formula>
    </cfRule>
    <cfRule type="expression" dxfId="2054" priority="292">
      <formula>AND(IF($Q70=2,1,0),IF($X70&lt;30,1,0))</formula>
    </cfRule>
    <cfRule type="expression" dxfId="2053" priority="293">
      <formula>AND(IF($Q70=3,1,0),IF($X70&lt;30,1,0))</formula>
    </cfRule>
    <cfRule type="expression" dxfId="2052" priority="294">
      <formula>AND(IF($Q70=3,1,IF($Q70=4,1,0)),IF($F70&lt;=85,1,0))</formula>
    </cfRule>
  </conditionalFormatting>
  <conditionalFormatting sqref="AI70">
    <cfRule type="expression" dxfId="2051" priority="287">
      <formula>AND(IF(OR($Q70=1,$Q70=2),1,0),IF($X70&lt;=20,1,0))</formula>
    </cfRule>
    <cfRule type="expression" dxfId="2050" priority="288">
      <formula>AND(IF($Q70=2,1,0),IF($X70&lt;30,1,0))</formula>
    </cfRule>
    <cfRule type="expression" dxfId="2049" priority="289">
      <formula>AND(IF($Q70=3,1,0),IF($X70&lt;30,1,0))</formula>
    </cfRule>
    <cfRule type="expression" dxfId="2048" priority="290">
      <formula>AND(IF($Q70=3,1,IF($Q70=4,1,0)),IF($F70&lt;=85,1,0))</formula>
    </cfRule>
  </conditionalFormatting>
  <conditionalFormatting sqref="AV71">
    <cfRule type="expression" dxfId="2047" priority="285">
      <formula>AV71="X"</formula>
    </cfRule>
    <cfRule type="expression" dxfId="2046" priority="286">
      <formula>AV71="후보"</formula>
    </cfRule>
  </conditionalFormatting>
  <conditionalFormatting sqref="AC71 N71">
    <cfRule type="cellIs" dxfId="2045" priority="282" operator="greaterThan">
      <formula>0.9</formula>
    </cfRule>
    <cfRule type="cellIs" dxfId="2044" priority="283" operator="greaterThan">
      <formula>0.85</formula>
    </cfRule>
  </conditionalFormatting>
  <conditionalFormatting sqref="AV72">
    <cfRule type="expression" dxfId="2043" priority="280">
      <formula>AV72="X"</formula>
    </cfRule>
    <cfRule type="expression" dxfId="2042" priority="281">
      <formula>AV72="후보"</formula>
    </cfRule>
  </conditionalFormatting>
  <conditionalFormatting sqref="AC72">
    <cfRule type="cellIs" dxfId="2041" priority="277" operator="greaterThan">
      <formula>0.9</formula>
    </cfRule>
    <cfRule type="cellIs" dxfId="2040" priority="278" operator="greaterThan">
      <formula>0.85</formula>
    </cfRule>
  </conditionalFormatting>
  <conditionalFormatting sqref="N72">
    <cfRule type="cellIs" dxfId="2039" priority="275" operator="greaterThan">
      <formula>0.9</formula>
    </cfRule>
    <cfRule type="cellIs" dxfId="2038" priority="276" operator="greaterThan">
      <formula>0.85</formula>
    </cfRule>
  </conditionalFormatting>
  <conditionalFormatting sqref="E72">
    <cfRule type="expression" dxfId="2037" priority="271">
      <formula>AND(IF(OR($Q72=1,$Q72=2),1,0),IF($X72&lt;=20,1,0))</formula>
    </cfRule>
    <cfRule type="expression" dxfId="2036" priority="272">
      <formula>AND(IF($Q72=2,1,0),IF($X72&lt;30,1,0))</formula>
    </cfRule>
    <cfRule type="expression" dxfId="2035" priority="273">
      <formula>AND(IF($Q72=3,1,0),IF($X72&lt;30,1,0))</formula>
    </cfRule>
    <cfRule type="expression" dxfId="2034" priority="274">
      <formula>AND(IF($Q72=3,1,IF($Q72=4,1,0)),IF($F72&lt;=85,1,0))</formula>
    </cfRule>
  </conditionalFormatting>
  <conditionalFormatting sqref="X72">
    <cfRule type="expression" dxfId="2033" priority="267">
      <formula>AND(IF(OR($Q72=1,$Q72=2),1,0),IF($X72&lt;=20,1,0))</formula>
    </cfRule>
    <cfRule type="expression" dxfId="2032" priority="268">
      <formula>AND(IF($Q72=2,1,0),IF($X72&lt;30,1,0))</formula>
    </cfRule>
    <cfRule type="expression" dxfId="2031" priority="269">
      <formula>AND(IF($Q72=3,1,0),IF($X72&lt;30,1,0))</formula>
    </cfRule>
    <cfRule type="expression" dxfId="2030" priority="270">
      <formula>AND(IF($Q72=3,1,IF($Q72=4,1,0)),IF($F72&lt;=85,1,0))</formula>
    </cfRule>
  </conditionalFormatting>
  <conditionalFormatting sqref="AI72">
    <cfRule type="expression" dxfId="2029" priority="263">
      <formula>AND(IF(OR($Q72=1,$Q72=2),1,0),IF($X72&lt;=20,1,0))</formula>
    </cfRule>
    <cfRule type="expression" dxfId="2028" priority="264">
      <formula>AND(IF($Q72=2,1,0),IF($X72&lt;30,1,0))</formula>
    </cfRule>
    <cfRule type="expression" dxfId="2027" priority="265">
      <formula>AND(IF($Q72=3,1,0),IF($X72&lt;30,1,0))</formula>
    </cfRule>
    <cfRule type="expression" dxfId="2026" priority="266">
      <formula>AND(IF($Q72=3,1,IF($Q72=4,1,0)),IF($F72&lt;=85,1,0))</formula>
    </cfRule>
  </conditionalFormatting>
  <conditionalFormatting sqref="AV73">
    <cfRule type="expression" dxfId="2025" priority="261">
      <formula>AV73="X"</formula>
    </cfRule>
    <cfRule type="expression" dxfId="2024" priority="262">
      <formula>AV73="후보"</formula>
    </cfRule>
  </conditionalFormatting>
  <conditionalFormatting sqref="AC73">
    <cfRule type="cellIs" dxfId="2023" priority="258" operator="greaterThan">
      <formula>0.9</formula>
    </cfRule>
    <cfRule type="cellIs" dxfId="2022" priority="259" operator="greaterThan">
      <formula>0.85</formula>
    </cfRule>
  </conditionalFormatting>
  <conditionalFormatting sqref="N73">
    <cfRule type="cellIs" dxfId="2021" priority="256" operator="greaterThan">
      <formula>0.9</formula>
    </cfRule>
    <cfRule type="cellIs" dxfId="2020" priority="257" operator="greaterThan">
      <formula>0.85</formula>
    </cfRule>
  </conditionalFormatting>
  <conditionalFormatting sqref="E73">
    <cfRule type="expression" dxfId="2019" priority="252">
      <formula>AND(IF(OR($Q73=1,$Q73=2),1,0),IF($X73&lt;=20,1,0))</formula>
    </cfRule>
    <cfRule type="expression" dxfId="2018" priority="253">
      <formula>AND(IF($Q73=2,1,0),IF($X73&lt;30,1,0))</formula>
    </cfRule>
    <cfRule type="expression" dxfId="2017" priority="254">
      <formula>AND(IF($Q73=3,1,0),IF($X73&lt;30,1,0))</formula>
    </cfRule>
    <cfRule type="expression" dxfId="2016" priority="255">
      <formula>AND(IF($Q73=3,1,IF($Q73=4,1,0)),IF($F73&lt;=85,1,0))</formula>
    </cfRule>
  </conditionalFormatting>
  <conditionalFormatting sqref="X73">
    <cfRule type="expression" dxfId="2015" priority="248">
      <formula>AND(IF(OR($Q73=1,$Q73=2),1,0),IF($X73&lt;=20,1,0))</formula>
    </cfRule>
    <cfRule type="expression" dxfId="2014" priority="249">
      <formula>AND(IF($Q73=2,1,0),IF($X73&lt;30,1,0))</formula>
    </cfRule>
    <cfRule type="expression" dxfId="2013" priority="250">
      <formula>AND(IF($Q73=3,1,0),IF($X73&lt;30,1,0))</formula>
    </cfRule>
    <cfRule type="expression" dxfId="2012" priority="251">
      <formula>AND(IF($Q73=3,1,IF($Q73=4,1,0)),IF($F73&lt;=85,1,0))</formula>
    </cfRule>
  </conditionalFormatting>
  <conditionalFormatting sqref="AI73">
    <cfRule type="expression" dxfId="2011" priority="244">
      <formula>AND(IF(OR($Q73=1,$Q73=2),1,0),IF($X73&lt;=20,1,0))</formula>
    </cfRule>
    <cfRule type="expression" dxfId="2010" priority="245">
      <formula>AND(IF($Q73=2,1,0),IF($X73&lt;30,1,0))</formula>
    </cfRule>
    <cfRule type="expression" dxfId="2009" priority="246">
      <formula>AND(IF($Q73=3,1,0),IF($X73&lt;30,1,0))</formula>
    </cfRule>
    <cfRule type="expression" dxfId="2008" priority="247">
      <formula>AND(IF($Q73=3,1,IF($Q73=4,1,0)),IF($F73&lt;=85,1,0))</formula>
    </cfRule>
  </conditionalFormatting>
  <conditionalFormatting sqref="AV74">
    <cfRule type="expression" dxfId="2007" priority="242">
      <formula>AV74="X"</formula>
    </cfRule>
    <cfRule type="expression" dxfId="2006" priority="243">
      <formula>AV74="후보"</formula>
    </cfRule>
  </conditionalFormatting>
  <conditionalFormatting sqref="AC74">
    <cfRule type="cellIs" dxfId="2005" priority="239" operator="greaterThan">
      <formula>0.9</formula>
    </cfRule>
    <cfRule type="cellIs" dxfId="2004" priority="240" operator="greaterThan">
      <formula>0.85</formula>
    </cfRule>
  </conditionalFormatting>
  <conditionalFormatting sqref="N74">
    <cfRule type="cellIs" dxfId="2003" priority="237" operator="greaterThan">
      <formula>0.9</formula>
    </cfRule>
    <cfRule type="cellIs" dxfId="2002" priority="238" operator="greaterThan">
      <formula>0.85</formula>
    </cfRule>
  </conditionalFormatting>
  <conditionalFormatting sqref="E74">
    <cfRule type="expression" dxfId="2001" priority="233">
      <formula>AND(IF(OR($Q74=1,$Q74=2),1,0),IF($X74&lt;=20,1,0))</formula>
    </cfRule>
    <cfRule type="expression" dxfId="2000" priority="234">
      <formula>AND(IF($Q74=2,1,0),IF($X74&lt;30,1,0))</formula>
    </cfRule>
    <cfRule type="expression" dxfId="1999" priority="235">
      <formula>AND(IF($Q74=3,1,0),IF($X74&lt;30,1,0))</formula>
    </cfRule>
    <cfRule type="expression" dxfId="1998" priority="236">
      <formula>AND(IF($Q74=3,1,IF($Q74=4,1,0)),IF($F74&lt;=85,1,0))</formula>
    </cfRule>
  </conditionalFormatting>
  <conditionalFormatting sqref="X74">
    <cfRule type="expression" dxfId="1997" priority="229">
      <formula>AND(IF(OR($Q74=1,$Q74=2),1,0),IF($X74&lt;=20,1,0))</formula>
    </cfRule>
    <cfRule type="expression" dxfId="1996" priority="230">
      <formula>AND(IF($Q74=2,1,0),IF($X74&lt;30,1,0))</formula>
    </cfRule>
    <cfRule type="expression" dxfId="1995" priority="231">
      <formula>AND(IF($Q74=3,1,0),IF($X74&lt;30,1,0))</formula>
    </cfRule>
    <cfRule type="expression" dxfId="1994" priority="232">
      <formula>AND(IF($Q74=3,1,IF($Q74=4,1,0)),IF($F74&lt;=85,1,0))</formula>
    </cfRule>
  </conditionalFormatting>
  <conditionalFormatting sqref="AI74">
    <cfRule type="expression" dxfId="1993" priority="225">
      <formula>AND(IF(OR($Q74=1,$Q74=2),1,0),IF($X74&lt;=20,1,0))</formula>
    </cfRule>
    <cfRule type="expression" dxfId="1992" priority="226">
      <formula>AND(IF($Q74=2,1,0),IF($X74&lt;30,1,0))</formula>
    </cfRule>
    <cfRule type="expression" dxfId="1991" priority="227">
      <formula>AND(IF($Q74=3,1,0),IF($X74&lt;30,1,0))</formula>
    </cfRule>
    <cfRule type="expression" dxfId="1990" priority="228">
      <formula>AND(IF($Q74=3,1,IF($Q74=4,1,0)),IF($F74&lt;=85,1,0))</formula>
    </cfRule>
  </conditionalFormatting>
  <conditionalFormatting sqref="AV75">
    <cfRule type="expression" dxfId="1989" priority="223">
      <formula>AV75="X"</formula>
    </cfRule>
    <cfRule type="expression" dxfId="1988" priority="224">
      <formula>AV75="후보"</formula>
    </cfRule>
  </conditionalFormatting>
  <conditionalFormatting sqref="AC75">
    <cfRule type="cellIs" dxfId="1987" priority="220" operator="greaterThan">
      <formula>0.9</formula>
    </cfRule>
    <cfRule type="cellIs" dxfId="1986" priority="221" operator="greaterThan">
      <formula>0.85</formula>
    </cfRule>
  </conditionalFormatting>
  <conditionalFormatting sqref="N75">
    <cfRule type="cellIs" dxfId="1985" priority="218" operator="greaterThan">
      <formula>0.9</formula>
    </cfRule>
    <cfRule type="cellIs" dxfId="1984" priority="219" operator="greaterThan">
      <formula>0.85</formula>
    </cfRule>
  </conditionalFormatting>
  <conditionalFormatting sqref="E75">
    <cfRule type="expression" dxfId="1983" priority="214">
      <formula>AND(IF(OR($Q75=1,$Q75=2),1,0),IF($X75&lt;=20,1,0))</formula>
    </cfRule>
    <cfRule type="expression" dxfId="1982" priority="215">
      <formula>AND(IF($Q75=2,1,0),IF($X75&lt;30,1,0))</formula>
    </cfRule>
    <cfRule type="expression" dxfId="1981" priority="216">
      <formula>AND(IF($Q75=3,1,0),IF($X75&lt;30,1,0))</formula>
    </cfRule>
    <cfRule type="expression" dxfId="1980" priority="217">
      <formula>AND(IF($Q75=3,1,IF($Q75=4,1,0)),IF($F75&lt;=85,1,0))</formula>
    </cfRule>
  </conditionalFormatting>
  <conditionalFormatting sqref="X75">
    <cfRule type="expression" dxfId="1979" priority="210">
      <formula>AND(IF(OR($Q75=1,$Q75=2),1,0),IF($X75&lt;=20,1,0))</formula>
    </cfRule>
    <cfRule type="expression" dxfId="1978" priority="211">
      <formula>AND(IF($Q75=2,1,0),IF($X75&lt;30,1,0))</formula>
    </cfRule>
    <cfRule type="expression" dxfId="1977" priority="212">
      <formula>AND(IF($Q75=3,1,0),IF($X75&lt;30,1,0))</formula>
    </cfRule>
    <cfRule type="expression" dxfId="1976" priority="213">
      <formula>AND(IF($Q75=3,1,IF($Q75=4,1,0)),IF($F75&lt;=85,1,0))</formula>
    </cfRule>
  </conditionalFormatting>
  <conditionalFormatting sqref="AI75">
    <cfRule type="expression" dxfId="1975" priority="206">
      <formula>AND(IF(OR($Q75=1,$Q75=2),1,0),IF($X75&lt;=20,1,0))</formula>
    </cfRule>
    <cfRule type="expression" dxfId="1974" priority="207">
      <formula>AND(IF($Q75=2,1,0),IF($X75&lt;30,1,0))</formula>
    </cfRule>
    <cfRule type="expression" dxfId="1973" priority="208">
      <formula>AND(IF($Q75=3,1,0),IF($X75&lt;30,1,0))</formula>
    </cfRule>
    <cfRule type="expression" dxfId="1972" priority="209">
      <formula>AND(IF($Q75=3,1,IF($Q75=4,1,0)),IF($F75&lt;=85,1,0))</formula>
    </cfRule>
  </conditionalFormatting>
  <conditionalFormatting sqref="AV76">
    <cfRule type="expression" dxfId="1971" priority="204">
      <formula>AV76="X"</formula>
    </cfRule>
    <cfRule type="expression" dxfId="1970" priority="205">
      <formula>AV76="후보"</formula>
    </cfRule>
  </conditionalFormatting>
  <conditionalFormatting sqref="AC76">
    <cfRule type="cellIs" dxfId="1969" priority="201" operator="greaterThan">
      <formula>0.9</formula>
    </cfRule>
    <cfRule type="cellIs" dxfId="1968" priority="202" operator="greaterThan">
      <formula>0.85</formula>
    </cfRule>
  </conditionalFormatting>
  <conditionalFormatting sqref="N76">
    <cfRule type="cellIs" dxfId="1967" priority="199" operator="greaterThan">
      <formula>0.9</formula>
    </cfRule>
    <cfRule type="cellIs" dxfId="1966" priority="200" operator="greaterThan">
      <formula>0.85</formula>
    </cfRule>
  </conditionalFormatting>
  <conditionalFormatting sqref="E76">
    <cfRule type="expression" dxfId="1965" priority="195">
      <formula>AND(IF(OR($Q76=1,$Q76=2),1,0),IF($X76&lt;=20,1,0))</formula>
    </cfRule>
    <cfRule type="expression" dxfId="1964" priority="196">
      <formula>AND(IF($Q76=2,1,0),IF($X76&lt;30,1,0))</formula>
    </cfRule>
    <cfRule type="expression" dxfId="1963" priority="197">
      <formula>AND(IF($Q76=3,1,0),IF($X76&lt;30,1,0))</formula>
    </cfRule>
    <cfRule type="expression" dxfId="1962" priority="198">
      <formula>AND(IF($Q76=3,1,IF($Q76=4,1,0)),IF($F76&lt;=85,1,0))</formula>
    </cfRule>
  </conditionalFormatting>
  <conditionalFormatting sqref="X76">
    <cfRule type="expression" dxfId="1961" priority="191">
      <formula>AND(IF(OR($Q76=1,$Q76=2),1,0),IF($X76&lt;=20,1,0))</formula>
    </cfRule>
    <cfRule type="expression" dxfId="1960" priority="192">
      <formula>AND(IF($Q76=2,1,0),IF($X76&lt;30,1,0))</formula>
    </cfRule>
    <cfRule type="expression" dxfId="1959" priority="193">
      <formula>AND(IF($Q76=3,1,0),IF($X76&lt;30,1,0))</formula>
    </cfRule>
    <cfRule type="expression" dxfId="1958" priority="194">
      <formula>AND(IF($Q76=3,1,IF($Q76=4,1,0)),IF($F76&lt;=85,1,0))</formula>
    </cfRule>
  </conditionalFormatting>
  <conditionalFormatting sqref="AI76">
    <cfRule type="expression" dxfId="1957" priority="187">
      <formula>AND(IF(OR($Q76=1,$Q76=2),1,0),IF($X76&lt;=20,1,0))</formula>
    </cfRule>
    <cfRule type="expression" dxfId="1956" priority="188">
      <formula>AND(IF($Q76=2,1,0),IF($X76&lt;30,1,0))</formula>
    </cfRule>
    <cfRule type="expression" dxfId="1955" priority="189">
      <formula>AND(IF($Q76=3,1,0),IF($X76&lt;30,1,0))</formula>
    </cfRule>
    <cfRule type="expression" dxfId="1954" priority="190">
      <formula>AND(IF($Q76=3,1,IF($Q76=4,1,0)),IF($F76&lt;=85,1,0))</formula>
    </cfRule>
  </conditionalFormatting>
  <conditionalFormatting sqref="AV77">
    <cfRule type="expression" dxfId="1953" priority="185">
      <formula>AV77="X"</formula>
    </cfRule>
    <cfRule type="expression" dxfId="1952" priority="186">
      <formula>AV77="후보"</formula>
    </cfRule>
  </conditionalFormatting>
  <conditionalFormatting sqref="AC77 N77">
    <cfRule type="cellIs" dxfId="1951" priority="182" operator="greaterThan">
      <formula>0.9</formula>
    </cfRule>
    <cfRule type="cellIs" dxfId="1950" priority="183" operator="greaterThan">
      <formula>0.85</formula>
    </cfRule>
  </conditionalFormatting>
  <conditionalFormatting sqref="AV78">
    <cfRule type="expression" dxfId="1949" priority="180">
      <formula>AV78="X"</formula>
    </cfRule>
    <cfRule type="expression" dxfId="1948" priority="181">
      <formula>AV78="후보"</formula>
    </cfRule>
  </conditionalFormatting>
  <conditionalFormatting sqref="AC78">
    <cfRule type="cellIs" dxfId="1947" priority="177" operator="greaterThan">
      <formula>0.9</formula>
    </cfRule>
    <cfRule type="cellIs" dxfId="1946" priority="178" operator="greaterThan">
      <formula>0.85</formula>
    </cfRule>
  </conditionalFormatting>
  <conditionalFormatting sqref="N78">
    <cfRule type="cellIs" dxfId="1945" priority="175" operator="greaterThan">
      <formula>0.9</formula>
    </cfRule>
    <cfRule type="cellIs" dxfId="1944" priority="176" operator="greaterThan">
      <formula>0.85</formula>
    </cfRule>
  </conditionalFormatting>
  <conditionalFormatting sqref="E78">
    <cfRule type="expression" dxfId="1943" priority="171">
      <formula>AND(IF(OR($Q78=1,$Q78=2),1,0),IF($X78&lt;=20,1,0))</formula>
    </cfRule>
    <cfRule type="expression" dxfId="1942" priority="172">
      <formula>AND(IF($Q78=2,1,0),IF($X78&lt;30,1,0))</formula>
    </cfRule>
    <cfRule type="expression" dxfId="1941" priority="173">
      <formula>AND(IF($Q78=3,1,0),IF($X78&lt;30,1,0))</formula>
    </cfRule>
    <cfRule type="expression" dxfId="1940" priority="174">
      <formula>AND(IF($Q78=3,1,IF($Q78=4,1,0)),IF($F78&lt;=85,1,0))</formula>
    </cfRule>
  </conditionalFormatting>
  <conditionalFormatting sqref="X78">
    <cfRule type="expression" dxfId="1939" priority="167">
      <formula>AND(IF(OR($Q78=1,$Q78=2),1,0),IF($X78&lt;=20,1,0))</formula>
    </cfRule>
    <cfRule type="expression" dxfId="1938" priority="168">
      <formula>AND(IF($Q78=2,1,0),IF($X78&lt;30,1,0))</formula>
    </cfRule>
    <cfRule type="expression" dxfId="1937" priority="169">
      <formula>AND(IF($Q78=3,1,0),IF($X78&lt;30,1,0))</formula>
    </cfRule>
    <cfRule type="expression" dxfId="1936" priority="170">
      <formula>AND(IF($Q78=3,1,IF($Q78=4,1,0)),IF($F78&lt;=85,1,0))</formula>
    </cfRule>
  </conditionalFormatting>
  <conditionalFormatting sqref="AI78">
    <cfRule type="expression" dxfId="1935" priority="163">
      <formula>AND(IF(OR($Q78=1,$Q78=2),1,0),IF($X78&lt;=20,1,0))</formula>
    </cfRule>
    <cfRule type="expression" dxfId="1934" priority="164">
      <formula>AND(IF($Q78=2,1,0),IF($X78&lt;30,1,0))</formula>
    </cfRule>
    <cfRule type="expression" dxfId="1933" priority="165">
      <formula>AND(IF($Q78=3,1,0),IF($X78&lt;30,1,0))</formula>
    </cfRule>
    <cfRule type="expression" dxfId="1932" priority="166">
      <formula>AND(IF($Q78=3,1,IF($Q78=4,1,0)),IF($F78&lt;=85,1,0))</formula>
    </cfRule>
  </conditionalFormatting>
  <conditionalFormatting sqref="AV79">
    <cfRule type="expression" dxfId="1931" priority="161">
      <formula>AV79="X"</formula>
    </cfRule>
    <cfRule type="expression" dxfId="1930" priority="162">
      <formula>AV79="후보"</formula>
    </cfRule>
  </conditionalFormatting>
  <conditionalFormatting sqref="AC79">
    <cfRule type="cellIs" dxfId="1929" priority="158" operator="greaterThan">
      <formula>0.9</formula>
    </cfRule>
    <cfRule type="cellIs" dxfId="1928" priority="159" operator="greaterThan">
      <formula>0.85</formula>
    </cfRule>
  </conditionalFormatting>
  <conditionalFormatting sqref="N79">
    <cfRule type="cellIs" dxfId="1927" priority="156" operator="greaterThan">
      <formula>0.9</formula>
    </cfRule>
    <cfRule type="cellIs" dxfId="1926" priority="157" operator="greaterThan">
      <formula>0.85</formula>
    </cfRule>
  </conditionalFormatting>
  <conditionalFormatting sqref="E79">
    <cfRule type="expression" dxfId="1925" priority="152">
      <formula>AND(IF(OR($Q79=1,$Q79=2),1,0),IF($X79&lt;=20,1,0))</formula>
    </cfRule>
    <cfRule type="expression" dxfId="1924" priority="153">
      <formula>AND(IF($Q79=2,1,0),IF($X79&lt;30,1,0))</formula>
    </cfRule>
    <cfRule type="expression" dxfId="1923" priority="154">
      <formula>AND(IF($Q79=3,1,0),IF($X79&lt;30,1,0))</formula>
    </cfRule>
    <cfRule type="expression" dxfId="1922" priority="155">
      <formula>AND(IF($Q79=3,1,IF($Q79=4,1,0)),IF($F79&lt;=85,1,0))</formula>
    </cfRule>
  </conditionalFormatting>
  <conditionalFormatting sqref="X79">
    <cfRule type="expression" dxfId="1921" priority="148">
      <formula>AND(IF(OR($Q79=1,$Q79=2),1,0),IF($X79&lt;=20,1,0))</formula>
    </cfRule>
    <cfRule type="expression" dxfId="1920" priority="149">
      <formula>AND(IF($Q79=2,1,0),IF($X79&lt;30,1,0))</formula>
    </cfRule>
    <cfRule type="expression" dxfId="1919" priority="150">
      <formula>AND(IF($Q79=3,1,0),IF($X79&lt;30,1,0))</formula>
    </cfRule>
    <cfRule type="expression" dxfId="1918" priority="151">
      <formula>AND(IF($Q79=3,1,IF($Q79=4,1,0)),IF($F79&lt;=85,1,0))</formula>
    </cfRule>
  </conditionalFormatting>
  <conditionalFormatting sqref="AI79">
    <cfRule type="expression" dxfId="1917" priority="144">
      <formula>AND(IF(OR($Q79=1,$Q79=2),1,0),IF($X79&lt;=20,1,0))</formula>
    </cfRule>
    <cfRule type="expression" dxfId="1916" priority="145">
      <formula>AND(IF($Q79=2,1,0),IF($X79&lt;30,1,0))</formula>
    </cfRule>
    <cfRule type="expression" dxfId="1915" priority="146">
      <formula>AND(IF($Q79=3,1,0),IF($X79&lt;30,1,0))</formula>
    </cfRule>
    <cfRule type="expression" dxfId="1914" priority="147">
      <formula>AND(IF($Q79=3,1,IF($Q79=4,1,0)),IF($F79&lt;=85,1,0))</formula>
    </cfRule>
  </conditionalFormatting>
  <conditionalFormatting sqref="AV80">
    <cfRule type="expression" dxfId="1913" priority="142">
      <formula>AV80="X"</formula>
    </cfRule>
    <cfRule type="expression" dxfId="1912" priority="143">
      <formula>AV80="후보"</formula>
    </cfRule>
  </conditionalFormatting>
  <conditionalFormatting sqref="AC80">
    <cfRule type="cellIs" dxfId="1911" priority="139" operator="greaterThan">
      <formula>0.9</formula>
    </cfRule>
    <cfRule type="cellIs" dxfId="1910" priority="140" operator="greaterThan">
      <formula>0.85</formula>
    </cfRule>
  </conditionalFormatting>
  <conditionalFormatting sqref="N80">
    <cfRule type="cellIs" dxfId="1909" priority="137" operator="greaterThan">
      <formula>0.9</formula>
    </cfRule>
    <cfRule type="cellIs" dxfId="1908" priority="138" operator="greaterThan">
      <formula>0.85</formula>
    </cfRule>
  </conditionalFormatting>
  <conditionalFormatting sqref="E80">
    <cfRule type="expression" dxfId="1907" priority="133">
      <formula>AND(IF(OR($Q80=1,$Q80=2),1,0),IF($X80&lt;=20,1,0))</formula>
    </cfRule>
    <cfRule type="expression" dxfId="1906" priority="134">
      <formula>AND(IF($Q80=2,1,0),IF($X80&lt;30,1,0))</formula>
    </cfRule>
    <cfRule type="expression" dxfId="1905" priority="135">
      <formula>AND(IF($Q80=3,1,0),IF($X80&lt;30,1,0))</formula>
    </cfRule>
    <cfRule type="expression" dxfId="1904" priority="136">
      <formula>AND(IF($Q80=3,1,IF($Q80=4,1,0)),IF($F80&lt;=85,1,0))</formula>
    </cfRule>
  </conditionalFormatting>
  <conditionalFormatting sqref="X80">
    <cfRule type="expression" dxfId="1903" priority="129">
      <formula>AND(IF(OR($Q80=1,$Q80=2),1,0),IF($X80&lt;=20,1,0))</formula>
    </cfRule>
    <cfRule type="expression" dxfId="1902" priority="130">
      <formula>AND(IF($Q80=2,1,0),IF($X80&lt;30,1,0))</formula>
    </cfRule>
    <cfRule type="expression" dxfId="1901" priority="131">
      <formula>AND(IF($Q80=3,1,0),IF($X80&lt;30,1,0))</formula>
    </cfRule>
    <cfRule type="expression" dxfId="1900" priority="132">
      <formula>AND(IF($Q80=3,1,IF($Q80=4,1,0)),IF($F80&lt;=85,1,0))</formula>
    </cfRule>
  </conditionalFormatting>
  <conditionalFormatting sqref="AI80">
    <cfRule type="expression" dxfId="1899" priority="125">
      <formula>AND(IF(OR($Q80=1,$Q80=2),1,0),IF($X80&lt;=20,1,0))</formula>
    </cfRule>
    <cfRule type="expression" dxfId="1898" priority="126">
      <formula>AND(IF($Q80=2,1,0),IF($X80&lt;30,1,0))</formula>
    </cfRule>
    <cfRule type="expression" dxfId="1897" priority="127">
      <formula>AND(IF($Q80=3,1,0),IF($X80&lt;30,1,0))</formula>
    </cfRule>
    <cfRule type="expression" dxfId="1896" priority="128">
      <formula>AND(IF($Q80=3,1,IF($Q80=4,1,0)),IF($F80&lt;=85,1,0))</formula>
    </cfRule>
  </conditionalFormatting>
  <conditionalFormatting sqref="AV81">
    <cfRule type="expression" dxfId="1895" priority="123">
      <formula>AV81="X"</formula>
    </cfRule>
    <cfRule type="expression" dxfId="1894" priority="124">
      <formula>AV81="후보"</formula>
    </cfRule>
  </conditionalFormatting>
  <conditionalFormatting sqref="AC81">
    <cfRule type="cellIs" dxfId="1893" priority="120" operator="greaterThan">
      <formula>0.9</formula>
    </cfRule>
    <cfRule type="cellIs" dxfId="1892" priority="121" operator="greaterThan">
      <formula>0.85</formula>
    </cfRule>
  </conditionalFormatting>
  <conditionalFormatting sqref="N81">
    <cfRule type="cellIs" dxfId="1891" priority="118" operator="greaterThan">
      <formula>0.9</formula>
    </cfRule>
    <cfRule type="cellIs" dxfId="1890" priority="119" operator="greaterThan">
      <formula>0.85</formula>
    </cfRule>
  </conditionalFormatting>
  <conditionalFormatting sqref="E81">
    <cfRule type="expression" dxfId="1889" priority="114">
      <formula>AND(IF(OR($Q81=1,$Q81=2),1,0),IF($X81&lt;=20,1,0))</formula>
    </cfRule>
    <cfRule type="expression" dxfId="1888" priority="115">
      <formula>AND(IF($Q81=2,1,0),IF($X81&lt;30,1,0))</formula>
    </cfRule>
    <cfRule type="expression" dxfId="1887" priority="116">
      <formula>AND(IF($Q81=3,1,0),IF($X81&lt;30,1,0))</formula>
    </cfRule>
    <cfRule type="expression" dxfId="1886" priority="117">
      <formula>AND(IF($Q81=3,1,IF($Q81=4,1,0)),IF($F81&lt;=85,1,0))</formula>
    </cfRule>
  </conditionalFormatting>
  <conditionalFormatting sqref="X81">
    <cfRule type="expression" dxfId="1885" priority="110">
      <formula>AND(IF(OR($Q81=1,$Q81=2),1,0),IF($X81&lt;=20,1,0))</formula>
    </cfRule>
    <cfRule type="expression" dxfId="1884" priority="111">
      <formula>AND(IF($Q81=2,1,0),IF($X81&lt;30,1,0))</formula>
    </cfRule>
    <cfRule type="expression" dxfId="1883" priority="112">
      <formula>AND(IF($Q81=3,1,0),IF($X81&lt;30,1,0))</formula>
    </cfRule>
    <cfRule type="expression" dxfId="1882" priority="113">
      <formula>AND(IF($Q81=3,1,IF($Q81=4,1,0)),IF($F81&lt;=85,1,0))</formula>
    </cfRule>
  </conditionalFormatting>
  <conditionalFormatting sqref="AI81">
    <cfRule type="expression" dxfId="1881" priority="106">
      <formula>AND(IF(OR($Q81=1,$Q81=2),1,0),IF($X81&lt;=20,1,0))</formula>
    </cfRule>
    <cfRule type="expression" dxfId="1880" priority="107">
      <formula>AND(IF($Q81=2,1,0),IF($X81&lt;30,1,0))</formula>
    </cfRule>
    <cfRule type="expression" dxfId="1879" priority="108">
      <formula>AND(IF($Q81=3,1,0),IF($X81&lt;30,1,0))</formula>
    </cfRule>
    <cfRule type="expression" dxfId="1878" priority="109">
      <formula>AND(IF($Q81=3,1,IF($Q81=4,1,0)),IF($F81&lt;=85,1,0))</formula>
    </cfRule>
  </conditionalFormatting>
  <conditionalFormatting sqref="AV82">
    <cfRule type="expression" dxfId="1877" priority="104">
      <formula>AV82="X"</formula>
    </cfRule>
    <cfRule type="expression" dxfId="1876" priority="105">
      <formula>AV82="후보"</formula>
    </cfRule>
  </conditionalFormatting>
  <conditionalFormatting sqref="AC82 N82">
    <cfRule type="cellIs" dxfId="1875" priority="101" operator="greaterThan">
      <formula>0.9</formula>
    </cfRule>
    <cfRule type="cellIs" dxfId="1874" priority="102" operator="greaterThan">
      <formula>0.85</formula>
    </cfRule>
  </conditionalFormatting>
  <conditionalFormatting sqref="AV83">
    <cfRule type="expression" dxfId="1873" priority="99">
      <formula>AV83="X"</formula>
    </cfRule>
    <cfRule type="expression" dxfId="1872" priority="100">
      <formula>AV83="후보"</formula>
    </cfRule>
  </conditionalFormatting>
  <conditionalFormatting sqref="AC83">
    <cfRule type="cellIs" dxfId="1871" priority="96" operator="greaterThan">
      <formula>0.9</formula>
    </cfRule>
    <cfRule type="cellIs" dxfId="1870" priority="97" operator="greaterThan">
      <formula>0.85</formula>
    </cfRule>
  </conditionalFormatting>
  <conditionalFormatting sqref="N83">
    <cfRule type="cellIs" dxfId="1869" priority="94" operator="greaterThan">
      <formula>0.9</formula>
    </cfRule>
    <cfRule type="cellIs" dxfId="1868" priority="95" operator="greaterThan">
      <formula>0.85</formula>
    </cfRule>
  </conditionalFormatting>
  <conditionalFormatting sqref="E83">
    <cfRule type="expression" dxfId="1867" priority="90">
      <formula>AND(IF(OR($Q83=1,$Q83=2),1,0),IF($X83&lt;=20,1,0))</formula>
    </cfRule>
    <cfRule type="expression" dxfId="1866" priority="91">
      <formula>AND(IF($Q83=2,1,0),IF($X83&lt;30,1,0))</formula>
    </cfRule>
    <cfRule type="expression" dxfId="1865" priority="92">
      <formula>AND(IF($Q83=3,1,0),IF($X83&lt;30,1,0))</formula>
    </cfRule>
    <cfRule type="expression" dxfId="1864" priority="93">
      <formula>AND(IF($Q83=3,1,IF($Q83=4,1,0)),IF($F83&lt;=85,1,0))</formula>
    </cfRule>
  </conditionalFormatting>
  <conditionalFormatting sqref="X83">
    <cfRule type="expression" dxfId="1863" priority="86">
      <formula>AND(IF(OR($Q83=1,$Q83=2),1,0),IF($X83&lt;=20,1,0))</formula>
    </cfRule>
    <cfRule type="expression" dxfId="1862" priority="87">
      <formula>AND(IF($Q83=2,1,0),IF($X83&lt;30,1,0))</formula>
    </cfRule>
    <cfRule type="expression" dxfId="1861" priority="88">
      <formula>AND(IF($Q83=3,1,0),IF($X83&lt;30,1,0))</formula>
    </cfRule>
    <cfRule type="expression" dxfId="1860" priority="89">
      <formula>AND(IF($Q83=3,1,IF($Q83=4,1,0)),IF($F83&lt;=85,1,0))</formula>
    </cfRule>
  </conditionalFormatting>
  <conditionalFormatting sqref="AI83">
    <cfRule type="expression" dxfId="1859" priority="82">
      <formula>AND(IF(OR($Q83=1,$Q83=2),1,0),IF($X83&lt;=20,1,0))</formula>
    </cfRule>
    <cfRule type="expression" dxfId="1858" priority="83">
      <formula>AND(IF($Q83=2,1,0),IF($X83&lt;30,1,0))</formula>
    </cfRule>
    <cfRule type="expression" dxfId="1857" priority="84">
      <formula>AND(IF($Q83=3,1,0),IF($X83&lt;30,1,0))</formula>
    </cfRule>
    <cfRule type="expression" dxfId="1856" priority="85">
      <formula>AND(IF($Q83=3,1,IF($Q83=4,1,0)),IF($F83&lt;=85,1,0))</formula>
    </cfRule>
  </conditionalFormatting>
  <conditionalFormatting sqref="AV84">
    <cfRule type="expression" dxfId="1855" priority="80">
      <formula>AV84="X"</formula>
    </cfRule>
    <cfRule type="expression" dxfId="1854" priority="81">
      <formula>AV84="후보"</formula>
    </cfRule>
  </conditionalFormatting>
  <conditionalFormatting sqref="AC84">
    <cfRule type="cellIs" dxfId="1853" priority="77" operator="greaterThan">
      <formula>0.9</formula>
    </cfRule>
    <cfRule type="cellIs" dxfId="1852" priority="78" operator="greaterThan">
      <formula>0.85</formula>
    </cfRule>
  </conditionalFormatting>
  <conditionalFormatting sqref="N84">
    <cfRule type="cellIs" dxfId="1851" priority="75" operator="greaterThan">
      <formula>0.9</formula>
    </cfRule>
    <cfRule type="cellIs" dxfId="1850" priority="76" operator="greaterThan">
      <formula>0.85</formula>
    </cfRule>
  </conditionalFormatting>
  <conditionalFormatting sqref="E84">
    <cfRule type="expression" dxfId="1849" priority="71">
      <formula>AND(IF(OR($Q84=1,$Q84=2),1,0),IF($X84&lt;=20,1,0))</formula>
    </cfRule>
    <cfRule type="expression" dxfId="1848" priority="72">
      <formula>AND(IF($Q84=2,1,0),IF($X84&lt;30,1,0))</formula>
    </cfRule>
    <cfRule type="expression" dxfId="1847" priority="73">
      <formula>AND(IF($Q84=3,1,0),IF($X84&lt;30,1,0))</formula>
    </cfRule>
    <cfRule type="expression" dxfId="1846" priority="74">
      <formula>AND(IF($Q84=3,1,IF($Q84=4,1,0)),IF($F84&lt;=85,1,0))</formula>
    </cfRule>
  </conditionalFormatting>
  <conditionalFormatting sqref="X84">
    <cfRule type="expression" dxfId="1845" priority="67">
      <formula>AND(IF(OR($Q84=1,$Q84=2),1,0),IF($X84&lt;=20,1,0))</formula>
    </cfRule>
    <cfRule type="expression" dxfId="1844" priority="68">
      <formula>AND(IF($Q84=2,1,0),IF($X84&lt;30,1,0))</formula>
    </cfRule>
    <cfRule type="expression" dxfId="1843" priority="69">
      <formula>AND(IF($Q84=3,1,0),IF($X84&lt;30,1,0))</formula>
    </cfRule>
    <cfRule type="expression" dxfId="1842" priority="70">
      <formula>AND(IF($Q84=3,1,IF($Q84=4,1,0)),IF($F84&lt;=85,1,0))</formula>
    </cfRule>
  </conditionalFormatting>
  <conditionalFormatting sqref="AI84">
    <cfRule type="expression" dxfId="1841" priority="63">
      <formula>AND(IF(OR($Q84=1,$Q84=2),1,0),IF($X84&lt;=20,1,0))</formula>
    </cfRule>
    <cfRule type="expression" dxfId="1840" priority="64">
      <formula>AND(IF($Q84=2,1,0),IF($X84&lt;30,1,0))</formula>
    </cfRule>
    <cfRule type="expression" dxfId="1839" priority="65">
      <formula>AND(IF($Q84=3,1,0),IF($X84&lt;30,1,0))</formula>
    </cfRule>
    <cfRule type="expression" dxfId="1838" priority="66">
      <formula>AND(IF($Q84=3,1,IF($Q84=4,1,0)),IF($F84&lt;=85,1,0))</formula>
    </cfRule>
  </conditionalFormatting>
  <conditionalFormatting sqref="AV85">
    <cfRule type="expression" dxfId="1837" priority="61">
      <formula>AV85="X"</formula>
    </cfRule>
    <cfRule type="expression" dxfId="1836" priority="62">
      <formula>AV85="후보"</formula>
    </cfRule>
  </conditionalFormatting>
  <conditionalFormatting sqref="AC85">
    <cfRule type="cellIs" dxfId="1835" priority="58" operator="greaterThan">
      <formula>0.9</formula>
    </cfRule>
    <cfRule type="cellIs" dxfId="1834" priority="59" operator="greaterThan">
      <formula>0.85</formula>
    </cfRule>
  </conditionalFormatting>
  <conditionalFormatting sqref="N85">
    <cfRule type="cellIs" dxfId="1833" priority="56" operator="greaterThan">
      <formula>0.9</formula>
    </cfRule>
    <cfRule type="cellIs" dxfId="1832" priority="57" operator="greaterThan">
      <formula>0.85</formula>
    </cfRule>
  </conditionalFormatting>
  <conditionalFormatting sqref="E85">
    <cfRule type="expression" dxfId="1831" priority="52">
      <formula>AND(IF(OR($Q85=1,$Q85=2),1,0),IF($X85&lt;=20,1,0))</formula>
    </cfRule>
    <cfRule type="expression" dxfId="1830" priority="53">
      <formula>AND(IF($Q85=2,1,0),IF($X85&lt;30,1,0))</formula>
    </cfRule>
    <cfRule type="expression" dxfId="1829" priority="54">
      <formula>AND(IF($Q85=3,1,0),IF($X85&lt;30,1,0))</formula>
    </cfRule>
    <cfRule type="expression" dxfId="1828" priority="55">
      <formula>AND(IF($Q85=3,1,IF($Q85=4,1,0)),IF($F85&lt;=85,1,0))</formula>
    </cfRule>
  </conditionalFormatting>
  <conditionalFormatting sqref="X85">
    <cfRule type="expression" dxfId="1827" priority="48">
      <formula>AND(IF(OR($Q85=1,$Q85=2),1,0),IF($X85&lt;=20,1,0))</formula>
    </cfRule>
    <cfRule type="expression" dxfId="1826" priority="49">
      <formula>AND(IF($Q85=2,1,0),IF($X85&lt;30,1,0))</formula>
    </cfRule>
    <cfRule type="expression" dxfId="1825" priority="50">
      <formula>AND(IF($Q85=3,1,0),IF($X85&lt;30,1,0))</formula>
    </cfRule>
    <cfRule type="expression" dxfId="1824" priority="51">
      <formula>AND(IF($Q85=3,1,IF($Q85=4,1,0)),IF($F85&lt;=85,1,0))</formula>
    </cfRule>
  </conditionalFormatting>
  <conditionalFormatting sqref="AI85">
    <cfRule type="expression" dxfId="1823" priority="44">
      <formula>AND(IF(OR($Q85=1,$Q85=2),1,0),IF($X85&lt;=20,1,0))</formula>
    </cfRule>
    <cfRule type="expression" dxfId="1822" priority="45">
      <formula>AND(IF($Q85=2,1,0),IF($X85&lt;30,1,0))</formula>
    </cfRule>
    <cfRule type="expression" dxfId="1821" priority="46">
      <formula>AND(IF($Q85=3,1,0),IF($X85&lt;30,1,0))</formula>
    </cfRule>
    <cfRule type="expression" dxfId="1820" priority="47">
      <formula>AND(IF($Q85=3,1,IF($Q85=4,1,0)),IF($F85&lt;=85,1,0))</formula>
    </cfRule>
  </conditionalFormatting>
  <conditionalFormatting sqref="AV86">
    <cfRule type="expression" dxfId="1819" priority="42">
      <formula>AV86="X"</formula>
    </cfRule>
    <cfRule type="expression" dxfId="1818" priority="43">
      <formula>AV86="후보"</formula>
    </cfRule>
  </conditionalFormatting>
  <conditionalFormatting sqref="AC86">
    <cfRule type="cellIs" dxfId="1817" priority="39" operator="greaterThan">
      <formula>0.9</formula>
    </cfRule>
    <cfRule type="cellIs" dxfId="1816" priority="40" operator="greaterThan">
      <formula>0.85</formula>
    </cfRule>
  </conditionalFormatting>
  <conditionalFormatting sqref="N86">
    <cfRule type="cellIs" dxfId="1815" priority="37" operator="greaterThan">
      <formula>0.9</formula>
    </cfRule>
    <cfRule type="cellIs" dxfId="1814" priority="38" operator="greaterThan">
      <formula>0.85</formula>
    </cfRule>
  </conditionalFormatting>
  <conditionalFormatting sqref="E86">
    <cfRule type="expression" dxfId="1813" priority="33">
      <formula>AND(IF(OR($Q86=1,$Q86=2),1,0),IF($X86&lt;=20,1,0))</formula>
    </cfRule>
    <cfRule type="expression" dxfId="1812" priority="34">
      <formula>AND(IF($Q86=2,1,0),IF($X86&lt;30,1,0))</formula>
    </cfRule>
    <cfRule type="expression" dxfId="1811" priority="35">
      <formula>AND(IF($Q86=3,1,0),IF($X86&lt;30,1,0))</formula>
    </cfRule>
    <cfRule type="expression" dxfId="1810" priority="36">
      <formula>AND(IF($Q86=3,1,IF($Q86=4,1,0)),IF($F86&lt;=85,1,0))</formula>
    </cfRule>
  </conditionalFormatting>
  <conditionalFormatting sqref="X86">
    <cfRule type="expression" dxfId="1809" priority="29">
      <formula>AND(IF(OR($Q86=1,$Q86=2),1,0),IF($X86&lt;=20,1,0))</formula>
    </cfRule>
    <cfRule type="expression" dxfId="1808" priority="30">
      <formula>AND(IF($Q86=2,1,0),IF($X86&lt;30,1,0))</formula>
    </cfRule>
    <cfRule type="expression" dxfId="1807" priority="31">
      <formula>AND(IF($Q86=3,1,0),IF($X86&lt;30,1,0))</formula>
    </cfRule>
    <cfRule type="expression" dxfId="1806" priority="32">
      <formula>AND(IF($Q86=3,1,IF($Q86=4,1,0)),IF($F86&lt;=85,1,0))</formula>
    </cfRule>
  </conditionalFormatting>
  <conditionalFormatting sqref="AI86">
    <cfRule type="expression" dxfId="1805" priority="25">
      <formula>AND(IF(OR($Q86=1,$Q86=2),1,0),IF($X86&lt;=20,1,0))</formula>
    </cfRule>
    <cfRule type="expression" dxfId="1804" priority="26">
      <formula>AND(IF($Q86=2,1,0),IF($X86&lt;30,1,0))</formula>
    </cfRule>
    <cfRule type="expression" dxfId="1803" priority="27">
      <formula>AND(IF($Q86=3,1,0),IF($X86&lt;30,1,0))</formula>
    </cfRule>
    <cfRule type="expression" dxfId="1802" priority="28">
      <formula>AND(IF($Q86=3,1,IF($Q86=4,1,0)),IF($F86&lt;=85,1,0))</formula>
    </cfRule>
  </conditionalFormatting>
  <conditionalFormatting sqref="AV87">
    <cfRule type="expression" dxfId="1801" priority="23">
      <formula>AV87="X"</formula>
    </cfRule>
    <cfRule type="expression" dxfId="1800" priority="24">
      <formula>AV87="후보"</formula>
    </cfRule>
  </conditionalFormatting>
  <conditionalFormatting sqref="AC87 N87">
    <cfRule type="cellIs" dxfId="1799" priority="20" operator="greaterThan">
      <formula>0.9</formula>
    </cfRule>
    <cfRule type="cellIs" dxfId="1798" priority="21" operator="greaterThan">
      <formula>0.85</formula>
    </cfRule>
  </conditionalFormatting>
  <conditionalFormatting sqref="AV88">
    <cfRule type="expression" dxfId="1797" priority="18">
      <formula>AV88="X"</formula>
    </cfRule>
    <cfRule type="expression" dxfId="1796" priority="19">
      <formula>AV88="후보"</formula>
    </cfRule>
  </conditionalFormatting>
  <conditionalFormatting sqref="AC88">
    <cfRule type="cellIs" dxfId="1795" priority="15" operator="greaterThan">
      <formula>0.9</formula>
    </cfRule>
    <cfRule type="cellIs" dxfId="1794" priority="16" operator="greaterThan">
      <formula>0.85</formula>
    </cfRule>
  </conditionalFormatting>
  <conditionalFormatting sqref="N88">
    <cfRule type="cellIs" dxfId="1793" priority="13" operator="greaterThan">
      <formula>0.9</formula>
    </cfRule>
    <cfRule type="cellIs" dxfId="1792" priority="14" operator="greaterThan">
      <formula>0.85</formula>
    </cfRule>
  </conditionalFormatting>
  <conditionalFormatting sqref="E88">
    <cfRule type="expression" dxfId="1791" priority="9">
      <formula>AND(IF(OR($Q88=1,$Q88=2),1,0),IF($X88&lt;=20,1,0))</formula>
    </cfRule>
    <cfRule type="expression" dxfId="1790" priority="10">
      <formula>AND(IF($Q88=2,1,0),IF($X88&lt;30,1,0))</formula>
    </cfRule>
    <cfRule type="expression" dxfId="1789" priority="11">
      <formula>AND(IF($Q88=3,1,0),IF($X88&lt;30,1,0))</formula>
    </cfRule>
    <cfRule type="expression" dxfId="1788" priority="12">
      <formula>AND(IF($Q88=3,1,IF($Q88=4,1,0)),IF($F88&lt;=85,1,0))</formula>
    </cfRule>
  </conditionalFormatting>
  <conditionalFormatting sqref="X88">
    <cfRule type="expression" dxfId="1787" priority="5">
      <formula>AND(IF(OR($Q88=1,$Q88=2),1,0),IF($X88&lt;=20,1,0))</formula>
    </cfRule>
    <cfRule type="expression" dxfId="1786" priority="6">
      <formula>AND(IF($Q88=2,1,0),IF($X88&lt;30,1,0))</formula>
    </cfRule>
    <cfRule type="expression" dxfId="1785" priority="7">
      <formula>AND(IF($Q88=3,1,0),IF($X88&lt;30,1,0))</formula>
    </cfRule>
    <cfRule type="expression" dxfId="1784" priority="8">
      <formula>AND(IF($Q88=3,1,IF($Q88=4,1,0)),IF($F88&lt;=85,1,0))</formula>
    </cfRule>
  </conditionalFormatting>
  <conditionalFormatting sqref="AI88">
    <cfRule type="expression" dxfId="1783" priority="1">
      <formula>AND(IF(OR($Q88=1,$Q88=2),1,0),IF($X88&lt;=20,1,0))</formula>
    </cfRule>
    <cfRule type="expression" dxfId="1782" priority="2">
      <formula>AND(IF($Q88=2,1,0),IF($X88&lt;30,1,0))</formula>
    </cfRule>
    <cfRule type="expression" dxfId="1781" priority="3">
      <formula>AND(IF($Q88=3,1,0),IF($X88&lt;30,1,0))</formula>
    </cfRule>
    <cfRule type="expression" dxfId="1780" priority="4">
      <formula>AND(IF($Q88=3,1,IF($Q88=4,1,0)),IF($F88&lt;=85,1,0))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574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우암동 우암세원('99.11.,236^)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4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604</v>
      </c>
      <c r="B6" s="10" t="s">
        <v>912</v>
      </c>
      <c r="C6" s="89">
        <v>236</v>
      </c>
      <c r="D6" s="87">
        <v>40.200000000000003</v>
      </c>
      <c r="E6" s="88">
        <v>12</v>
      </c>
      <c r="F6" s="87">
        <v>30.3</v>
      </c>
      <c r="G6" s="17">
        <v>9</v>
      </c>
      <c r="H6" s="89">
        <v>10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2</v>
      </c>
      <c r="R6" s="80">
        <v>1</v>
      </c>
      <c r="S6" s="80" t="s">
        <v>85</v>
      </c>
      <c r="T6" s="5">
        <v>40</v>
      </c>
      <c r="U6" s="9"/>
      <c r="W6" s="87">
        <f t="shared" ref="W6:X8" si="2">D6</f>
        <v>40.200000000000003</v>
      </c>
      <c r="X6" s="88">
        <f t="shared" si="2"/>
        <v>12</v>
      </c>
      <c r="Y6" s="93">
        <f t="shared" ref="Y6:Z8" si="3">H6</f>
        <v>10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복</v>
      </c>
      <c r="AF6" s="80" t="str">
        <f>Q6&amp;"/"&amp;R6</f>
        <v>2/1</v>
      </c>
      <c r="AH6" s="20" t="str">
        <f t="shared" si="1"/>
        <v>우암세원</v>
      </c>
      <c r="AI6" s="88">
        <f t="shared" si="0"/>
        <v>12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604</v>
      </c>
      <c r="B7" s="10" t="s">
        <v>912</v>
      </c>
      <c r="C7" s="89">
        <v>236</v>
      </c>
      <c r="D7" s="87">
        <v>45.3</v>
      </c>
      <c r="E7" s="88">
        <v>14</v>
      </c>
      <c r="F7" s="87">
        <v>34.200000000000003</v>
      </c>
      <c r="G7" s="17">
        <v>10</v>
      </c>
      <c r="H7" s="89">
        <v>9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2</v>
      </c>
      <c r="R7" s="80">
        <v>1</v>
      </c>
      <c r="S7" s="80" t="s">
        <v>85</v>
      </c>
      <c r="T7" s="5">
        <v>45</v>
      </c>
      <c r="U7" s="9"/>
      <c r="W7" s="87">
        <f t="shared" si="2"/>
        <v>45.3</v>
      </c>
      <c r="X7" s="88">
        <f t="shared" si="2"/>
        <v>14</v>
      </c>
      <c r="Y7" s="93">
        <f t="shared" si="3"/>
        <v>9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80" t="str">
        <f>S7</f>
        <v>복</v>
      </c>
      <c r="AF7" s="80" t="str">
        <f>Q7&amp;"/"&amp;R7</f>
        <v>2/1</v>
      </c>
      <c r="AH7" s="20" t="str">
        <f t="shared" si="1"/>
        <v>우암세원</v>
      </c>
      <c r="AI7" s="88">
        <f t="shared" si="0"/>
        <v>14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 t="s">
        <v>604</v>
      </c>
      <c r="B8" s="10" t="s">
        <v>912</v>
      </c>
      <c r="C8" s="89">
        <v>236</v>
      </c>
      <c r="D8" s="87">
        <v>54.5</v>
      </c>
      <c r="E8" s="88">
        <v>16</v>
      </c>
      <c r="F8" s="87">
        <v>41</v>
      </c>
      <c r="G8" s="17">
        <v>12</v>
      </c>
      <c r="H8" s="89">
        <v>217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2</v>
      </c>
      <c r="R8" s="80">
        <v>1</v>
      </c>
      <c r="S8" s="80" t="s">
        <v>85</v>
      </c>
      <c r="T8" s="5">
        <v>54</v>
      </c>
      <c r="U8" s="9"/>
      <c r="W8" s="87">
        <f t="shared" si="2"/>
        <v>54.5</v>
      </c>
      <c r="X8" s="88">
        <f t="shared" si="2"/>
        <v>16</v>
      </c>
      <c r="Y8" s="93">
        <f t="shared" si="3"/>
        <v>217</v>
      </c>
      <c r="Z8" s="91">
        <f t="shared" si="3"/>
        <v>0</v>
      </c>
      <c r="AA8" s="91">
        <f>K8</f>
        <v>0</v>
      </c>
      <c r="AB8" s="91">
        <f t="shared" si="4"/>
        <v>0</v>
      </c>
      <c r="AC8" s="4" t="str">
        <f t="shared" si="4"/>
        <v/>
      </c>
      <c r="AD8" s="92">
        <f t="shared" si="4"/>
        <v>0</v>
      </c>
      <c r="AE8" s="80" t="str">
        <f>S8</f>
        <v>복</v>
      </c>
      <c r="AF8" s="80" t="str">
        <f>Q8&amp;"/"&amp;R8</f>
        <v>2/1</v>
      </c>
      <c r="AH8" s="20" t="str">
        <f t="shared" si="1"/>
        <v>우암세원</v>
      </c>
      <c r="AI8" s="88">
        <f t="shared" si="0"/>
        <v>16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X</v>
      </c>
      <c r="AV8" s="80" t="str">
        <f>IF(AO8="","",IF(AND(AO8="O",AP8="O",AR8="O",AT8="O",AU8="O"),"후보","X"))</f>
        <v/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우암동 일진캠퍼스타워('15.09.,299^)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613</v>
      </c>
      <c r="B10" s="10" t="s">
        <v>927</v>
      </c>
      <c r="C10" s="89">
        <v>299</v>
      </c>
      <c r="D10" s="87">
        <v>26.4</v>
      </c>
      <c r="E10" s="88">
        <v>8</v>
      </c>
      <c r="F10" s="87">
        <v>15.2</v>
      </c>
      <c r="G10" s="17">
        <v>5</v>
      </c>
      <c r="H10" s="89">
        <v>17</v>
      </c>
      <c r="I10" s="90"/>
      <c r="J10" s="90"/>
      <c r="K10" s="90"/>
      <c r="L10" s="90"/>
      <c r="M10" s="91">
        <f t="shared" ref="M10:M20" si="5">I10-K10</f>
        <v>0</v>
      </c>
      <c r="N10" s="4" t="str">
        <f t="shared" ref="N10:N20" si="6">IF(ISERROR(K10/I10),"",K10/I10)</f>
        <v/>
      </c>
      <c r="O10" s="92">
        <f t="shared" ref="O10:O20" si="7">I10/E10</f>
        <v>0</v>
      </c>
      <c r="P10" s="92">
        <f t="shared" ref="P10:P20" si="8">K10/E10</f>
        <v>0</v>
      </c>
      <c r="Q10" s="80">
        <v>1</v>
      </c>
      <c r="R10" s="80">
        <v>1</v>
      </c>
      <c r="S10" s="80" t="s">
        <v>85</v>
      </c>
      <c r="T10" s="5" t="s">
        <v>615</v>
      </c>
      <c r="U10" s="9"/>
      <c r="W10" s="87">
        <f t="shared" ref="W10:W20" si="9">D10</f>
        <v>26.4</v>
      </c>
      <c r="X10" s="88">
        <f t="shared" ref="X10:X20" si="10">E10</f>
        <v>8</v>
      </c>
      <c r="Y10" s="93">
        <f t="shared" ref="Y10:Y20" si="11">H10</f>
        <v>17</v>
      </c>
      <c r="Z10" s="91">
        <f t="shared" ref="Z10:Z20" si="12">I10</f>
        <v>0</v>
      </c>
      <c r="AA10" s="91">
        <f t="shared" ref="AA10:AA20" si="13">K10</f>
        <v>0</v>
      </c>
      <c r="AB10" s="91">
        <f t="shared" ref="AB10:AB20" si="14">M10</f>
        <v>0</v>
      </c>
      <c r="AC10" s="4" t="str">
        <f t="shared" ref="AC10:AC20" si="15">N10</f>
        <v/>
      </c>
      <c r="AD10" s="92">
        <f t="shared" ref="AD10:AD20" si="16">O10</f>
        <v>0</v>
      </c>
      <c r="AE10" s="80" t="str">
        <f t="shared" ref="AE10:AE20" si="17">S10</f>
        <v>복</v>
      </c>
      <c r="AF10" s="80" t="str">
        <f t="shared" ref="AF10:AF20" si="18">Q10&amp;"/"&amp;R10</f>
        <v>1/1</v>
      </c>
      <c r="AH10" s="20" t="str">
        <f t="shared" si="1"/>
        <v>일진캠퍼스타워</v>
      </c>
      <c r="AI10" s="88">
        <f t="shared" si="0"/>
        <v>8</v>
      </c>
      <c r="AJ10" s="80" t="str">
        <f t="shared" ref="AJ10:AJ20" si="19"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 t="shared" ref="AN10:AN20" si="20">IF(AI10="","",$AN$2)</f>
        <v>C</v>
      </c>
      <c r="AO10" s="80" t="str">
        <f t="shared" ref="AO10:AO20" si="21">IF(N10="","",IF(N10&gt;=$AO$1/100,"O","X"))</f>
        <v/>
      </c>
      <c r="AP10" s="80" t="str">
        <f t="shared" ref="AP10:AP20" si="22">IF(I10="","",IF(I10&lt;=$AP$1,"O","X"))</f>
        <v/>
      </c>
      <c r="AQ10" s="80" t="str">
        <f t="shared" ref="AQ10:AQ20" si="23">IF(O10="","",IF(O10&lt;=$AQ$1,"O","X"))</f>
        <v>O</v>
      </c>
      <c r="AR10" s="80" t="str">
        <f t="shared" ref="AR10:AR20" si="24">IF(M10="","",IF(M10&lt;=$AR$1,"O","X"))</f>
        <v>O</v>
      </c>
      <c r="AS10" s="80" t="s">
        <v>2</v>
      </c>
      <c r="AT10" s="80" t="str">
        <f t="shared" ref="AT10:AT20" si="25">IF(OR(F10="",AI10=""),"",IF(AND((F10&lt;=85),(AI10&gt;=15)),"O","X"))</f>
        <v>X</v>
      </c>
      <c r="AU10" s="80" t="str">
        <f t="shared" ref="AU10:AU20" si="26">IF(C10="","",IF(C10&gt;=$AU$1,"O","X"))</f>
        <v>X</v>
      </c>
      <c r="AV10" s="80" t="str">
        <f t="shared" ref="AV10:AV20" si="27">IF(AO10="","",IF(AND(AO10="O",AP10="O",AR10="O",AT10="O",AU10="O"),"후보","X"))</f>
        <v/>
      </c>
    </row>
    <row r="11" spans="1:48" x14ac:dyDescent="0.3">
      <c r="A11" s="9" t="s">
        <v>613</v>
      </c>
      <c r="B11" s="10" t="s">
        <v>927</v>
      </c>
      <c r="C11" s="89">
        <v>299</v>
      </c>
      <c r="D11" s="87">
        <v>27.7</v>
      </c>
      <c r="E11" s="88">
        <v>8</v>
      </c>
      <c r="F11" s="87">
        <v>16.2</v>
      </c>
      <c r="G11" s="17">
        <v>5</v>
      </c>
      <c r="H11" s="89">
        <v>194</v>
      </c>
      <c r="I11" s="90"/>
      <c r="J11" s="90"/>
      <c r="K11" s="90"/>
      <c r="L11" s="90"/>
      <c r="M11" s="91">
        <f t="shared" si="5"/>
        <v>0</v>
      </c>
      <c r="N11" s="4" t="str">
        <f t="shared" si="6"/>
        <v/>
      </c>
      <c r="O11" s="92">
        <f t="shared" si="7"/>
        <v>0</v>
      </c>
      <c r="P11" s="92">
        <f t="shared" si="8"/>
        <v>0</v>
      </c>
      <c r="Q11" s="80">
        <v>1</v>
      </c>
      <c r="R11" s="80">
        <v>1</v>
      </c>
      <c r="S11" s="80" t="s">
        <v>85</v>
      </c>
      <c r="T11" s="5" t="s">
        <v>121</v>
      </c>
      <c r="U11" s="9"/>
      <c r="W11" s="87">
        <f t="shared" si="9"/>
        <v>27.7</v>
      </c>
      <c r="X11" s="88">
        <f t="shared" si="10"/>
        <v>8</v>
      </c>
      <c r="Y11" s="93">
        <f t="shared" si="11"/>
        <v>194</v>
      </c>
      <c r="Z11" s="91">
        <f t="shared" si="12"/>
        <v>0</v>
      </c>
      <c r="AA11" s="91">
        <f t="shared" si="13"/>
        <v>0</v>
      </c>
      <c r="AB11" s="91">
        <f t="shared" si="14"/>
        <v>0</v>
      </c>
      <c r="AC11" s="4" t="str">
        <f t="shared" si="15"/>
        <v/>
      </c>
      <c r="AD11" s="92">
        <f t="shared" si="16"/>
        <v>0</v>
      </c>
      <c r="AE11" s="80" t="str">
        <f t="shared" si="17"/>
        <v>복</v>
      </c>
      <c r="AF11" s="80" t="str">
        <f t="shared" si="18"/>
        <v>1/1</v>
      </c>
      <c r="AH11" s="20" t="str">
        <f t="shared" si="1"/>
        <v>일진캠퍼스타워</v>
      </c>
      <c r="AI11" s="88">
        <f t="shared" si="0"/>
        <v>8</v>
      </c>
      <c r="AJ11" s="80" t="str">
        <f t="shared" si="19"/>
        <v>A-</v>
      </c>
      <c r="AK11" s="80" t="s">
        <v>13</v>
      </c>
      <c r="AL11" s="80" t="s">
        <v>62</v>
      </c>
      <c r="AM11" s="80" t="s">
        <v>63</v>
      </c>
      <c r="AN11" s="80" t="str">
        <f t="shared" si="20"/>
        <v>C</v>
      </c>
      <c r="AO11" s="80" t="str">
        <f t="shared" si="21"/>
        <v/>
      </c>
      <c r="AP11" s="80" t="str">
        <f t="shared" si="22"/>
        <v/>
      </c>
      <c r="AQ11" s="80" t="str">
        <f t="shared" si="23"/>
        <v>O</v>
      </c>
      <c r="AR11" s="80" t="str">
        <f t="shared" si="24"/>
        <v>O</v>
      </c>
      <c r="AS11" s="80" t="s">
        <v>2</v>
      </c>
      <c r="AT11" s="80" t="str">
        <f t="shared" si="25"/>
        <v>X</v>
      </c>
      <c r="AU11" s="80" t="str">
        <f t="shared" si="26"/>
        <v>X</v>
      </c>
      <c r="AV11" s="80" t="str">
        <f t="shared" si="27"/>
        <v/>
      </c>
    </row>
    <row r="12" spans="1:48" x14ac:dyDescent="0.3">
      <c r="A12" s="9" t="s">
        <v>613</v>
      </c>
      <c r="B12" s="10" t="s">
        <v>927</v>
      </c>
      <c r="C12" s="89">
        <v>299</v>
      </c>
      <c r="D12" s="87">
        <v>29.8</v>
      </c>
      <c r="E12" s="88">
        <v>9</v>
      </c>
      <c r="F12" s="87">
        <v>17.2</v>
      </c>
      <c r="G12" s="17">
        <v>5</v>
      </c>
      <c r="H12" s="89">
        <v>17</v>
      </c>
      <c r="I12" s="90"/>
      <c r="J12" s="90"/>
      <c r="K12" s="90"/>
      <c r="L12" s="90"/>
      <c r="M12" s="91">
        <f t="shared" si="5"/>
        <v>0</v>
      </c>
      <c r="N12" s="4" t="str">
        <f t="shared" si="6"/>
        <v/>
      </c>
      <c r="O12" s="92">
        <f t="shared" si="7"/>
        <v>0</v>
      </c>
      <c r="P12" s="92">
        <f t="shared" si="8"/>
        <v>0</v>
      </c>
      <c r="Q12" s="80">
        <v>1</v>
      </c>
      <c r="R12" s="80">
        <v>1</v>
      </c>
      <c r="S12" s="80" t="s">
        <v>85</v>
      </c>
      <c r="T12" s="5" t="s">
        <v>619</v>
      </c>
      <c r="U12" s="9"/>
      <c r="W12" s="87">
        <f t="shared" si="9"/>
        <v>29.8</v>
      </c>
      <c r="X12" s="88">
        <f t="shared" si="10"/>
        <v>9</v>
      </c>
      <c r="Y12" s="93">
        <f t="shared" si="11"/>
        <v>17</v>
      </c>
      <c r="Z12" s="91">
        <f t="shared" si="12"/>
        <v>0</v>
      </c>
      <c r="AA12" s="91">
        <f t="shared" si="13"/>
        <v>0</v>
      </c>
      <c r="AB12" s="91">
        <f t="shared" si="14"/>
        <v>0</v>
      </c>
      <c r="AC12" s="4" t="str">
        <f t="shared" si="15"/>
        <v/>
      </c>
      <c r="AD12" s="92">
        <f t="shared" si="16"/>
        <v>0</v>
      </c>
      <c r="AE12" s="80" t="str">
        <f t="shared" si="17"/>
        <v>복</v>
      </c>
      <c r="AF12" s="80" t="str">
        <f t="shared" si="18"/>
        <v>1/1</v>
      </c>
      <c r="AH12" s="20" t="str">
        <f t="shared" si="1"/>
        <v>일진캠퍼스타워</v>
      </c>
      <c r="AI12" s="88">
        <f t="shared" si="0"/>
        <v>9</v>
      </c>
      <c r="AJ12" s="80" t="str">
        <f t="shared" si="19"/>
        <v>A-</v>
      </c>
      <c r="AK12" s="80" t="s">
        <v>13</v>
      </c>
      <c r="AL12" s="80" t="s">
        <v>62</v>
      </c>
      <c r="AM12" s="80" t="s">
        <v>63</v>
      </c>
      <c r="AN12" s="80" t="str">
        <f t="shared" si="20"/>
        <v>C</v>
      </c>
      <c r="AO12" s="80" t="str">
        <f t="shared" si="21"/>
        <v/>
      </c>
      <c r="AP12" s="80" t="str">
        <f t="shared" si="22"/>
        <v/>
      </c>
      <c r="AQ12" s="80" t="str">
        <f t="shared" si="23"/>
        <v>O</v>
      </c>
      <c r="AR12" s="80" t="str">
        <f t="shared" si="24"/>
        <v>O</v>
      </c>
      <c r="AS12" s="80" t="s">
        <v>2</v>
      </c>
      <c r="AT12" s="80" t="str">
        <f t="shared" si="25"/>
        <v>X</v>
      </c>
      <c r="AU12" s="80" t="str">
        <f t="shared" si="26"/>
        <v>X</v>
      </c>
      <c r="AV12" s="80" t="str">
        <f t="shared" si="27"/>
        <v/>
      </c>
    </row>
    <row r="13" spans="1:48" x14ac:dyDescent="0.3">
      <c r="A13" s="9" t="s">
        <v>613</v>
      </c>
      <c r="B13" s="10" t="s">
        <v>927</v>
      </c>
      <c r="C13" s="89">
        <v>299</v>
      </c>
      <c r="D13" s="87">
        <v>30.4</v>
      </c>
      <c r="E13" s="88">
        <v>9</v>
      </c>
      <c r="F13" s="87">
        <v>17.5</v>
      </c>
      <c r="G13" s="17">
        <v>5</v>
      </c>
      <c r="H13" s="89">
        <v>17</v>
      </c>
      <c r="I13" s="90"/>
      <c r="J13" s="90"/>
      <c r="K13" s="90"/>
      <c r="L13" s="90"/>
      <c r="M13" s="91">
        <f t="shared" si="5"/>
        <v>0</v>
      </c>
      <c r="N13" s="4" t="str">
        <f t="shared" si="6"/>
        <v/>
      </c>
      <c r="O13" s="92">
        <f t="shared" si="7"/>
        <v>0</v>
      </c>
      <c r="P13" s="92">
        <f t="shared" si="8"/>
        <v>0</v>
      </c>
      <c r="Q13" s="80">
        <v>1</v>
      </c>
      <c r="R13" s="80">
        <v>1</v>
      </c>
      <c r="S13" s="80" t="s">
        <v>61</v>
      </c>
      <c r="T13" s="5" t="s">
        <v>620</v>
      </c>
      <c r="U13" s="9"/>
      <c r="W13" s="87">
        <f t="shared" si="9"/>
        <v>30.4</v>
      </c>
      <c r="X13" s="88">
        <f t="shared" si="10"/>
        <v>9</v>
      </c>
      <c r="Y13" s="93">
        <f t="shared" si="11"/>
        <v>17</v>
      </c>
      <c r="Z13" s="91">
        <f t="shared" si="12"/>
        <v>0</v>
      </c>
      <c r="AA13" s="91">
        <f t="shared" si="13"/>
        <v>0</v>
      </c>
      <c r="AB13" s="91">
        <f t="shared" si="14"/>
        <v>0</v>
      </c>
      <c r="AC13" s="4" t="str">
        <f t="shared" si="15"/>
        <v/>
      </c>
      <c r="AD13" s="92">
        <f t="shared" si="16"/>
        <v>0</v>
      </c>
      <c r="AE13" s="80" t="str">
        <f t="shared" si="17"/>
        <v>계</v>
      </c>
      <c r="AF13" s="80" t="str">
        <f t="shared" si="18"/>
        <v>1/1</v>
      </c>
      <c r="AH13" s="20" t="str">
        <f t="shared" si="1"/>
        <v>일진캠퍼스타워</v>
      </c>
      <c r="AI13" s="88">
        <f t="shared" si="0"/>
        <v>9</v>
      </c>
      <c r="AJ13" s="80" t="str">
        <f t="shared" si="19"/>
        <v>A-</v>
      </c>
      <c r="AK13" s="80" t="s">
        <v>13</v>
      </c>
      <c r="AL13" s="80" t="s">
        <v>62</v>
      </c>
      <c r="AM13" s="80" t="s">
        <v>63</v>
      </c>
      <c r="AN13" s="80" t="str">
        <f t="shared" si="20"/>
        <v>C</v>
      </c>
      <c r="AO13" s="80" t="str">
        <f t="shared" si="21"/>
        <v/>
      </c>
      <c r="AP13" s="80" t="str">
        <f t="shared" si="22"/>
        <v/>
      </c>
      <c r="AQ13" s="80" t="str">
        <f t="shared" si="23"/>
        <v>O</v>
      </c>
      <c r="AR13" s="80" t="str">
        <f t="shared" si="24"/>
        <v>O</v>
      </c>
      <c r="AS13" s="80" t="s">
        <v>2</v>
      </c>
      <c r="AT13" s="80" t="str">
        <f t="shared" si="25"/>
        <v>X</v>
      </c>
      <c r="AU13" s="80" t="str">
        <f t="shared" si="26"/>
        <v>X</v>
      </c>
      <c r="AV13" s="80" t="str">
        <f t="shared" si="27"/>
        <v/>
      </c>
    </row>
    <row r="14" spans="1:48" x14ac:dyDescent="0.3">
      <c r="A14" s="9" t="s">
        <v>613</v>
      </c>
      <c r="B14" s="10" t="s">
        <v>927</v>
      </c>
      <c r="C14" s="89">
        <v>299</v>
      </c>
      <c r="D14" s="87">
        <v>35.200000000000003</v>
      </c>
      <c r="E14" s="88">
        <v>11</v>
      </c>
      <c r="F14" s="87">
        <v>21</v>
      </c>
      <c r="G14" s="17">
        <v>6</v>
      </c>
      <c r="H14" s="89">
        <v>1</v>
      </c>
      <c r="I14" s="90"/>
      <c r="J14" s="90"/>
      <c r="K14" s="90"/>
      <c r="L14" s="90"/>
      <c r="M14" s="91">
        <f t="shared" si="5"/>
        <v>0</v>
      </c>
      <c r="N14" s="4" t="str">
        <f t="shared" si="6"/>
        <v/>
      </c>
      <c r="O14" s="92">
        <f t="shared" si="7"/>
        <v>0</v>
      </c>
      <c r="P14" s="92">
        <f t="shared" si="8"/>
        <v>0</v>
      </c>
      <c r="Q14" s="80">
        <v>1</v>
      </c>
      <c r="R14" s="80">
        <v>1</v>
      </c>
      <c r="S14" s="80" t="s">
        <v>85</v>
      </c>
      <c r="T14" s="5" t="s">
        <v>621</v>
      </c>
      <c r="U14" s="9"/>
      <c r="W14" s="87">
        <f t="shared" si="9"/>
        <v>35.200000000000003</v>
      </c>
      <c r="X14" s="88">
        <f t="shared" si="10"/>
        <v>11</v>
      </c>
      <c r="Y14" s="93">
        <f t="shared" si="11"/>
        <v>1</v>
      </c>
      <c r="Z14" s="91">
        <f t="shared" si="12"/>
        <v>0</v>
      </c>
      <c r="AA14" s="91">
        <f t="shared" si="13"/>
        <v>0</v>
      </c>
      <c r="AB14" s="91">
        <f t="shared" si="14"/>
        <v>0</v>
      </c>
      <c r="AC14" s="4" t="str">
        <f t="shared" si="15"/>
        <v/>
      </c>
      <c r="AD14" s="92">
        <f t="shared" si="16"/>
        <v>0</v>
      </c>
      <c r="AE14" s="80" t="str">
        <f t="shared" si="17"/>
        <v>복</v>
      </c>
      <c r="AF14" s="80" t="str">
        <f t="shared" si="18"/>
        <v>1/1</v>
      </c>
      <c r="AH14" s="20" t="str">
        <f t="shared" si="1"/>
        <v>일진캠퍼스타워</v>
      </c>
      <c r="AI14" s="88">
        <f t="shared" si="0"/>
        <v>11</v>
      </c>
      <c r="AJ14" s="80" t="str">
        <f t="shared" si="19"/>
        <v>A-</v>
      </c>
      <c r="AK14" s="80" t="s">
        <v>13</v>
      </c>
      <c r="AL14" s="80" t="s">
        <v>62</v>
      </c>
      <c r="AM14" s="80" t="s">
        <v>63</v>
      </c>
      <c r="AN14" s="80" t="str">
        <f t="shared" si="20"/>
        <v>C</v>
      </c>
      <c r="AO14" s="80" t="str">
        <f t="shared" si="21"/>
        <v/>
      </c>
      <c r="AP14" s="80" t="str">
        <f t="shared" si="22"/>
        <v/>
      </c>
      <c r="AQ14" s="80" t="str">
        <f t="shared" si="23"/>
        <v>O</v>
      </c>
      <c r="AR14" s="80" t="str">
        <f t="shared" si="24"/>
        <v>O</v>
      </c>
      <c r="AS14" s="80" t="s">
        <v>2</v>
      </c>
      <c r="AT14" s="80" t="str">
        <f t="shared" si="25"/>
        <v>X</v>
      </c>
      <c r="AU14" s="80" t="str">
        <f t="shared" si="26"/>
        <v>X</v>
      </c>
      <c r="AV14" s="80" t="str">
        <f t="shared" si="27"/>
        <v/>
      </c>
    </row>
    <row r="15" spans="1:48" x14ac:dyDescent="0.3">
      <c r="A15" s="9" t="s">
        <v>613</v>
      </c>
      <c r="B15" s="10" t="s">
        <v>927</v>
      </c>
      <c r="C15" s="89">
        <v>299</v>
      </c>
      <c r="D15" s="87">
        <v>36.6</v>
      </c>
      <c r="E15" s="88">
        <v>11</v>
      </c>
      <c r="F15" s="87">
        <v>21</v>
      </c>
      <c r="G15" s="17">
        <v>6</v>
      </c>
      <c r="H15" s="89">
        <v>16</v>
      </c>
      <c r="I15" s="90"/>
      <c r="J15" s="90"/>
      <c r="K15" s="90"/>
      <c r="L15" s="90"/>
      <c r="M15" s="91">
        <f t="shared" si="5"/>
        <v>0</v>
      </c>
      <c r="N15" s="4" t="str">
        <f t="shared" si="6"/>
        <v/>
      </c>
      <c r="O15" s="92">
        <f t="shared" si="7"/>
        <v>0</v>
      </c>
      <c r="P15" s="92">
        <f t="shared" si="8"/>
        <v>0</v>
      </c>
      <c r="Q15" s="80">
        <v>1</v>
      </c>
      <c r="R15" s="80">
        <v>1</v>
      </c>
      <c r="S15" s="80" t="s">
        <v>85</v>
      </c>
      <c r="T15" s="5" t="s">
        <v>622</v>
      </c>
      <c r="U15" s="9"/>
      <c r="W15" s="87">
        <f t="shared" si="9"/>
        <v>36.6</v>
      </c>
      <c r="X15" s="88">
        <f t="shared" si="10"/>
        <v>11</v>
      </c>
      <c r="Y15" s="93">
        <f t="shared" si="11"/>
        <v>16</v>
      </c>
      <c r="Z15" s="91">
        <f t="shared" si="12"/>
        <v>0</v>
      </c>
      <c r="AA15" s="91">
        <f t="shared" si="13"/>
        <v>0</v>
      </c>
      <c r="AB15" s="91">
        <f t="shared" si="14"/>
        <v>0</v>
      </c>
      <c r="AC15" s="4" t="str">
        <f t="shared" si="15"/>
        <v/>
      </c>
      <c r="AD15" s="92">
        <f t="shared" si="16"/>
        <v>0</v>
      </c>
      <c r="AE15" s="80" t="str">
        <f t="shared" si="17"/>
        <v>복</v>
      </c>
      <c r="AF15" s="80" t="str">
        <f t="shared" si="18"/>
        <v>1/1</v>
      </c>
      <c r="AH15" s="20" t="str">
        <f t="shared" si="1"/>
        <v>일진캠퍼스타워</v>
      </c>
      <c r="AI15" s="88">
        <f t="shared" si="0"/>
        <v>11</v>
      </c>
      <c r="AJ15" s="80" t="str">
        <f t="shared" si="19"/>
        <v>A-</v>
      </c>
      <c r="AK15" s="80" t="s">
        <v>13</v>
      </c>
      <c r="AL15" s="80" t="s">
        <v>62</v>
      </c>
      <c r="AM15" s="80" t="s">
        <v>63</v>
      </c>
      <c r="AN15" s="80" t="str">
        <f t="shared" si="20"/>
        <v>C</v>
      </c>
      <c r="AO15" s="80" t="str">
        <f t="shared" si="21"/>
        <v/>
      </c>
      <c r="AP15" s="80" t="str">
        <f t="shared" si="22"/>
        <v/>
      </c>
      <c r="AQ15" s="80" t="str">
        <f t="shared" si="23"/>
        <v>O</v>
      </c>
      <c r="AR15" s="80" t="str">
        <f t="shared" si="24"/>
        <v>O</v>
      </c>
      <c r="AS15" s="80" t="s">
        <v>2</v>
      </c>
      <c r="AT15" s="80" t="str">
        <f t="shared" si="25"/>
        <v>X</v>
      </c>
      <c r="AU15" s="80" t="str">
        <f t="shared" si="26"/>
        <v>X</v>
      </c>
      <c r="AV15" s="80" t="str">
        <f t="shared" si="27"/>
        <v/>
      </c>
    </row>
    <row r="16" spans="1:48" x14ac:dyDescent="0.3">
      <c r="A16" s="9" t="s">
        <v>613</v>
      </c>
      <c r="B16" s="10" t="s">
        <v>927</v>
      </c>
      <c r="C16" s="89">
        <v>299</v>
      </c>
      <c r="D16" s="87">
        <v>38.700000000000003</v>
      </c>
      <c r="E16" s="88">
        <v>12</v>
      </c>
      <c r="F16" s="87">
        <v>23.2</v>
      </c>
      <c r="G16" s="17">
        <v>7</v>
      </c>
      <c r="H16" s="89">
        <v>16</v>
      </c>
      <c r="I16" s="90"/>
      <c r="J16" s="90"/>
      <c r="K16" s="90"/>
      <c r="L16" s="90"/>
      <c r="M16" s="91">
        <f t="shared" si="5"/>
        <v>0</v>
      </c>
      <c r="N16" s="4" t="str">
        <f t="shared" si="6"/>
        <v/>
      </c>
      <c r="O16" s="92">
        <f t="shared" si="7"/>
        <v>0</v>
      </c>
      <c r="P16" s="92">
        <f t="shared" si="8"/>
        <v>0</v>
      </c>
      <c r="Q16" s="80">
        <v>1</v>
      </c>
      <c r="R16" s="80">
        <v>1</v>
      </c>
      <c r="S16" s="80" t="s">
        <v>85</v>
      </c>
      <c r="T16" s="5" t="s">
        <v>623</v>
      </c>
      <c r="U16" s="9"/>
      <c r="W16" s="87">
        <f t="shared" si="9"/>
        <v>38.700000000000003</v>
      </c>
      <c r="X16" s="88">
        <f t="shared" si="10"/>
        <v>12</v>
      </c>
      <c r="Y16" s="93">
        <f t="shared" si="11"/>
        <v>16</v>
      </c>
      <c r="Z16" s="91">
        <f t="shared" si="12"/>
        <v>0</v>
      </c>
      <c r="AA16" s="91">
        <f t="shared" si="13"/>
        <v>0</v>
      </c>
      <c r="AB16" s="91">
        <f t="shared" si="14"/>
        <v>0</v>
      </c>
      <c r="AC16" s="4" t="str">
        <f t="shared" si="15"/>
        <v/>
      </c>
      <c r="AD16" s="92">
        <f t="shared" si="16"/>
        <v>0</v>
      </c>
      <c r="AE16" s="80" t="str">
        <f t="shared" si="17"/>
        <v>복</v>
      </c>
      <c r="AF16" s="80" t="str">
        <f t="shared" si="18"/>
        <v>1/1</v>
      </c>
      <c r="AH16" s="20" t="str">
        <f t="shared" si="1"/>
        <v>일진캠퍼스타워</v>
      </c>
      <c r="AI16" s="88">
        <f t="shared" si="0"/>
        <v>12</v>
      </c>
      <c r="AJ16" s="80" t="str">
        <f t="shared" si="19"/>
        <v>A-</v>
      </c>
      <c r="AK16" s="80" t="s">
        <v>13</v>
      </c>
      <c r="AL16" s="80" t="s">
        <v>62</v>
      </c>
      <c r="AM16" s="80" t="s">
        <v>63</v>
      </c>
      <c r="AN16" s="80" t="str">
        <f t="shared" si="20"/>
        <v>C</v>
      </c>
      <c r="AO16" s="80" t="str">
        <f t="shared" si="21"/>
        <v/>
      </c>
      <c r="AP16" s="80" t="str">
        <f t="shared" si="22"/>
        <v/>
      </c>
      <c r="AQ16" s="80" t="str">
        <f t="shared" si="23"/>
        <v>O</v>
      </c>
      <c r="AR16" s="80" t="str">
        <f t="shared" si="24"/>
        <v>O</v>
      </c>
      <c r="AS16" s="80" t="s">
        <v>2</v>
      </c>
      <c r="AT16" s="80" t="str">
        <f t="shared" si="25"/>
        <v>X</v>
      </c>
      <c r="AU16" s="80" t="str">
        <f t="shared" si="26"/>
        <v>X</v>
      </c>
      <c r="AV16" s="80" t="str">
        <f t="shared" si="27"/>
        <v/>
      </c>
    </row>
    <row r="17" spans="1:48" x14ac:dyDescent="0.3">
      <c r="A17" s="9" t="s">
        <v>613</v>
      </c>
      <c r="B17" s="10" t="s">
        <v>927</v>
      </c>
      <c r="C17" s="89">
        <v>299</v>
      </c>
      <c r="D17" s="87">
        <v>40.200000000000003</v>
      </c>
      <c r="E17" s="88">
        <v>12</v>
      </c>
      <c r="F17" s="87">
        <v>23.7</v>
      </c>
      <c r="G17" s="17">
        <v>7</v>
      </c>
      <c r="H17" s="89">
        <v>1</v>
      </c>
      <c r="I17" s="90"/>
      <c r="J17" s="90"/>
      <c r="K17" s="90"/>
      <c r="L17" s="90"/>
      <c r="M17" s="91">
        <f t="shared" si="5"/>
        <v>0</v>
      </c>
      <c r="N17" s="4" t="str">
        <f t="shared" si="6"/>
        <v/>
      </c>
      <c r="O17" s="92">
        <f t="shared" si="7"/>
        <v>0</v>
      </c>
      <c r="P17" s="92">
        <f t="shared" si="8"/>
        <v>0</v>
      </c>
      <c r="Q17" s="80">
        <v>1</v>
      </c>
      <c r="R17" s="80">
        <v>1</v>
      </c>
      <c r="S17" s="80" t="s">
        <v>85</v>
      </c>
      <c r="T17" s="5" t="s">
        <v>624</v>
      </c>
      <c r="U17" s="9"/>
      <c r="W17" s="87">
        <f t="shared" si="9"/>
        <v>40.200000000000003</v>
      </c>
      <c r="X17" s="88">
        <f t="shared" si="10"/>
        <v>12</v>
      </c>
      <c r="Y17" s="93">
        <f t="shared" si="11"/>
        <v>1</v>
      </c>
      <c r="Z17" s="91">
        <f t="shared" si="12"/>
        <v>0</v>
      </c>
      <c r="AA17" s="91">
        <f t="shared" si="13"/>
        <v>0</v>
      </c>
      <c r="AB17" s="91">
        <f t="shared" si="14"/>
        <v>0</v>
      </c>
      <c r="AC17" s="4" t="str">
        <f t="shared" si="15"/>
        <v/>
      </c>
      <c r="AD17" s="92">
        <f t="shared" si="16"/>
        <v>0</v>
      </c>
      <c r="AE17" s="80" t="str">
        <f t="shared" si="17"/>
        <v>복</v>
      </c>
      <c r="AF17" s="80" t="str">
        <f t="shared" si="18"/>
        <v>1/1</v>
      </c>
      <c r="AH17" s="20" t="str">
        <f t="shared" si="1"/>
        <v>일진캠퍼스타워</v>
      </c>
      <c r="AI17" s="88">
        <f t="shared" si="0"/>
        <v>12</v>
      </c>
      <c r="AJ17" s="80" t="str">
        <f t="shared" si="19"/>
        <v>A-</v>
      </c>
      <c r="AK17" s="80" t="s">
        <v>13</v>
      </c>
      <c r="AL17" s="80" t="s">
        <v>62</v>
      </c>
      <c r="AM17" s="80" t="s">
        <v>63</v>
      </c>
      <c r="AN17" s="80" t="str">
        <f t="shared" si="20"/>
        <v>C</v>
      </c>
      <c r="AO17" s="80" t="str">
        <f t="shared" si="21"/>
        <v/>
      </c>
      <c r="AP17" s="80" t="str">
        <f t="shared" si="22"/>
        <v/>
      </c>
      <c r="AQ17" s="80" t="str">
        <f t="shared" si="23"/>
        <v>O</v>
      </c>
      <c r="AR17" s="80" t="str">
        <f t="shared" si="24"/>
        <v>O</v>
      </c>
      <c r="AS17" s="80" t="s">
        <v>2</v>
      </c>
      <c r="AT17" s="80" t="str">
        <f t="shared" si="25"/>
        <v>X</v>
      </c>
      <c r="AU17" s="80" t="str">
        <f t="shared" si="26"/>
        <v>X</v>
      </c>
      <c r="AV17" s="80" t="str">
        <f t="shared" si="27"/>
        <v/>
      </c>
    </row>
    <row r="18" spans="1:48" x14ac:dyDescent="0.3">
      <c r="A18" s="9" t="s">
        <v>613</v>
      </c>
      <c r="B18" s="10" t="s">
        <v>927</v>
      </c>
      <c r="C18" s="89">
        <v>299</v>
      </c>
      <c r="D18" s="87">
        <v>43.3</v>
      </c>
      <c r="E18" s="88">
        <v>13</v>
      </c>
      <c r="F18" s="87">
        <v>25.6</v>
      </c>
      <c r="G18" s="17">
        <v>8</v>
      </c>
      <c r="H18" s="89">
        <v>18</v>
      </c>
      <c r="I18" s="90"/>
      <c r="J18" s="90"/>
      <c r="K18" s="90"/>
      <c r="L18" s="90"/>
      <c r="M18" s="91">
        <f t="shared" si="5"/>
        <v>0</v>
      </c>
      <c r="N18" s="4" t="str">
        <f t="shared" si="6"/>
        <v/>
      </c>
      <c r="O18" s="92">
        <f t="shared" si="7"/>
        <v>0</v>
      </c>
      <c r="P18" s="92">
        <f t="shared" si="8"/>
        <v>0</v>
      </c>
      <c r="Q18" s="80">
        <v>1</v>
      </c>
      <c r="R18" s="80">
        <v>1</v>
      </c>
      <c r="S18" s="80" t="s">
        <v>85</v>
      </c>
      <c r="T18" s="5" t="s">
        <v>625</v>
      </c>
      <c r="U18" s="9"/>
      <c r="W18" s="87">
        <f t="shared" si="9"/>
        <v>43.3</v>
      </c>
      <c r="X18" s="88">
        <f t="shared" si="10"/>
        <v>13</v>
      </c>
      <c r="Y18" s="93">
        <f t="shared" si="11"/>
        <v>18</v>
      </c>
      <c r="Z18" s="91">
        <f t="shared" si="12"/>
        <v>0</v>
      </c>
      <c r="AA18" s="91">
        <f t="shared" si="13"/>
        <v>0</v>
      </c>
      <c r="AB18" s="91">
        <f t="shared" si="14"/>
        <v>0</v>
      </c>
      <c r="AC18" s="4" t="str">
        <f t="shared" si="15"/>
        <v/>
      </c>
      <c r="AD18" s="92">
        <f t="shared" si="16"/>
        <v>0</v>
      </c>
      <c r="AE18" s="80" t="str">
        <f t="shared" si="17"/>
        <v>복</v>
      </c>
      <c r="AF18" s="80" t="str">
        <f t="shared" si="18"/>
        <v>1/1</v>
      </c>
      <c r="AH18" s="20" t="str">
        <f t="shared" si="1"/>
        <v>일진캠퍼스타워</v>
      </c>
      <c r="AI18" s="88">
        <f t="shared" si="0"/>
        <v>13</v>
      </c>
      <c r="AJ18" s="80" t="str">
        <f t="shared" si="19"/>
        <v>A-</v>
      </c>
      <c r="AK18" s="80" t="s">
        <v>13</v>
      </c>
      <c r="AL18" s="80" t="s">
        <v>62</v>
      </c>
      <c r="AM18" s="80" t="s">
        <v>63</v>
      </c>
      <c r="AN18" s="80" t="str">
        <f t="shared" si="20"/>
        <v>C</v>
      </c>
      <c r="AO18" s="80" t="str">
        <f t="shared" si="21"/>
        <v/>
      </c>
      <c r="AP18" s="80" t="str">
        <f t="shared" si="22"/>
        <v/>
      </c>
      <c r="AQ18" s="80" t="str">
        <f t="shared" si="23"/>
        <v>O</v>
      </c>
      <c r="AR18" s="80" t="str">
        <f t="shared" si="24"/>
        <v>O</v>
      </c>
      <c r="AS18" s="80" t="s">
        <v>2</v>
      </c>
      <c r="AT18" s="80" t="str">
        <f t="shared" si="25"/>
        <v>X</v>
      </c>
      <c r="AU18" s="80" t="str">
        <f t="shared" si="26"/>
        <v>X</v>
      </c>
      <c r="AV18" s="80" t="str">
        <f t="shared" si="27"/>
        <v/>
      </c>
    </row>
    <row r="19" spans="1:48" x14ac:dyDescent="0.3">
      <c r="A19" s="9" t="s">
        <v>613</v>
      </c>
      <c r="B19" s="10" t="s">
        <v>927</v>
      </c>
      <c r="C19" s="89">
        <v>299</v>
      </c>
      <c r="D19" s="87">
        <v>46.1</v>
      </c>
      <c r="E19" s="88">
        <v>14</v>
      </c>
      <c r="F19" s="87">
        <v>27.8</v>
      </c>
      <c r="G19" s="17">
        <v>8</v>
      </c>
      <c r="H19" s="89">
        <v>1</v>
      </c>
      <c r="I19" s="90"/>
      <c r="J19" s="90"/>
      <c r="K19" s="90"/>
      <c r="L19" s="90"/>
      <c r="M19" s="91">
        <f t="shared" si="5"/>
        <v>0</v>
      </c>
      <c r="N19" s="4" t="str">
        <f t="shared" si="6"/>
        <v/>
      </c>
      <c r="O19" s="92">
        <f t="shared" si="7"/>
        <v>0</v>
      </c>
      <c r="P19" s="92">
        <f t="shared" si="8"/>
        <v>0</v>
      </c>
      <c r="Q19" s="80">
        <v>1</v>
      </c>
      <c r="R19" s="80">
        <v>1</v>
      </c>
      <c r="S19" s="80" t="s">
        <v>85</v>
      </c>
      <c r="T19" s="5" t="s">
        <v>626</v>
      </c>
      <c r="U19" s="9"/>
      <c r="W19" s="87">
        <f t="shared" si="9"/>
        <v>46.1</v>
      </c>
      <c r="X19" s="88">
        <f t="shared" si="10"/>
        <v>14</v>
      </c>
      <c r="Y19" s="93">
        <f t="shared" si="11"/>
        <v>1</v>
      </c>
      <c r="Z19" s="91">
        <f t="shared" si="12"/>
        <v>0</v>
      </c>
      <c r="AA19" s="91">
        <f t="shared" si="13"/>
        <v>0</v>
      </c>
      <c r="AB19" s="91">
        <f t="shared" si="14"/>
        <v>0</v>
      </c>
      <c r="AC19" s="4" t="str">
        <f t="shared" si="15"/>
        <v/>
      </c>
      <c r="AD19" s="92">
        <f t="shared" si="16"/>
        <v>0</v>
      </c>
      <c r="AE19" s="80" t="str">
        <f t="shared" si="17"/>
        <v>복</v>
      </c>
      <c r="AF19" s="80" t="str">
        <f t="shared" si="18"/>
        <v>1/1</v>
      </c>
      <c r="AH19" s="20" t="str">
        <f t="shared" si="1"/>
        <v>일진캠퍼스타워</v>
      </c>
      <c r="AI19" s="88">
        <f t="shared" si="0"/>
        <v>14</v>
      </c>
      <c r="AJ19" s="80" t="str">
        <f t="shared" si="19"/>
        <v>A-</v>
      </c>
      <c r="AK19" s="80" t="s">
        <v>13</v>
      </c>
      <c r="AL19" s="80" t="s">
        <v>62</v>
      </c>
      <c r="AM19" s="80" t="s">
        <v>63</v>
      </c>
      <c r="AN19" s="80" t="str">
        <f t="shared" si="20"/>
        <v>C</v>
      </c>
      <c r="AO19" s="80" t="str">
        <f t="shared" si="21"/>
        <v/>
      </c>
      <c r="AP19" s="80" t="str">
        <f t="shared" si="22"/>
        <v/>
      </c>
      <c r="AQ19" s="80" t="str">
        <f t="shared" si="23"/>
        <v>O</v>
      </c>
      <c r="AR19" s="80" t="str">
        <f t="shared" si="24"/>
        <v>O</v>
      </c>
      <c r="AS19" s="80" t="s">
        <v>2</v>
      </c>
      <c r="AT19" s="80" t="str">
        <f t="shared" si="25"/>
        <v>X</v>
      </c>
      <c r="AU19" s="80" t="str">
        <f t="shared" si="26"/>
        <v>X</v>
      </c>
      <c r="AV19" s="80" t="str">
        <f t="shared" si="27"/>
        <v/>
      </c>
    </row>
    <row r="20" spans="1:48" x14ac:dyDescent="0.3">
      <c r="A20" s="9" t="s">
        <v>613</v>
      </c>
      <c r="B20" s="10" t="s">
        <v>927</v>
      </c>
      <c r="C20" s="89">
        <v>299</v>
      </c>
      <c r="D20" s="87">
        <v>48.6</v>
      </c>
      <c r="E20" s="88">
        <v>15</v>
      </c>
      <c r="F20" s="87">
        <v>29.3</v>
      </c>
      <c r="G20" s="17">
        <v>9</v>
      </c>
      <c r="H20" s="89">
        <v>1</v>
      </c>
      <c r="I20" s="90"/>
      <c r="J20" s="90"/>
      <c r="K20" s="90"/>
      <c r="L20" s="90"/>
      <c r="M20" s="91">
        <f t="shared" si="5"/>
        <v>0</v>
      </c>
      <c r="N20" s="4" t="str">
        <f t="shared" si="6"/>
        <v/>
      </c>
      <c r="O20" s="92">
        <f t="shared" si="7"/>
        <v>0</v>
      </c>
      <c r="P20" s="92">
        <f t="shared" si="8"/>
        <v>0</v>
      </c>
      <c r="Q20" s="80">
        <v>1</v>
      </c>
      <c r="R20" s="80">
        <v>1</v>
      </c>
      <c r="S20" s="80" t="s">
        <v>85</v>
      </c>
      <c r="T20" s="5" t="s">
        <v>627</v>
      </c>
      <c r="U20" s="9"/>
      <c r="W20" s="87">
        <f t="shared" si="9"/>
        <v>48.6</v>
      </c>
      <c r="X20" s="88">
        <f t="shared" si="10"/>
        <v>15</v>
      </c>
      <c r="Y20" s="93">
        <f t="shared" si="11"/>
        <v>1</v>
      </c>
      <c r="Z20" s="91">
        <f t="shared" si="12"/>
        <v>0</v>
      </c>
      <c r="AA20" s="91">
        <f t="shared" si="13"/>
        <v>0</v>
      </c>
      <c r="AB20" s="91">
        <f t="shared" si="14"/>
        <v>0</v>
      </c>
      <c r="AC20" s="4" t="str">
        <f t="shared" si="15"/>
        <v/>
      </c>
      <c r="AD20" s="92">
        <f t="shared" si="16"/>
        <v>0</v>
      </c>
      <c r="AE20" s="80" t="str">
        <f t="shared" si="17"/>
        <v>복</v>
      </c>
      <c r="AF20" s="80" t="str">
        <f t="shared" si="18"/>
        <v>1/1</v>
      </c>
      <c r="AH20" s="20" t="str">
        <f t="shared" si="1"/>
        <v>일진캠퍼스타워</v>
      </c>
      <c r="AI20" s="88">
        <f t="shared" si="0"/>
        <v>15</v>
      </c>
      <c r="AJ20" s="80" t="str">
        <f t="shared" si="19"/>
        <v>A-</v>
      </c>
      <c r="AK20" s="80" t="s">
        <v>13</v>
      </c>
      <c r="AL20" s="80" t="s">
        <v>62</v>
      </c>
      <c r="AM20" s="80" t="s">
        <v>63</v>
      </c>
      <c r="AN20" s="80" t="str">
        <f t="shared" si="20"/>
        <v>C</v>
      </c>
      <c r="AO20" s="80" t="str">
        <f t="shared" si="21"/>
        <v/>
      </c>
      <c r="AP20" s="80" t="str">
        <f t="shared" si="22"/>
        <v/>
      </c>
      <c r="AQ20" s="80" t="str">
        <f t="shared" si="23"/>
        <v>O</v>
      </c>
      <c r="AR20" s="80" t="str">
        <f t="shared" si="24"/>
        <v>O</v>
      </c>
      <c r="AS20" s="80" t="s">
        <v>2</v>
      </c>
      <c r="AT20" s="80" t="str">
        <f t="shared" si="25"/>
        <v>O</v>
      </c>
      <c r="AU20" s="80" t="str">
        <f t="shared" si="26"/>
        <v>X</v>
      </c>
      <c r="AV20" s="80" t="str">
        <f t="shared" si="27"/>
        <v/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우암동 덕일한마음('96.11.,345^)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319</v>
      </c>
      <c r="B22" s="10" t="s">
        <v>928</v>
      </c>
      <c r="C22" s="89">
        <v>345</v>
      </c>
      <c r="D22" s="87">
        <v>33.6</v>
      </c>
      <c r="E22" s="88">
        <v>10</v>
      </c>
      <c r="F22" s="87">
        <v>26.1</v>
      </c>
      <c r="G22" s="17">
        <v>8</v>
      </c>
      <c r="H22" s="89">
        <v>179</v>
      </c>
      <c r="I22" s="90">
        <v>5000</v>
      </c>
      <c r="J22" s="90" t="s">
        <v>70</v>
      </c>
      <c r="K22" s="90"/>
      <c r="L22" s="90"/>
      <c r="M22" s="91">
        <f>I22-K22</f>
        <v>5000</v>
      </c>
      <c r="N22" s="4">
        <f>IF(ISERROR(K22/I22),"",K22/I22)</f>
        <v>0</v>
      </c>
      <c r="O22" s="92">
        <f>I22/E22</f>
        <v>500</v>
      </c>
      <c r="P22" s="92">
        <f>K22/E22</f>
        <v>0</v>
      </c>
      <c r="Q22" s="80">
        <v>1</v>
      </c>
      <c r="R22" s="80">
        <v>1</v>
      </c>
      <c r="S22" s="80" t="s">
        <v>61</v>
      </c>
      <c r="T22" s="5">
        <v>33</v>
      </c>
      <c r="U22" s="9"/>
      <c r="W22" s="87">
        <f t="shared" ref="W22:X24" si="28">D22</f>
        <v>33.6</v>
      </c>
      <c r="X22" s="88">
        <f t="shared" si="28"/>
        <v>10</v>
      </c>
      <c r="Y22" s="93">
        <f t="shared" ref="Y22:Z24" si="29">H22</f>
        <v>179</v>
      </c>
      <c r="Z22" s="91">
        <f t="shared" si="29"/>
        <v>5000</v>
      </c>
      <c r="AA22" s="91">
        <f>K22</f>
        <v>0</v>
      </c>
      <c r="AB22" s="91">
        <f t="shared" ref="AB22:AD24" si="30">M22</f>
        <v>5000</v>
      </c>
      <c r="AC22" s="4">
        <f t="shared" si="30"/>
        <v>0</v>
      </c>
      <c r="AD22" s="92">
        <f t="shared" si="30"/>
        <v>500</v>
      </c>
      <c r="AE22" s="80" t="str">
        <f>S22</f>
        <v>계</v>
      </c>
      <c r="AF22" s="80" t="str">
        <f>Q22&amp;"/"&amp;R22</f>
        <v>1/1</v>
      </c>
      <c r="AH22" s="20" t="str">
        <f t="shared" si="1"/>
        <v>덕일한마음</v>
      </c>
      <c r="AI22" s="88">
        <f t="shared" si="0"/>
        <v>10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X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 t="s">
        <v>319</v>
      </c>
      <c r="B23" s="10" t="s">
        <v>928</v>
      </c>
      <c r="C23" s="89">
        <v>345</v>
      </c>
      <c r="D23" s="87">
        <v>108.7</v>
      </c>
      <c r="E23" s="88">
        <v>33</v>
      </c>
      <c r="F23" s="87">
        <v>84.8</v>
      </c>
      <c r="G23" s="17">
        <v>26</v>
      </c>
      <c r="H23" s="89">
        <v>163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2</v>
      </c>
      <c r="S23" s="80" t="s">
        <v>61</v>
      </c>
      <c r="T23" s="5">
        <v>108</v>
      </c>
      <c r="U23" s="9"/>
      <c r="W23" s="87">
        <f t="shared" si="28"/>
        <v>108.7</v>
      </c>
      <c r="X23" s="88">
        <f t="shared" si="28"/>
        <v>33</v>
      </c>
      <c r="Y23" s="93">
        <f t="shared" si="29"/>
        <v>163</v>
      </c>
      <c r="Z23" s="91">
        <f t="shared" si="29"/>
        <v>0</v>
      </c>
      <c r="AA23" s="91">
        <f>K23</f>
        <v>0</v>
      </c>
      <c r="AB23" s="91">
        <f t="shared" si="30"/>
        <v>0</v>
      </c>
      <c r="AC23" s="4" t="str">
        <f t="shared" si="30"/>
        <v/>
      </c>
      <c r="AD23" s="92">
        <f t="shared" si="30"/>
        <v>0</v>
      </c>
      <c r="AE23" s="80" t="str">
        <f>S23</f>
        <v>계</v>
      </c>
      <c r="AF23" s="80" t="str">
        <f>Q23&amp;"/"&amp;R23</f>
        <v>3/2</v>
      </c>
      <c r="AH23" s="20" t="str">
        <f t="shared" si="1"/>
        <v>덕일한마음</v>
      </c>
      <c r="AI23" s="88">
        <f t="shared" si="0"/>
        <v>33</v>
      </c>
      <c r="AJ23" s="80" t="str">
        <f>IF(AI23="","",$AJ$2)</f>
        <v>A-</v>
      </c>
      <c r="AK23" s="80" t="s">
        <v>13</v>
      </c>
      <c r="AL23" s="80" t="s">
        <v>62</v>
      </c>
      <c r="AM23" s="80" t="s">
        <v>63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319</v>
      </c>
      <c r="B24" s="10" t="s">
        <v>928</v>
      </c>
      <c r="C24" s="89">
        <v>345</v>
      </c>
      <c r="D24" s="87">
        <v>209.9</v>
      </c>
      <c r="E24" s="88">
        <v>63</v>
      </c>
      <c r="F24" s="87">
        <v>163.6</v>
      </c>
      <c r="G24" s="17">
        <v>50</v>
      </c>
      <c r="H24" s="89">
        <v>3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5</v>
      </c>
      <c r="R24" s="80">
        <v>2</v>
      </c>
      <c r="S24" s="80" t="s">
        <v>61</v>
      </c>
      <c r="T24" s="5">
        <v>209</v>
      </c>
      <c r="U24" s="9"/>
      <c r="W24" s="87">
        <f t="shared" si="28"/>
        <v>209.9</v>
      </c>
      <c r="X24" s="88">
        <f t="shared" si="28"/>
        <v>63</v>
      </c>
      <c r="Y24" s="93">
        <f t="shared" si="29"/>
        <v>3</v>
      </c>
      <c r="Z24" s="91">
        <f t="shared" si="29"/>
        <v>0</v>
      </c>
      <c r="AA24" s="91">
        <f>K24</f>
        <v>0</v>
      </c>
      <c r="AB24" s="91">
        <f t="shared" si="30"/>
        <v>0</v>
      </c>
      <c r="AC24" s="4" t="str">
        <f t="shared" si="30"/>
        <v/>
      </c>
      <c r="AD24" s="92">
        <f t="shared" si="30"/>
        <v>0</v>
      </c>
      <c r="AE24" s="80" t="str">
        <f>S24</f>
        <v>계</v>
      </c>
      <c r="AF24" s="80" t="str">
        <f>Q24&amp;"/"&amp;R24</f>
        <v>5/2</v>
      </c>
      <c r="AH24" s="20" t="str">
        <f t="shared" si="1"/>
        <v>덕일한마음</v>
      </c>
      <c r="AI24" s="88">
        <f t="shared" si="0"/>
        <v>63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X</v>
      </c>
      <c r="AU24" s="80" t="str">
        <f>IF(C24="","",IF(C24&gt;=$AU$1,"O","X"))</f>
        <v>O</v>
      </c>
      <c r="AV24" s="80" t="str">
        <f>IF(AO24="","",IF(AND(AO24="O",AP24="O",AR24="O",AT24="O",AU24="O"),"후보","X"))</f>
        <v/>
      </c>
    </row>
  </sheetData>
  <mergeCells count="1">
    <mergeCell ref="AJ1:AN1"/>
  </mergeCells>
  <phoneticPr fontId="2" type="noConversion"/>
  <conditionalFormatting sqref="AV4:AV6">
    <cfRule type="expression" dxfId="1779" priority="334">
      <formula>AV4="X"</formula>
    </cfRule>
    <cfRule type="expression" dxfId="1778" priority="335">
      <formula>AV4="후보"</formula>
    </cfRule>
  </conditionalFormatting>
  <conditionalFormatting sqref="AC1:AC2 AC4:AC6 N4:N5">
    <cfRule type="cellIs" dxfId="1777" priority="331" operator="greaterThan">
      <formula>0.9</formula>
    </cfRule>
    <cfRule type="cellIs" dxfId="1776" priority="332" operator="greaterThan">
      <formula>0.85</formula>
    </cfRule>
  </conditionalFormatting>
  <conditionalFormatting sqref="N1:N2">
    <cfRule type="cellIs" dxfId="1775" priority="329" operator="greaterThan">
      <formula>0.9</formula>
    </cfRule>
    <cfRule type="cellIs" dxfId="1774" priority="330" operator="greaterThan">
      <formula>0.85</formula>
    </cfRule>
  </conditionalFormatting>
  <conditionalFormatting sqref="N6">
    <cfRule type="cellIs" dxfId="1773" priority="327" operator="greaterThan">
      <formula>0.9</formula>
    </cfRule>
    <cfRule type="cellIs" dxfId="1772" priority="328" operator="greaterThan">
      <formula>0.85</formula>
    </cfRule>
  </conditionalFormatting>
  <conditionalFormatting sqref="E6">
    <cfRule type="expression" dxfId="1771" priority="323">
      <formula>AND(IF(OR($Q6=1,$Q6=2),1,0),IF($X6&lt;=20,1,0))</formula>
    </cfRule>
    <cfRule type="expression" dxfId="1770" priority="324">
      <formula>AND(IF($Q6=2,1,0),IF($X6&lt;30,1,0))</formula>
    </cfRule>
    <cfRule type="expression" dxfId="1769" priority="325">
      <formula>AND(IF($Q6=3,1,0),IF($X6&lt;30,1,0))</formula>
    </cfRule>
    <cfRule type="expression" dxfId="1768" priority="326">
      <formula>AND(IF($Q6=3,1,IF($Q6=4,1,0)),IF($F6&lt;=85,1,0))</formula>
    </cfRule>
  </conditionalFormatting>
  <conditionalFormatting sqref="X6">
    <cfRule type="expression" dxfId="1767" priority="319">
      <formula>AND(IF(OR($Q6=1,$Q6=2),1,0),IF($X6&lt;=20,1,0))</formula>
    </cfRule>
    <cfRule type="expression" dxfId="1766" priority="320">
      <formula>AND(IF($Q6=2,1,0),IF($X6&lt;30,1,0))</formula>
    </cfRule>
    <cfRule type="expression" dxfId="1765" priority="321">
      <formula>AND(IF($Q6=3,1,0),IF($X6&lt;30,1,0))</formula>
    </cfRule>
    <cfRule type="expression" dxfId="1764" priority="322">
      <formula>AND(IF($Q6=3,1,IF($Q6=4,1,0)),IF($F6&lt;=85,1,0))</formula>
    </cfRule>
  </conditionalFormatting>
  <conditionalFormatting sqref="AI6">
    <cfRule type="expression" dxfId="1763" priority="315">
      <formula>AND(IF(OR($Q6=1,$Q6=2),1,0),IF($X6&lt;=20,1,0))</formula>
    </cfRule>
    <cfRule type="expression" dxfId="1762" priority="316">
      <formula>AND(IF($Q6=2,1,0),IF($X6&lt;30,1,0))</formula>
    </cfRule>
    <cfRule type="expression" dxfId="1761" priority="317">
      <formula>AND(IF($Q6=3,1,0),IF($X6&lt;30,1,0))</formula>
    </cfRule>
    <cfRule type="expression" dxfId="1760" priority="318">
      <formula>AND(IF($Q6=3,1,IF($Q6=4,1,0)),IF($F6&lt;=85,1,0))</formula>
    </cfRule>
  </conditionalFormatting>
  <conditionalFormatting sqref="AV7">
    <cfRule type="expression" dxfId="1759" priority="313">
      <formula>AV7="X"</formula>
    </cfRule>
    <cfRule type="expression" dxfId="1758" priority="314">
      <formula>AV7="후보"</formula>
    </cfRule>
  </conditionalFormatting>
  <conditionalFormatting sqref="AC7">
    <cfRule type="cellIs" dxfId="1757" priority="310" operator="greaterThan">
      <formula>0.9</formula>
    </cfRule>
    <cfRule type="cellIs" dxfId="1756" priority="311" operator="greaterThan">
      <formula>0.85</formula>
    </cfRule>
  </conditionalFormatting>
  <conditionalFormatting sqref="N7">
    <cfRule type="cellIs" dxfId="1755" priority="308" operator="greaterThan">
      <formula>0.9</formula>
    </cfRule>
    <cfRule type="cellIs" dxfId="1754" priority="309" operator="greaterThan">
      <formula>0.85</formula>
    </cfRule>
  </conditionalFormatting>
  <conditionalFormatting sqref="E7">
    <cfRule type="expression" dxfId="1753" priority="304">
      <formula>AND(IF(OR($Q7=1,$Q7=2),1,0),IF($X7&lt;=20,1,0))</formula>
    </cfRule>
    <cfRule type="expression" dxfId="1752" priority="305">
      <formula>AND(IF($Q7=2,1,0),IF($X7&lt;30,1,0))</formula>
    </cfRule>
    <cfRule type="expression" dxfId="1751" priority="306">
      <formula>AND(IF($Q7=3,1,0),IF($X7&lt;30,1,0))</formula>
    </cfRule>
    <cfRule type="expression" dxfId="1750" priority="307">
      <formula>AND(IF($Q7=3,1,IF($Q7=4,1,0)),IF($F7&lt;=85,1,0))</formula>
    </cfRule>
  </conditionalFormatting>
  <conditionalFormatting sqref="X7">
    <cfRule type="expression" dxfId="1749" priority="300">
      <formula>AND(IF(OR($Q7=1,$Q7=2),1,0),IF($X7&lt;=20,1,0))</formula>
    </cfRule>
    <cfRule type="expression" dxfId="1748" priority="301">
      <formula>AND(IF($Q7=2,1,0),IF($X7&lt;30,1,0))</formula>
    </cfRule>
    <cfRule type="expression" dxfId="1747" priority="302">
      <formula>AND(IF($Q7=3,1,0),IF($X7&lt;30,1,0))</formula>
    </cfRule>
    <cfRule type="expression" dxfId="1746" priority="303">
      <formula>AND(IF($Q7=3,1,IF($Q7=4,1,0)),IF($F7&lt;=85,1,0))</formula>
    </cfRule>
  </conditionalFormatting>
  <conditionalFormatting sqref="AI7">
    <cfRule type="expression" dxfId="1745" priority="296">
      <formula>AND(IF(OR($Q7=1,$Q7=2),1,0),IF($X7&lt;=20,1,0))</formula>
    </cfRule>
    <cfRule type="expression" dxfId="1744" priority="297">
      <formula>AND(IF($Q7=2,1,0),IF($X7&lt;30,1,0))</formula>
    </cfRule>
    <cfRule type="expression" dxfId="1743" priority="298">
      <formula>AND(IF($Q7=3,1,0),IF($X7&lt;30,1,0))</formula>
    </cfRule>
    <cfRule type="expression" dxfId="1742" priority="299">
      <formula>AND(IF($Q7=3,1,IF($Q7=4,1,0)),IF($F7&lt;=85,1,0))</formula>
    </cfRule>
  </conditionalFormatting>
  <conditionalFormatting sqref="AV8">
    <cfRule type="expression" dxfId="1741" priority="294">
      <formula>AV8="X"</formula>
    </cfRule>
    <cfRule type="expression" dxfId="1740" priority="295">
      <formula>AV8="후보"</formula>
    </cfRule>
  </conditionalFormatting>
  <conditionalFormatting sqref="AC8">
    <cfRule type="cellIs" dxfId="1739" priority="291" operator="greaterThan">
      <formula>0.9</formula>
    </cfRule>
    <cfRule type="cellIs" dxfId="1738" priority="292" operator="greaterThan">
      <formula>0.85</formula>
    </cfRule>
  </conditionalFormatting>
  <conditionalFormatting sqref="N8">
    <cfRule type="cellIs" dxfId="1737" priority="289" operator="greaterThan">
      <formula>0.9</formula>
    </cfRule>
    <cfRule type="cellIs" dxfId="1736" priority="290" operator="greaterThan">
      <formula>0.85</formula>
    </cfRule>
  </conditionalFormatting>
  <conditionalFormatting sqref="E8">
    <cfRule type="expression" dxfId="1735" priority="285">
      <formula>AND(IF(OR($Q8=1,$Q8=2),1,0),IF($X8&lt;=20,1,0))</formula>
    </cfRule>
    <cfRule type="expression" dxfId="1734" priority="286">
      <formula>AND(IF($Q8=2,1,0),IF($X8&lt;30,1,0))</formula>
    </cfRule>
    <cfRule type="expression" dxfId="1733" priority="287">
      <formula>AND(IF($Q8=3,1,0),IF($X8&lt;30,1,0))</formula>
    </cfRule>
    <cfRule type="expression" dxfId="1732" priority="288">
      <formula>AND(IF($Q8=3,1,IF($Q8=4,1,0)),IF($F8&lt;=85,1,0))</formula>
    </cfRule>
  </conditionalFormatting>
  <conditionalFormatting sqref="X8">
    <cfRule type="expression" dxfId="1731" priority="281">
      <formula>AND(IF(OR($Q8=1,$Q8=2),1,0),IF($X8&lt;=20,1,0))</formula>
    </cfRule>
    <cfRule type="expression" dxfId="1730" priority="282">
      <formula>AND(IF($Q8=2,1,0),IF($X8&lt;30,1,0))</formula>
    </cfRule>
    <cfRule type="expression" dxfId="1729" priority="283">
      <formula>AND(IF($Q8=3,1,0),IF($X8&lt;30,1,0))</formula>
    </cfRule>
    <cfRule type="expression" dxfId="1728" priority="284">
      <formula>AND(IF($Q8=3,1,IF($Q8=4,1,0)),IF($F8&lt;=85,1,0))</formula>
    </cfRule>
  </conditionalFormatting>
  <conditionalFormatting sqref="AI8">
    <cfRule type="expression" dxfId="1727" priority="277">
      <formula>AND(IF(OR($Q8=1,$Q8=2),1,0),IF($X8&lt;=20,1,0))</formula>
    </cfRule>
    <cfRule type="expression" dxfId="1726" priority="278">
      <formula>AND(IF($Q8=2,1,0),IF($X8&lt;30,1,0))</formula>
    </cfRule>
    <cfRule type="expression" dxfId="1725" priority="279">
      <formula>AND(IF($Q8=3,1,0),IF($X8&lt;30,1,0))</formula>
    </cfRule>
    <cfRule type="expression" dxfId="1724" priority="280">
      <formula>AND(IF($Q8=3,1,IF($Q8=4,1,0)),IF($F8&lt;=85,1,0))</formula>
    </cfRule>
  </conditionalFormatting>
  <conditionalFormatting sqref="AV9">
    <cfRule type="expression" dxfId="1723" priority="275">
      <formula>AV9="X"</formula>
    </cfRule>
    <cfRule type="expression" dxfId="1722" priority="276">
      <formula>AV9="후보"</formula>
    </cfRule>
  </conditionalFormatting>
  <conditionalFormatting sqref="AC9 N9">
    <cfRule type="cellIs" dxfId="1721" priority="272" operator="greaterThan">
      <formula>0.9</formula>
    </cfRule>
    <cfRule type="cellIs" dxfId="1720" priority="273" operator="greaterThan">
      <formula>0.85</formula>
    </cfRule>
  </conditionalFormatting>
  <conditionalFormatting sqref="AV10">
    <cfRule type="expression" dxfId="1719" priority="270">
      <formula>AV10="X"</formula>
    </cfRule>
    <cfRule type="expression" dxfId="1718" priority="271">
      <formula>AV10="후보"</formula>
    </cfRule>
  </conditionalFormatting>
  <conditionalFormatting sqref="AC10">
    <cfRule type="cellIs" dxfId="1717" priority="267" operator="greaterThan">
      <formula>0.9</formula>
    </cfRule>
    <cfRule type="cellIs" dxfId="1716" priority="268" operator="greaterThan">
      <formula>0.85</formula>
    </cfRule>
  </conditionalFormatting>
  <conditionalFormatting sqref="N10">
    <cfRule type="cellIs" dxfId="1715" priority="265" operator="greaterThan">
      <formula>0.9</formula>
    </cfRule>
    <cfRule type="cellIs" dxfId="1714" priority="266" operator="greaterThan">
      <formula>0.85</formula>
    </cfRule>
  </conditionalFormatting>
  <conditionalFormatting sqref="E10">
    <cfRule type="expression" dxfId="1713" priority="261">
      <formula>AND(IF(OR($Q10=1,$Q10=2),1,0),IF($X10&lt;=20,1,0))</formula>
    </cfRule>
    <cfRule type="expression" dxfId="1712" priority="262">
      <formula>AND(IF($Q10=2,1,0),IF($X10&lt;30,1,0))</formula>
    </cfRule>
    <cfRule type="expression" dxfId="1711" priority="263">
      <formula>AND(IF($Q10=3,1,0),IF($X10&lt;30,1,0))</formula>
    </cfRule>
    <cfRule type="expression" dxfId="1710" priority="264">
      <formula>AND(IF($Q10=3,1,IF($Q10=4,1,0)),IF($F10&lt;=85,1,0))</formula>
    </cfRule>
  </conditionalFormatting>
  <conditionalFormatting sqref="X10">
    <cfRule type="expression" dxfId="1709" priority="257">
      <formula>AND(IF(OR($Q10=1,$Q10=2),1,0),IF($X10&lt;=20,1,0))</formula>
    </cfRule>
    <cfRule type="expression" dxfId="1708" priority="258">
      <formula>AND(IF($Q10=2,1,0),IF($X10&lt;30,1,0))</formula>
    </cfRule>
    <cfRule type="expression" dxfId="1707" priority="259">
      <formula>AND(IF($Q10=3,1,0),IF($X10&lt;30,1,0))</formula>
    </cfRule>
    <cfRule type="expression" dxfId="1706" priority="260">
      <formula>AND(IF($Q10=3,1,IF($Q10=4,1,0)),IF($F10&lt;=85,1,0))</formula>
    </cfRule>
  </conditionalFormatting>
  <conditionalFormatting sqref="AI10">
    <cfRule type="expression" dxfId="1705" priority="253">
      <formula>AND(IF(OR($Q10=1,$Q10=2),1,0),IF($X10&lt;=20,1,0))</formula>
    </cfRule>
    <cfRule type="expression" dxfId="1704" priority="254">
      <formula>AND(IF($Q10=2,1,0),IF($X10&lt;30,1,0))</formula>
    </cfRule>
    <cfRule type="expression" dxfId="1703" priority="255">
      <formula>AND(IF($Q10=3,1,0),IF($X10&lt;30,1,0))</formula>
    </cfRule>
    <cfRule type="expression" dxfId="1702" priority="256">
      <formula>AND(IF($Q10=3,1,IF($Q10=4,1,0)),IF($F10&lt;=85,1,0))</formula>
    </cfRule>
  </conditionalFormatting>
  <conditionalFormatting sqref="AV11">
    <cfRule type="expression" dxfId="1701" priority="251">
      <formula>AV11="X"</formula>
    </cfRule>
    <cfRule type="expression" dxfId="1700" priority="252">
      <formula>AV11="후보"</formula>
    </cfRule>
  </conditionalFormatting>
  <conditionalFormatting sqref="AC11">
    <cfRule type="cellIs" dxfId="1699" priority="248" operator="greaterThan">
      <formula>0.9</formula>
    </cfRule>
    <cfRule type="cellIs" dxfId="1698" priority="249" operator="greaterThan">
      <formula>0.85</formula>
    </cfRule>
  </conditionalFormatting>
  <conditionalFormatting sqref="N11">
    <cfRule type="cellIs" dxfId="1697" priority="246" operator="greaterThan">
      <formula>0.9</formula>
    </cfRule>
    <cfRule type="cellIs" dxfId="1696" priority="247" operator="greaterThan">
      <formula>0.85</formula>
    </cfRule>
  </conditionalFormatting>
  <conditionalFormatting sqref="E11">
    <cfRule type="expression" dxfId="1695" priority="242">
      <formula>AND(IF(OR($Q11=1,$Q11=2),1,0),IF($X11&lt;=20,1,0))</formula>
    </cfRule>
    <cfRule type="expression" dxfId="1694" priority="243">
      <formula>AND(IF($Q11=2,1,0),IF($X11&lt;30,1,0))</formula>
    </cfRule>
    <cfRule type="expression" dxfId="1693" priority="244">
      <formula>AND(IF($Q11=3,1,0),IF($X11&lt;30,1,0))</formula>
    </cfRule>
    <cfRule type="expression" dxfId="1692" priority="245">
      <formula>AND(IF($Q11=3,1,IF($Q11=4,1,0)),IF($F11&lt;=85,1,0))</formula>
    </cfRule>
  </conditionalFormatting>
  <conditionalFormatting sqref="X11">
    <cfRule type="expression" dxfId="1691" priority="238">
      <formula>AND(IF(OR($Q11=1,$Q11=2),1,0),IF($X11&lt;=20,1,0))</formula>
    </cfRule>
    <cfRule type="expression" dxfId="1690" priority="239">
      <formula>AND(IF($Q11=2,1,0),IF($X11&lt;30,1,0))</formula>
    </cfRule>
    <cfRule type="expression" dxfId="1689" priority="240">
      <formula>AND(IF($Q11=3,1,0),IF($X11&lt;30,1,0))</formula>
    </cfRule>
    <cfRule type="expression" dxfId="1688" priority="241">
      <formula>AND(IF($Q11=3,1,IF($Q11=4,1,0)),IF($F11&lt;=85,1,0))</formula>
    </cfRule>
  </conditionalFormatting>
  <conditionalFormatting sqref="AI11">
    <cfRule type="expression" dxfId="1687" priority="234">
      <formula>AND(IF(OR($Q11=1,$Q11=2),1,0),IF($X11&lt;=20,1,0))</formula>
    </cfRule>
    <cfRule type="expression" dxfId="1686" priority="235">
      <formula>AND(IF($Q11=2,1,0),IF($X11&lt;30,1,0))</formula>
    </cfRule>
    <cfRule type="expression" dxfId="1685" priority="236">
      <formula>AND(IF($Q11=3,1,0),IF($X11&lt;30,1,0))</formula>
    </cfRule>
    <cfRule type="expression" dxfId="1684" priority="237">
      <formula>AND(IF($Q11=3,1,IF($Q11=4,1,0)),IF($F11&lt;=85,1,0))</formula>
    </cfRule>
  </conditionalFormatting>
  <conditionalFormatting sqref="AV12">
    <cfRule type="expression" dxfId="1683" priority="232">
      <formula>AV12="X"</formula>
    </cfRule>
    <cfRule type="expression" dxfId="1682" priority="233">
      <formula>AV12="후보"</formula>
    </cfRule>
  </conditionalFormatting>
  <conditionalFormatting sqref="AC12">
    <cfRule type="cellIs" dxfId="1681" priority="229" operator="greaterThan">
      <formula>0.9</formula>
    </cfRule>
    <cfRule type="cellIs" dxfId="1680" priority="230" operator="greaterThan">
      <formula>0.85</formula>
    </cfRule>
  </conditionalFormatting>
  <conditionalFormatting sqref="N12">
    <cfRule type="cellIs" dxfId="1679" priority="227" operator="greaterThan">
      <formula>0.9</formula>
    </cfRule>
    <cfRule type="cellIs" dxfId="1678" priority="228" operator="greaterThan">
      <formula>0.85</formula>
    </cfRule>
  </conditionalFormatting>
  <conditionalFormatting sqref="E12">
    <cfRule type="expression" dxfId="1677" priority="223">
      <formula>AND(IF(OR($Q12=1,$Q12=2),1,0),IF($X12&lt;=20,1,0))</formula>
    </cfRule>
    <cfRule type="expression" dxfId="1676" priority="224">
      <formula>AND(IF($Q12=2,1,0),IF($X12&lt;30,1,0))</formula>
    </cfRule>
    <cfRule type="expression" dxfId="1675" priority="225">
      <formula>AND(IF($Q12=3,1,0),IF($X12&lt;30,1,0))</formula>
    </cfRule>
    <cfRule type="expression" dxfId="1674" priority="226">
      <formula>AND(IF($Q12=3,1,IF($Q12=4,1,0)),IF($F12&lt;=85,1,0))</formula>
    </cfRule>
  </conditionalFormatting>
  <conditionalFormatting sqref="X12">
    <cfRule type="expression" dxfId="1673" priority="219">
      <formula>AND(IF(OR($Q12=1,$Q12=2),1,0),IF($X12&lt;=20,1,0))</formula>
    </cfRule>
    <cfRule type="expression" dxfId="1672" priority="220">
      <formula>AND(IF($Q12=2,1,0),IF($X12&lt;30,1,0))</formula>
    </cfRule>
    <cfRule type="expression" dxfId="1671" priority="221">
      <formula>AND(IF($Q12=3,1,0),IF($X12&lt;30,1,0))</formula>
    </cfRule>
    <cfRule type="expression" dxfId="1670" priority="222">
      <formula>AND(IF($Q12=3,1,IF($Q12=4,1,0)),IF($F12&lt;=85,1,0))</formula>
    </cfRule>
  </conditionalFormatting>
  <conditionalFormatting sqref="AI12">
    <cfRule type="expression" dxfId="1669" priority="215">
      <formula>AND(IF(OR($Q12=1,$Q12=2),1,0),IF($X12&lt;=20,1,0))</formula>
    </cfRule>
    <cfRule type="expression" dxfId="1668" priority="216">
      <formula>AND(IF($Q12=2,1,0),IF($X12&lt;30,1,0))</formula>
    </cfRule>
    <cfRule type="expression" dxfId="1667" priority="217">
      <formula>AND(IF($Q12=3,1,0),IF($X12&lt;30,1,0))</formula>
    </cfRule>
    <cfRule type="expression" dxfId="1666" priority="218">
      <formula>AND(IF($Q12=3,1,IF($Q12=4,1,0)),IF($F12&lt;=85,1,0))</formula>
    </cfRule>
  </conditionalFormatting>
  <conditionalFormatting sqref="AV13">
    <cfRule type="expression" dxfId="1665" priority="213">
      <formula>AV13="X"</formula>
    </cfRule>
    <cfRule type="expression" dxfId="1664" priority="214">
      <formula>AV13="후보"</formula>
    </cfRule>
  </conditionalFormatting>
  <conditionalFormatting sqref="AC13">
    <cfRule type="cellIs" dxfId="1663" priority="210" operator="greaterThan">
      <formula>0.9</formula>
    </cfRule>
    <cfRule type="cellIs" dxfId="1662" priority="211" operator="greaterThan">
      <formula>0.85</formula>
    </cfRule>
  </conditionalFormatting>
  <conditionalFormatting sqref="N13">
    <cfRule type="cellIs" dxfId="1661" priority="208" operator="greaterThan">
      <formula>0.9</formula>
    </cfRule>
    <cfRule type="cellIs" dxfId="1660" priority="209" operator="greaterThan">
      <formula>0.85</formula>
    </cfRule>
  </conditionalFormatting>
  <conditionalFormatting sqref="E13">
    <cfRule type="expression" dxfId="1659" priority="204">
      <formula>AND(IF(OR($Q13=1,$Q13=2),1,0),IF($X13&lt;=20,1,0))</formula>
    </cfRule>
    <cfRule type="expression" dxfId="1658" priority="205">
      <formula>AND(IF($Q13=2,1,0),IF($X13&lt;30,1,0))</formula>
    </cfRule>
    <cfRule type="expression" dxfId="1657" priority="206">
      <formula>AND(IF($Q13=3,1,0),IF($X13&lt;30,1,0))</formula>
    </cfRule>
    <cfRule type="expression" dxfId="1656" priority="207">
      <formula>AND(IF($Q13=3,1,IF($Q13=4,1,0)),IF($F13&lt;=85,1,0))</formula>
    </cfRule>
  </conditionalFormatting>
  <conditionalFormatting sqref="X13">
    <cfRule type="expression" dxfId="1655" priority="200">
      <formula>AND(IF(OR($Q13=1,$Q13=2),1,0),IF($X13&lt;=20,1,0))</formula>
    </cfRule>
    <cfRule type="expression" dxfId="1654" priority="201">
      <formula>AND(IF($Q13=2,1,0),IF($X13&lt;30,1,0))</formula>
    </cfRule>
    <cfRule type="expression" dxfId="1653" priority="202">
      <formula>AND(IF($Q13=3,1,0),IF($X13&lt;30,1,0))</formula>
    </cfRule>
    <cfRule type="expression" dxfId="1652" priority="203">
      <formula>AND(IF($Q13=3,1,IF($Q13=4,1,0)),IF($F13&lt;=85,1,0))</formula>
    </cfRule>
  </conditionalFormatting>
  <conditionalFormatting sqref="AI13">
    <cfRule type="expression" dxfId="1651" priority="196">
      <formula>AND(IF(OR($Q13=1,$Q13=2),1,0),IF($X13&lt;=20,1,0))</formula>
    </cfRule>
    <cfRule type="expression" dxfId="1650" priority="197">
      <formula>AND(IF($Q13=2,1,0),IF($X13&lt;30,1,0))</formula>
    </cfRule>
    <cfRule type="expression" dxfId="1649" priority="198">
      <formula>AND(IF($Q13=3,1,0),IF($X13&lt;30,1,0))</formula>
    </cfRule>
    <cfRule type="expression" dxfId="1648" priority="199">
      <formula>AND(IF($Q13=3,1,IF($Q13=4,1,0)),IF($F13&lt;=85,1,0))</formula>
    </cfRule>
  </conditionalFormatting>
  <conditionalFormatting sqref="AV14">
    <cfRule type="expression" dxfId="1647" priority="194">
      <formula>AV14="X"</formula>
    </cfRule>
    <cfRule type="expression" dxfId="1646" priority="195">
      <formula>AV14="후보"</formula>
    </cfRule>
  </conditionalFormatting>
  <conditionalFormatting sqref="AC14">
    <cfRule type="cellIs" dxfId="1645" priority="191" operator="greaterThan">
      <formula>0.9</formula>
    </cfRule>
    <cfRule type="cellIs" dxfId="1644" priority="192" operator="greaterThan">
      <formula>0.85</formula>
    </cfRule>
  </conditionalFormatting>
  <conditionalFormatting sqref="N14">
    <cfRule type="cellIs" dxfId="1643" priority="189" operator="greaterThan">
      <formula>0.9</formula>
    </cfRule>
    <cfRule type="cellIs" dxfId="1642" priority="190" operator="greaterThan">
      <formula>0.85</formula>
    </cfRule>
  </conditionalFormatting>
  <conditionalFormatting sqref="E14">
    <cfRule type="expression" dxfId="1641" priority="185">
      <formula>AND(IF(OR($Q14=1,$Q14=2),1,0),IF($X14&lt;=20,1,0))</formula>
    </cfRule>
    <cfRule type="expression" dxfId="1640" priority="186">
      <formula>AND(IF($Q14=2,1,0),IF($X14&lt;30,1,0))</formula>
    </cfRule>
    <cfRule type="expression" dxfId="1639" priority="187">
      <formula>AND(IF($Q14=3,1,0),IF($X14&lt;30,1,0))</formula>
    </cfRule>
    <cfRule type="expression" dxfId="1638" priority="188">
      <formula>AND(IF($Q14=3,1,IF($Q14=4,1,0)),IF($F14&lt;=85,1,0))</formula>
    </cfRule>
  </conditionalFormatting>
  <conditionalFormatting sqref="X14">
    <cfRule type="expression" dxfId="1637" priority="181">
      <formula>AND(IF(OR($Q14=1,$Q14=2),1,0),IF($X14&lt;=20,1,0))</formula>
    </cfRule>
    <cfRule type="expression" dxfId="1636" priority="182">
      <formula>AND(IF($Q14=2,1,0),IF($X14&lt;30,1,0))</formula>
    </cfRule>
    <cfRule type="expression" dxfId="1635" priority="183">
      <formula>AND(IF($Q14=3,1,0),IF($X14&lt;30,1,0))</formula>
    </cfRule>
    <cfRule type="expression" dxfId="1634" priority="184">
      <formula>AND(IF($Q14=3,1,IF($Q14=4,1,0)),IF($F14&lt;=85,1,0))</formula>
    </cfRule>
  </conditionalFormatting>
  <conditionalFormatting sqref="AI14">
    <cfRule type="expression" dxfId="1633" priority="177">
      <formula>AND(IF(OR($Q14=1,$Q14=2),1,0),IF($X14&lt;=20,1,0))</formula>
    </cfRule>
    <cfRule type="expression" dxfId="1632" priority="178">
      <formula>AND(IF($Q14=2,1,0),IF($X14&lt;30,1,0))</formula>
    </cfRule>
    <cfRule type="expression" dxfId="1631" priority="179">
      <formula>AND(IF($Q14=3,1,0),IF($X14&lt;30,1,0))</formula>
    </cfRule>
    <cfRule type="expression" dxfId="1630" priority="180">
      <formula>AND(IF($Q14=3,1,IF($Q14=4,1,0)),IF($F14&lt;=85,1,0))</formula>
    </cfRule>
  </conditionalFormatting>
  <conditionalFormatting sqref="AV15">
    <cfRule type="expression" dxfId="1629" priority="175">
      <formula>AV15="X"</formula>
    </cfRule>
    <cfRule type="expression" dxfId="1628" priority="176">
      <formula>AV15="후보"</formula>
    </cfRule>
  </conditionalFormatting>
  <conditionalFormatting sqref="AC15">
    <cfRule type="cellIs" dxfId="1627" priority="172" operator="greaterThan">
      <formula>0.9</formula>
    </cfRule>
    <cfRule type="cellIs" dxfId="1626" priority="173" operator="greaterThan">
      <formula>0.85</formula>
    </cfRule>
  </conditionalFormatting>
  <conditionalFormatting sqref="N15">
    <cfRule type="cellIs" dxfId="1625" priority="170" operator="greaterThan">
      <formula>0.9</formula>
    </cfRule>
    <cfRule type="cellIs" dxfId="1624" priority="171" operator="greaterThan">
      <formula>0.85</formula>
    </cfRule>
  </conditionalFormatting>
  <conditionalFormatting sqref="E15">
    <cfRule type="expression" dxfId="1623" priority="166">
      <formula>AND(IF(OR($Q15=1,$Q15=2),1,0),IF($X15&lt;=20,1,0))</formula>
    </cfRule>
    <cfRule type="expression" dxfId="1622" priority="167">
      <formula>AND(IF($Q15=2,1,0),IF($X15&lt;30,1,0))</formula>
    </cfRule>
    <cfRule type="expression" dxfId="1621" priority="168">
      <formula>AND(IF($Q15=3,1,0),IF($X15&lt;30,1,0))</formula>
    </cfRule>
    <cfRule type="expression" dxfId="1620" priority="169">
      <formula>AND(IF($Q15=3,1,IF($Q15=4,1,0)),IF($F15&lt;=85,1,0))</formula>
    </cfRule>
  </conditionalFormatting>
  <conditionalFormatting sqref="X15">
    <cfRule type="expression" dxfId="1619" priority="162">
      <formula>AND(IF(OR($Q15=1,$Q15=2),1,0),IF($X15&lt;=20,1,0))</formula>
    </cfRule>
    <cfRule type="expression" dxfId="1618" priority="163">
      <formula>AND(IF($Q15=2,1,0),IF($X15&lt;30,1,0))</formula>
    </cfRule>
    <cfRule type="expression" dxfId="1617" priority="164">
      <formula>AND(IF($Q15=3,1,0),IF($X15&lt;30,1,0))</formula>
    </cfRule>
    <cfRule type="expression" dxfId="1616" priority="165">
      <formula>AND(IF($Q15=3,1,IF($Q15=4,1,0)),IF($F15&lt;=85,1,0))</formula>
    </cfRule>
  </conditionalFormatting>
  <conditionalFormatting sqref="AI15">
    <cfRule type="expression" dxfId="1615" priority="158">
      <formula>AND(IF(OR($Q15=1,$Q15=2),1,0),IF($X15&lt;=20,1,0))</formula>
    </cfRule>
    <cfRule type="expression" dxfId="1614" priority="159">
      <formula>AND(IF($Q15=2,1,0),IF($X15&lt;30,1,0))</formula>
    </cfRule>
    <cfRule type="expression" dxfId="1613" priority="160">
      <formula>AND(IF($Q15=3,1,0),IF($X15&lt;30,1,0))</formula>
    </cfRule>
    <cfRule type="expression" dxfId="1612" priority="161">
      <formula>AND(IF($Q15=3,1,IF($Q15=4,1,0)),IF($F15&lt;=85,1,0))</formula>
    </cfRule>
  </conditionalFormatting>
  <conditionalFormatting sqref="AV16">
    <cfRule type="expression" dxfId="1611" priority="156">
      <formula>AV16="X"</formula>
    </cfRule>
    <cfRule type="expression" dxfId="1610" priority="157">
      <formula>AV16="후보"</formula>
    </cfRule>
  </conditionalFormatting>
  <conditionalFormatting sqref="AC16">
    <cfRule type="cellIs" dxfId="1609" priority="153" operator="greaterThan">
      <formula>0.9</formula>
    </cfRule>
    <cfRule type="cellIs" dxfId="1608" priority="154" operator="greaterThan">
      <formula>0.85</formula>
    </cfRule>
  </conditionalFormatting>
  <conditionalFormatting sqref="N16">
    <cfRule type="cellIs" dxfId="1607" priority="151" operator="greaterThan">
      <formula>0.9</formula>
    </cfRule>
    <cfRule type="cellIs" dxfId="1606" priority="152" operator="greaterThan">
      <formula>0.85</formula>
    </cfRule>
  </conditionalFormatting>
  <conditionalFormatting sqref="E16">
    <cfRule type="expression" dxfId="1605" priority="147">
      <formula>AND(IF(OR($Q16=1,$Q16=2),1,0),IF($X16&lt;=20,1,0))</formula>
    </cfRule>
    <cfRule type="expression" dxfId="1604" priority="148">
      <formula>AND(IF($Q16=2,1,0),IF($X16&lt;30,1,0))</formula>
    </cfRule>
    <cfRule type="expression" dxfId="1603" priority="149">
      <formula>AND(IF($Q16=3,1,0),IF($X16&lt;30,1,0))</formula>
    </cfRule>
    <cfRule type="expression" dxfId="1602" priority="150">
      <formula>AND(IF($Q16=3,1,IF($Q16=4,1,0)),IF($F16&lt;=85,1,0))</formula>
    </cfRule>
  </conditionalFormatting>
  <conditionalFormatting sqref="X16">
    <cfRule type="expression" dxfId="1601" priority="143">
      <formula>AND(IF(OR($Q16=1,$Q16=2),1,0),IF($X16&lt;=20,1,0))</formula>
    </cfRule>
    <cfRule type="expression" dxfId="1600" priority="144">
      <formula>AND(IF($Q16=2,1,0),IF($X16&lt;30,1,0))</formula>
    </cfRule>
    <cfRule type="expression" dxfId="1599" priority="145">
      <formula>AND(IF($Q16=3,1,0),IF($X16&lt;30,1,0))</formula>
    </cfRule>
    <cfRule type="expression" dxfId="1598" priority="146">
      <formula>AND(IF($Q16=3,1,IF($Q16=4,1,0)),IF($F16&lt;=85,1,0))</formula>
    </cfRule>
  </conditionalFormatting>
  <conditionalFormatting sqref="AI16">
    <cfRule type="expression" dxfId="1597" priority="139">
      <formula>AND(IF(OR($Q16=1,$Q16=2),1,0),IF($X16&lt;=20,1,0))</formula>
    </cfRule>
    <cfRule type="expression" dxfId="1596" priority="140">
      <formula>AND(IF($Q16=2,1,0),IF($X16&lt;30,1,0))</formula>
    </cfRule>
    <cfRule type="expression" dxfId="1595" priority="141">
      <formula>AND(IF($Q16=3,1,0),IF($X16&lt;30,1,0))</formula>
    </cfRule>
    <cfRule type="expression" dxfId="1594" priority="142">
      <formula>AND(IF($Q16=3,1,IF($Q16=4,1,0)),IF($F16&lt;=85,1,0))</formula>
    </cfRule>
  </conditionalFormatting>
  <conditionalFormatting sqref="AV17">
    <cfRule type="expression" dxfId="1593" priority="137">
      <formula>AV17="X"</formula>
    </cfRule>
    <cfRule type="expression" dxfId="1592" priority="138">
      <formula>AV17="후보"</formula>
    </cfRule>
  </conditionalFormatting>
  <conditionalFormatting sqref="AC17">
    <cfRule type="cellIs" dxfId="1591" priority="134" operator="greaterThan">
      <formula>0.9</formula>
    </cfRule>
    <cfRule type="cellIs" dxfId="1590" priority="135" operator="greaterThan">
      <formula>0.85</formula>
    </cfRule>
  </conditionalFormatting>
  <conditionalFormatting sqref="N17">
    <cfRule type="cellIs" dxfId="1589" priority="132" operator="greaterThan">
      <formula>0.9</formula>
    </cfRule>
    <cfRule type="cellIs" dxfId="1588" priority="133" operator="greaterThan">
      <formula>0.85</formula>
    </cfRule>
  </conditionalFormatting>
  <conditionalFormatting sqref="E17">
    <cfRule type="expression" dxfId="1587" priority="128">
      <formula>AND(IF(OR($Q17=1,$Q17=2),1,0),IF($X17&lt;=20,1,0))</formula>
    </cfRule>
    <cfRule type="expression" dxfId="1586" priority="129">
      <formula>AND(IF($Q17=2,1,0),IF($X17&lt;30,1,0))</formula>
    </cfRule>
    <cfRule type="expression" dxfId="1585" priority="130">
      <formula>AND(IF($Q17=3,1,0),IF($X17&lt;30,1,0))</formula>
    </cfRule>
    <cfRule type="expression" dxfId="1584" priority="131">
      <formula>AND(IF($Q17=3,1,IF($Q17=4,1,0)),IF($F17&lt;=85,1,0))</formula>
    </cfRule>
  </conditionalFormatting>
  <conditionalFormatting sqref="X17">
    <cfRule type="expression" dxfId="1583" priority="124">
      <formula>AND(IF(OR($Q17=1,$Q17=2),1,0),IF($X17&lt;=20,1,0))</formula>
    </cfRule>
    <cfRule type="expression" dxfId="1582" priority="125">
      <formula>AND(IF($Q17=2,1,0),IF($X17&lt;30,1,0))</formula>
    </cfRule>
    <cfRule type="expression" dxfId="1581" priority="126">
      <formula>AND(IF($Q17=3,1,0),IF($X17&lt;30,1,0))</formula>
    </cfRule>
    <cfRule type="expression" dxfId="1580" priority="127">
      <formula>AND(IF($Q17=3,1,IF($Q17=4,1,0)),IF($F17&lt;=85,1,0))</formula>
    </cfRule>
  </conditionalFormatting>
  <conditionalFormatting sqref="AI17">
    <cfRule type="expression" dxfId="1579" priority="120">
      <formula>AND(IF(OR($Q17=1,$Q17=2),1,0),IF($X17&lt;=20,1,0))</formula>
    </cfRule>
    <cfRule type="expression" dxfId="1578" priority="121">
      <formula>AND(IF($Q17=2,1,0),IF($X17&lt;30,1,0))</formula>
    </cfRule>
    <cfRule type="expression" dxfId="1577" priority="122">
      <formula>AND(IF($Q17=3,1,0),IF($X17&lt;30,1,0))</formula>
    </cfRule>
    <cfRule type="expression" dxfId="1576" priority="123">
      <formula>AND(IF($Q17=3,1,IF($Q17=4,1,0)),IF($F17&lt;=85,1,0))</formula>
    </cfRule>
  </conditionalFormatting>
  <conditionalFormatting sqref="AV18">
    <cfRule type="expression" dxfId="1575" priority="118">
      <formula>AV18="X"</formula>
    </cfRule>
    <cfRule type="expression" dxfId="1574" priority="119">
      <formula>AV18="후보"</formula>
    </cfRule>
  </conditionalFormatting>
  <conditionalFormatting sqref="AC18">
    <cfRule type="cellIs" dxfId="1573" priority="115" operator="greaterThan">
      <formula>0.9</formula>
    </cfRule>
    <cfRule type="cellIs" dxfId="1572" priority="116" operator="greaterThan">
      <formula>0.85</formula>
    </cfRule>
  </conditionalFormatting>
  <conditionalFormatting sqref="N18">
    <cfRule type="cellIs" dxfId="1571" priority="113" operator="greaterThan">
      <formula>0.9</formula>
    </cfRule>
    <cfRule type="cellIs" dxfId="1570" priority="114" operator="greaterThan">
      <formula>0.85</formula>
    </cfRule>
  </conditionalFormatting>
  <conditionalFormatting sqref="E18">
    <cfRule type="expression" dxfId="1569" priority="109">
      <formula>AND(IF(OR($Q18=1,$Q18=2),1,0),IF($X18&lt;=20,1,0))</formula>
    </cfRule>
    <cfRule type="expression" dxfId="1568" priority="110">
      <formula>AND(IF($Q18=2,1,0),IF($X18&lt;30,1,0))</formula>
    </cfRule>
    <cfRule type="expression" dxfId="1567" priority="111">
      <formula>AND(IF($Q18=3,1,0),IF($X18&lt;30,1,0))</formula>
    </cfRule>
    <cfRule type="expression" dxfId="1566" priority="112">
      <formula>AND(IF($Q18=3,1,IF($Q18=4,1,0)),IF($F18&lt;=85,1,0))</formula>
    </cfRule>
  </conditionalFormatting>
  <conditionalFormatting sqref="X18">
    <cfRule type="expression" dxfId="1565" priority="105">
      <formula>AND(IF(OR($Q18=1,$Q18=2),1,0),IF($X18&lt;=20,1,0))</formula>
    </cfRule>
    <cfRule type="expression" dxfId="1564" priority="106">
      <formula>AND(IF($Q18=2,1,0),IF($X18&lt;30,1,0))</formula>
    </cfRule>
    <cfRule type="expression" dxfId="1563" priority="107">
      <formula>AND(IF($Q18=3,1,0),IF($X18&lt;30,1,0))</formula>
    </cfRule>
    <cfRule type="expression" dxfId="1562" priority="108">
      <formula>AND(IF($Q18=3,1,IF($Q18=4,1,0)),IF($F18&lt;=85,1,0))</formula>
    </cfRule>
  </conditionalFormatting>
  <conditionalFormatting sqref="AI18">
    <cfRule type="expression" dxfId="1561" priority="101">
      <formula>AND(IF(OR($Q18=1,$Q18=2),1,0),IF($X18&lt;=20,1,0))</formula>
    </cfRule>
    <cfRule type="expression" dxfId="1560" priority="102">
      <formula>AND(IF($Q18=2,1,0),IF($X18&lt;30,1,0))</formula>
    </cfRule>
    <cfRule type="expression" dxfId="1559" priority="103">
      <formula>AND(IF($Q18=3,1,0),IF($X18&lt;30,1,0))</formula>
    </cfRule>
    <cfRule type="expression" dxfId="1558" priority="104">
      <formula>AND(IF($Q18=3,1,IF($Q18=4,1,0)),IF($F18&lt;=85,1,0))</formula>
    </cfRule>
  </conditionalFormatting>
  <conditionalFormatting sqref="AV19">
    <cfRule type="expression" dxfId="1557" priority="99">
      <formula>AV19="X"</formula>
    </cfRule>
    <cfRule type="expression" dxfId="1556" priority="100">
      <formula>AV19="후보"</formula>
    </cfRule>
  </conditionalFormatting>
  <conditionalFormatting sqref="AC19">
    <cfRule type="cellIs" dxfId="1555" priority="96" operator="greaterThan">
      <formula>0.9</formula>
    </cfRule>
    <cfRule type="cellIs" dxfId="1554" priority="97" operator="greaterThan">
      <formula>0.85</formula>
    </cfRule>
  </conditionalFormatting>
  <conditionalFormatting sqref="N19">
    <cfRule type="cellIs" dxfId="1553" priority="94" operator="greaterThan">
      <formula>0.9</formula>
    </cfRule>
    <cfRule type="cellIs" dxfId="1552" priority="95" operator="greaterThan">
      <formula>0.85</formula>
    </cfRule>
  </conditionalFormatting>
  <conditionalFormatting sqref="E19">
    <cfRule type="expression" dxfId="1551" priority="90">
      <formula>AND(IF(OR($Q19=1,$Q19=2),1,0),IF($X19&lt;=20,1,0))</formula>
    </cfRule>
    <cfRule type="expression" dxfId="1550" priority="91">
      <formula>AND(IF($Q19=2,1,0),IF($X19&lt;30,1,0))</formula>
    </cfRule>
    <cfRule type="expression" dxfId="1549" priority="92">
      <formula>AND(IF($Q19=3,1,0),IF($X19&lt;30,1,0))</formula>
    </cfRule>
    <cfRule type="expression" dxfId="1548" priority="93">
      <formula>AND(IF($Q19=3,1,IF($Q19=4,1,0)),IF($F19&lt;=85,1,0))</formula>
    </cfRule>
  </conditionalFormatting>
  <conditionalFormatting sqref="X19">
    <cfRule type="expression" dxfId="1547" priority="86">
      <formula>AND(IF(OR($Q19=1,$Q19=2),1,0),IF($X19&lt;=20,1,0))</formula>
    </cfRule>
    <cfRule type="expression" dxfId="1546" priority="87">
      <formula>AND(IF($Q19=2,1,0),IF($X19&lt;30,1,0))</formula>
    </cfRule>
    <cfRule type="expression" dxfId="1545" priority="88">
      <formula>AND(IF($Q19=3,1,0),IF($X19&lt;30,1,0))</formula>
    </cfRule>
    <cfRule type="expression" dxfId="1544" priority="89">
      <formula>AND(IF($Q19=3,1,IF($Q19=4,1,0)),IF($F19&lt;=85,1,0))</formula>
    </cfRule>
  </conditionalFormatting>
  <conditionalFormatting sqref="AI19">
    <cfRule type="expression" dxfId="1543" priority="82">
      <formula>AND(IF(OR($Q19=1,$Q19=2),1,0),IF($X19&lt;=20,1,0))</formula>
    </cfRule>
    <cfRule type="expression" dxfId="1542" priority="83">
      <formula>AND(IF($Q19=2,1,0),IF($X19&lt;30,1,0))</formula>
    </cfRule>
    <cfRule type="expression" dxfId="1541" priority="84">
      <formula>AND(IF($Q19=3,1,0),IF($X19&lt;30,1,0))</formula>
    </cfRule>
    <cfRule type="expression" dxfId="1540" priority="85">
      <formula>AND(IF($Q19=3,1,IF($Q19=4,1,0)),IF($F19&lt;=85,1,0))</formula>
    </cfRule>
  </conditionalFormatting>
  <conditionalFormatting sqref="AV20">
    <cfRule type="expression" dxfId="1539" priority="80">
      <formula>AV20="X"</formula>
    </cfRule>
    <cfRule type="expression" dxfId="1538" priority="81">
      <formula>AV20="후보"</formula>
    </cfRule>
  </conditionalFormatting>
  <conditionalFormatting sqref="AC20">
    <cfRule type="cellIs" dxfId="1537" priority="77" operator="greaterThan">
      <formula>0.9</formula>
    </cfRule>
    <cfRule type="cellIs" dxfId="1536" priority="78" operator="greaterThan">
      <formula>0.85</formula>
    </cfRule>
  </conditionalFormatting>
  <conditionalFormatting sqref="N20">
    <cfRule type="cellIs" dxfId="1535" priority="75" operator="greaterThan">
      <formula>0.9</formula>
    </cfRule>
    <cfRule type="cellIs" dxfId="1534" priority="76" operator="greaterThan">
      <formula>0.85</formula>
    </cfRule>
  </conditionalFormatting>
  <conditionalFormatting sqref="E20">
    <cfRule type="expression" dxfId="1533" priority="71">
      <formula>AND(IF(OR($Q20=1,$Q20=2),1,0),IF($X20&lt;=20,1,0))</formula>
    </cfRule>
    <cfRule type="expression" dxfId="1532" priority="72">
      <formula>AND(IF($Q20=2,1,0),IF($X20&lt;30,1,0))</formula>
    </cfRule>
    <cfRule type="expression" dxfId="1531" priority="73">
      <formula>AND(IF($Q20=3,1,0),IF($X20&lt;30,1,0))</formula>
    </cfRule>
    <cfRule type="expression" dxfId="1530" priority="74">
      <formula>AND(IF($Q20=3,1,IF($Q20=4,1,0)),IF($F20&lt;=85,1,0))</formula>
    </cfRule>
  </conditionalFormatting>
  <conditionalFormatting sqref="X20">
    <cfRule type="expression" dxfId="1529" priority="67">
      <formula>AND(IF(OR($Q20=1,$Q20=2),1,0),IF($X20&lt;=20,1,0))</formula>
    </cfRule>
    <cfRule type="expression" dxfId="1528" priority="68">
      <formula>AND(IF($Q20=2,1,0),IF($X20&lt;30,1,0))</formula>
    </cfRule>
    <cfRule type="expression" dxfId="1527" priority="69">
      <formula>AND(IF($Q20=3,1,0),IF($X20&lt;30,1,0))</formula>
    </cfRule>
    <cfRule type="expression" dxfId="1526" priority="70">
      <formula>AND(IF($Q20=3,1,IF($Q20=4,1,0)),IF($F20&lt;=85,1,0))</formula>
    </cfRule>
  </conditionalFormatting>
  <conditionalFormatting sqref="AI20">
    <cfRule type="expression" dxfId="1525" priority="63">
      <formula>AND(IF(OR($Q20=1,$Q20=2),1,0),IF($X20&lt;=20,1,0))</formula>
    </cfRule>
    <cfRule type="expression" dxfId="1524" priority="64">
      <formula>AND(IF($Q20=2,1,0),IF($X20&lt;30,1,0))</formula>
    </cfRule>
    <cfRule type="expression" dxfId="1523" priority="65">
      <formula>AND(IF($Q20=3,1,0),IF($X20&lt;30,1,0))</formula>
    </cfRule>
    <cfRule type="expression" dxfId="1522" priority="66">
      <formula>AND(IF($Q20=3,1,IF($Q20=4,1,0)),IF($F20&lt;=85,1,0))</formula>
    </cfRule>
  </conditionalFormatting>
  <conditionalFormatting sqref="AV21">
    <cfRule type="expression" dxfId="1521" priority="61">
      <formula>AV21="X"</formula>
    </cfRule>
    <cfRule type="expression" dxfId="1520" priority="62">
      <formula>AV21="후보"</formula>
    </cfRule>
  </conditionalFormatting>
  <conditionalFormatting sqref="AC21 N21">
    <cfRule type="cellIs" dxfId="1519" priority="58" operator="greaterThan">
      <formula>0.9</formula>
    </cfRule>
    <cfRule type="cellIs" dxfId="1518" priority="59" operator="greaterThan">
      <formula>0.85</formula>
    </cfRule>
  </conditionalFormatting>
  <conditionalFormatting sqref="AV22">
    <cfRule type="expression" dxfId="1517" priority="56">
      <formula>AV22="X"</formula>
    </cfRule>
    <cfRule type="expression" dxfId="1516" priority="57">
      <formula>AV22="후보"</formula>
    </cfRule>
  </conditionalFormatting>
  <conditionalFormatting sqref="AC22">
    <cfRule type="cellIs" dxfId="1515" priority="53" operator="greaterThan">
      <formula>0.9</formula>
    </cfRule>
    <cfRule type="cellIs" dxfId="1514" priority="54" operator="greaterThan">
      <formula>0.85</formula>
    </cfRule>
  </conditionalFormatting>
  <conditionalFormatting sqref="N22">
    <cfRule type="cellIs" dxfId="1513" priority="51" operator="greaterThan">
      <formula>0.9</formula>
    </cfRule>
    <cfRule type="cellIs" dxfId="1512" priority="52" operator="greaterThan">
      <formula>0.85</formula>
    </cfRule>
  </conditionalFormatting>
  <conditionalFormatting sqref="E22">
    <cfRule type="expression" dxfId="1511" priority="47">
      <formula>AND(IF(OR($Q22=1,$Q22=2),1,0),IF($X22&lt;=20,1,0))</formula>
    </cfRule>
    <cfRule type="expression" dxfId="1510" priority="48">
      <formula>AND(IF($Q22=2,1,0),IF($X22&lt;30,1,0))</formula>
    </cfRule>
    <cfRule type="expression" dxfId="1509" priority="49">
      <formula>AND(IF($Q22=3,1,0),IF($X22&lt;30,1,0))</formula>
    </cfRule>
    <cfRule type="expression" dxfId="1508" priority="50">
      <formula>AND(IF($Q22=3,1,IF($Q22=4,1,0)),IF($F22&lt;=85,1,0))</formula>
    </cfRule>
  </conditionalFormatting>
  <conditionalFormatting sqref="X22">
    <cfRule type="expression" dxfId="1507" priority="43">
      <formula>AND(IF(OR($Q22=1,$Q22=2),1,0),IF($X22&lt;=20,1,0))</formula>
    </cfRule>
    <cfRule type="expression" dxfId="1506" priority="44">
      <formula>AND(IF($Q22=2,1,0),IF($X22&lt;30,1,0))</formula>
    </cfRule>
    <cfRule type="expression" dxfId="1505" priority="45">
      <formula>AND(IF($Q22=3,1,0),IF($X22&lt;30,1,0))</formula>
    </cfRule>
    <cfRule type="expression" dxfId="1504" priority="46">
      <formula>AND(IF($Q22=3,1,IF($Q22=4,1,0)),IF($F22&lt;=85,1,0))</formula>
    </cfRule>
  </conditionalFormatting>
  <conditionalFormatting sqref="AI22">
    <cfRule type="expression" dxfId="1503" priority="39">
      <formula>AND(IF(OR($Q22=1,$Q22=2),1,0),IF($X22&lt;=20,1,0))</formula>
    </cfRule>
    <cfRule type="expression" dxfId="1502" priority="40">
      <formula>AND(IF($Q22=2,1,0),IF($X22&lt;30,1,0))</formula>
    </cfRule>
    <cfRule type="expression" dxfId="1501" priority="41">
      <formula>AND(IF($Q22=3,1,0),IF($X22&lt;30,1,0))</formula>
    </cfRule>
    <cfRule type="expression" dxfId="1500" priority="42">
      <formula>AND(IF($Q22=3,1,IF($Q22=4,1,0)),IF($F22&lt;=85,1,0))</formula>
    </cfRule>
  </conditionalFormatting>
  <conditionalFormatting sqref="AV23">
    <cfRule type="expression" dxfId="1499" priority="37">
      <formula>AV23="X"</formula>
    </cfRule>
    <cfRule type="expression" dxfId="1498" priority="38">
      <formula>AV23="후보"</formula>
    </cfRule>
  </conditionalFormatting>
  <conditionalFormatting sqref="AC23">
    <cfRule type="cellIs" dxfId="1497" priority="34" operator="greaterThan">
      <formula>0.9</formula>
    </cfRule>
    <cfRule type="cellIs" dxfId="1496" priority="35" operator="greaterThan">
      <formula>0.85</formula>
    </cfRule>
  </conditionalFormatting>
  <conditionalFormatting sqref="N23">
    <cfRule type="cellIs" dxfId="1495" priority="32" operator="greaterThan">
      <formula>0.9</formula>
    </cfRule>
    <cfRule type="cellIs" dxfId="1494" priority="33" operator="greaterThan">
      <formula>0.85</formula>
    </cfRule>
  </conditionalFormatting>
  <conditionalFormatting sqref="E23">
    <cfRule type="expression" dxfId="1493" priority="28">
      <formula>AND(IF(OR($Q23=1,$Q23=2),1,0),IF($X23&lt;=20,1,0))</formula>
    </cfRule>
    <cfRule type="expression" dxfId="1492" priority="29">
      <formula>AND(IF($Q23=2,1,0),IF($X23&lt;30,1,0))</formula>
    </cfRule>
    <cfRule type="expression" dxfId="1491" priority="30">
      <formula>AND(IF($Q23=3,1,0),IF($X23&lt;30,1,0))</formula>
    </cfRule>
    <cfRule type="expression" dxfId="1490" priority="31">
      <formula>AND(IF($Q23=3,1,IF($Q23=4,1,0)),IF($F23&lt;=85,1,0))</formula>
    </cfRule>
  </conditionalFormatting>
  <conditionalFormatting sqref="X23">
    <cfRule type="expression" dxfId="1489" priority="24">
      <formula>AND(IF(OR($Q23=1,$Q23=2),1,0),IF($X23&lt;=20,1,0))</formula>
    </cfRule>
    <cfRule type="expression" dxfId="1488" priority="25">
      <formula>AND(IF($Q23=2,1,0),IF($X23&lt;30,1,0))</formula>
    </cfRule>
    <cfRule type="expression" dxfId="1487" priority="26">
      <formula>AND(IF($Q23=3,1,0),IF($X23&lt;30,1,0))</formula>
    </cfRule>
    <cfRule type="expression" dxfId="1486" priority="27">
      <formula>AND(IF($Q23=3,1,IF($Q23=4,1,0)),IF($F23&lt;=85,1,0))</formula>
    </cfRule>
  </conditionalFormatting>
  <conditionalFormatting sqref="AI23">
    <cfRule type="expression" dxfId="1485" priority="20">
      <formula>AND(IF(OR($Q23=1,$Q23=2),1,0),IF($X23&lt;=20,1,0))</formula>
    </cfRule>
    <cfRule type="expression" dxfId="1484" priority="21">
      <formula>AND(IF($Q23=2,1,0),IF($X23&lt;30,1,0))</formula>
    </cfRule>
    <cfRule type="expression" dxfId="1483" priority="22">
      <formula>AND(IF($Q23=3,1,0),IF($X23&lt;30,1,0))</formula>
    </cfRule>
    <cfRule type="expression" dxfId="1482" priority="23">
      <formula>AND(IF($Q23=3,1,IF($Q23=4,1,0)),IF($F23&lt;=85,1,0))</formula>
    </cfRule>
  </conditionalFormatting>
  <conditionalFormatting sqref="AV24">
    <cfRule type="expression" dxfId="1481" priority="18">
      <formula>AV24="X"</formula>
    </cfRule>
    <cfRule type="expression" dxfId="1480" priority="19">
      <formula>AV24="후보"</formula>
    </cfRule>
  </conditionalFormatting>
  <conditionalFormatting sqref="AC24">
    <cfRule type="cellIs" dxfId="1479" priority="15" operator="greaterThan">
      <formula>0.9</formula>
    </cfRule>
    <cfRule type="cellIs" dxfId="1478" priority="16" operator="greaterThan">
      <formula>0.85</formula>
    </cfRule>
  </conditionalFormatting>
  <conditionalFormatting sqref="N24">
    <cfRule type="cellIs" dxfId="1477" priority="13" operator="greaterThan">
      <formula>0.9</formula>
    </cfRule>
    <cfRule type="cellIs" dxfId="1476" priority="14" operator="greaterThan">
      <formula>0.85</formula>
    </cfRule>
  </conditionalFormatting>
  <conditionalFormatting sqref="E24">
    <cfRule type="expression" dxfId="1475" priority="9">
      <formula>AND(IF(OR($Q24=1,$Q24=2),1,0),IF($X24&lt;=20,1,0))</formula>
    </cfRule>
    <cfRule type="expression" dxfId="1474" priority="10">
      <formula>AND(IF($Q24=2,1,0),IF($X24&lt;30,1,0))</formula>
    </cfRule>
    <cfRule type="expression" dxfId="1473" priority="11">
      <formula>AND(IF($Q24=3,1,0),IF($X24&lt;30,1,0))</formula>
    </cfRule>
    <cfRule type="expression" dxfId="1472" priority="12">
      <formula>AND(IF($Q24=3,1,IF($Q24=4,1,0)),IF($F24&lt;=85,1,0))</formula>
    </cfRule>
  </conditionalFormatting>
  <conditionalFormatting sqref="X24">
    <cfRule type="expression" dxfId="1471" priority="5">
      <formula>AND(IF(OR($Q24=1,$Q24=2),1,0),IF($X24&lt;=20,1,0))</formula>
    </cfRule>
    <cfRule type="expression" dxfId="1470" priority="6">
      <formula>AND(IF($Q24=2,1,0),IF($X24&lt;30,1,0))</formula>
    </cfRule>
    <cfRule type="expression" dxfId="1469" priority="7">
      <formula>AND(IF($Q24=3,1,0),IF($X24&lt;30,1,0))</formula>
    </cfRule>
    <cfRule type="expression" dxfId="1468" priority="8">
      <formula>AND(IF($Q24=3,1,IF($Q24=4,1,0)),IF($F24&lt;=85,1,0))</formula>
    </cfRule>
  </conditionalFormatting>
  <conditionalFormatting sqref="AI24">
    <cfRule type="expression" dxfId="1467" priority="1">
      <formula>AND(IF(OR($Q24=1,$Q24=2),1,0),IF($X24&lt;=20,1,0))</formula>
    </cfRule>
    <cfRule type="expression" dxfId="1466" priority="2">
      <formula>AND(IF($Q24=2,1,0),IF($X24&lt;30,1,0))</formula>
    </cfRule>
    <cfRule type="expression" dxfId="1465" priority="3">
      <formula>AND(IF($Q24=3,1,0),IF($X24&lt;30,1,0))</formula>
    </cfRule>
    <cfRule type="expression" dxfId="1464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율량동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율량동 삼정2차('92.06.,275^)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653</v>
      </c>
      <c r="B6" s="10" t="s">
        <v>929</v>
      </c>
      <c r="C6" s="89">
        <v>275</v>
      </c>
      <c r="D6" s="87">
        <v>104</v>
      </c>
      <c r="E6" s="88">
        <v>31</v>
      </c>
      <c r="F6" s="87">
        <v>84.6</v>
      </c>
      <c r="G6" s="17">
        <v>26</v>
      </c>
      <c r="H6" s="89">
        <v>196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104</v>
      </c>
      <c r="U6" s="9"/>
      <c r="W6" s="87">
        <f>D6</f>
        <v>104</v>
      </c>
      <c r="X6" s="88">
        <f>E6</f>
        <v>31</v>
      </c>
      <c r="Y6" s="93">
        <f>H6</f>
        <v>196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삼정2차</v>
      </c>
      <c r="AI6" s="88">
        <f t="shared" si="0"/>
        <v>31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653</v>
      </c>
      <c r="B7" s="10" t="s">
        <v>929</v>
      </c>
      <c r="C7" s="89">
        <v>275</v>
      </c>
      <c r="D7" s="87">
        <v>140.80000000000001</v>
      </c>
      <c r="E7" s="88">
        <v>43</v>
      </c>
      <c r="F7" s="87">
        <v>116.6</v>
      </c>
      <c r="G7" s="17">
        <v>35</v>
      </c>
      <c r="H7" s="89">
        <v>79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4</v>
      </c>
      <c r="R7" s="80">
        <v>2</v>
      </c>
      <c r="S7" s="80" t="s">
        <v>61</v>
      </c>
      <c r="T7" s="5">
        <v>140</v>
      </c>
      <c r="U7" s="9"/>
      <c r="W7" s="87">
        <f>D7</f>
        <v>140.80000000000001</v>
      </c>
      <c r="X7" s="88">
        <f>E7</f>
        <v>43</v>
      </c>
      <c r="Y7" s="93">
        <f>H7</f>
        <v>79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80" t="str">
        <f>S7</f>
        <v>계</v>
      </c>
      <c r="AF7" s="80" t="str">
        <f>Q7&amp;"/"&amp;R7</f>
        <v>4/2</v>
      </c>
      <c r="AH7" s="20" t="str">
        <f t="shared" si="1"/>
        <v>삼정2차</v>
      </c>
      <c r="AI7" s="88">
        <f t="shared" si="0"/>
        <v>43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율량동 대원칸타빌4차('15.12.,614^)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658</v>
      </c>
      <c r="B9" s="10" t="s">
        <v>930</v>
      </c>
      <c r="C9" s="89">
        <v>614</v>
      </c>
      <c r="D9" s="87">
        <v>110.6</v>
      </c>
      <c r="E9" s="88">
        <v>33</v>
      </c>
      <c r="F9" s="87">
        <v>84.9</v>
      </c>
      <c r="G9" s="17">
        <v>26</v>
      </c>
      <c r="H9" s="89">
        <v>203</v>
      </c>
      <c r="I9" s="90">
        <v>44000</v>
      </c>
      <c r="J9" s="90" t="s">
        <v>64</v>
      </c>
      <c r="K9" s="90">
        <v>36000</v>
      </c>
      <c r="L9" s="90" t="s">
        <v>68</v>
      </c>
      <c r="M9" s="91">
        <f>I9-K9</f>
        <v>8000</v>
      </c>
      <c r="N9" s="4">
        <f>IF(ISERROR(K9/I9),"",K9/I9)</f>
        <v>0.81818181818181823</v>
      </c>
      <c r="O9" s="92">
        <f>I9/E9</f>
        <v>1333.3333333333333</v>
      </c>
      <c r="P9" s="92">
        <f>K9/E9</f>
        <v>1090.909090909091</v>
      </c>
      <c r="Q9" s="80">
        <v>3</v>
      </c>
      <c r="R9" s="80">
        <v>2</v>
      </c>
      <c r="S9" s="80" t="s">
        <v>61</v>
      </c>
      <c r="T9" s="5" t="s">
        <v>107</v>
      </c>
      <c r="U9" s="9"/>
      <c r="W9" s="87">
        <f t="shared" ref="W9:X13" si="3">D9</f>
        <v>110.6</v>
      </c>
      <c r="X9" s="88">
        <f t="shared" si="3"/>
        <v>33</v>
      </c>
      <c r="Y9" s="93">
        <f t="shared" ref="Y9:Z13" si="4">H9</f>
        <v>203</v>
      </c>
      <c r="Z9" s="91">
        <f t="shared" si="4"/>
        <v>44000</v>
      </c>
      <c r="AA9" s="91">
        <f>K9</f>
        <v>36000</v>
      </c>
      <c r="AB9" s="91">
        <f t="shared" ref="AB9:AD13" si="5">M9</f>
        <v>8000</v>
      </c>
      <c r="AC9" s="4">
        <f t="shared" si="5"/>
        <v>0.81818181818181823</v>
      </c>
      <c r="AD9" s="92">
        <f t="shared" si="5"/>
        <v>1333.3333333333333</v>
      </c>
      <c r="AE9" s="80" t="str">
        <f>S9</f>
        <v>계</v>
      </c>
      <c r="AF9" s="80" t="str">
        <f>Q9&amp;"/"&amp;R9</f>
        <v>3/2</v>
      </c>
      <c r="AH9" s="20" t="str">
        <f t="shared" si="1"/>
        <v>대원칸타빌4차</v>
      </c>
      <c r="AI9" s="88">
        <f t="shared" si="0"/>
        <v>33</v>
      </c>
      <c r="AJ9" s="80" t="str">
        <f>IF(AI9="","",$AJ$2)</f>
        <v>A-</v>
      </c>
      <c r="AK9" s="80" t="s">
        <v>13</v>
      </c>
      <c r="AL9" s="80" t="s">
        <v>62</v>
      </c>
      <c r="AM9" s="80" t="s">
        <v>63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X</v>
      </c>
      <c r="AR9" s="80" t="str">
        <f>IF(M9="","",IF(M9&lt;=$AR$1,"O","X"))</f>
        <v>X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  <row r="10" spans="1:48" x14ac:dyDescent="0.3">
      <c r="A10" s="9" t="s">
        <v>658</v>
      </c>
      <c r="B10" s="10" t="s">
        <v>930</v>
      </c>
      <c r="C10" s="89">
        <v>614</v>
      </c>
      <c r="D10" s="87">
        <v>110.2</v>
      </c>
      <c r="E10" s="88">
        <v>33</v>
      </c>
      <c r="F10" s="87">
        <v>84.8</v>
      </c>
      <c r="G10" s="17">
        <v>26</v>
      </c>
      <c r="H10" s="89">
        <v>89</v>
      </c>
      <c r="I10" s="90">
        <v>43000</v>
      </c>
      <c r="J10" s="90" t="s">
        <v>77</v>
      </c>
      <c r="K10" s="90"/>
      <c r="L10" s="90"/>
      <c r="M10" s="91">
        <f>I10-K10</f>
        <v>43000</v>
      </c>
      <c r="N10" s="4">
        <f>IF(ISERROR(K10/I10),"",K10/I10)</f>
        <v>0</v>
      </c>
      <c r="O10" s="92">
        <f>I10/E10</f>
        <v>1303.030303030303</v>
      </c>
      <c r="P10" s="92">
        <f>K10/E10</f>
        <v>0</v>
      </c>
      <c r="Q10" s="80">
        <v>3</v>
      </c>
      <c r="R10" s="80">
        <v>2</v>
      </c>
      <c r="S10" s="80" t="s">
        <v>61</v>
      </c>
      <c r="T10" s="5" t="s">
        <v>663</v>
      </c>
      <c r="U10" s="9"/>
      <c r="W10" s="87">
        <f t="shared" si="3"/>
        <v>110.2</v>
      </c>
      <c r="X10" s="88">
        <f t="shared" si="3"/>
        <v>33</v>
      </c>
      <c r="Y10" s="93">
        <f t="shared" si="4"/>
        <v>89</v>
      </c>
      <c r="Z10" s="91">
        <f t="shared" si="4"/>
        <v>43000</v>
      </c>
      <c r="AA10" s="91">
        <f>K10</f>
        <v>0</v>
      </c>
      <c r="AB10" s="91">
        <f t="shared" si="5"/>
        <v>43000</v>
      </c>
      <c r="AC10" s="4">
        <f t="shared" si="5"/>
        <v>0</v>
      </c>
      <c r="AD10" s="92">
        <f t="shared" si="5"/>
        <v>1303.030303030303</v>
      </c>
      <c r="AE10" s="80" t="str">
        <f>S10</f>
        <v>계</v>
      </c>
      <c r="AF10" s="80" t="str">
        <f>Q10&amp;"/"&amp;R10</f>
        <v>3/2</v>
      </c>
      <c r="AH10" s="20" t="str">
        <f t="shared" si="1"/>
        <v>대원칸타빌4차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658</v>
      </c>
      <c r="B11" s="10" t="s">
        <v>930</v>
      </c>
      <c r="C11" s="89">
        <v>614</v>
      </c>
      <c r="D11" s="87">
        <v>111.9</v>
      </c>
      <c r="E11" s="88">
        <v>34</v>
      </c>
      <c r="F11" s="87">
        <v>84.9</v>
      </c>
      <c r="G11" s="17">
        <v>26</v>
      </c>
      <c r="H11" s="89">
        <v>115</v>
      </c>
      <c r="I11" s="90">
        <v>42000</v>
      </c>
      <c r="J11" s="90" t="s">
        <v>70</v>
      </c>
      <c r="K11" s="90"/>
      <c r="L11" s="90"/>
      <c r="M11" s="91">
        <f>I11-K11</f>
        <v>42000</v>
      </c>
      <c r="N11" s="4">
        <f>IF(ISERROR(K11/I11),"",K11/I11)</f>
        <v>0</v>
      </c>
      <c r="O11" s="92">
        <f>I11/E11</f>
        <v>1235.2941176470588</v>
      </c>
      <c r="P11" s="92">
        <f>K11/E11</f>
        <v>0</v>
      </c>
      <c r="Q11" s="80">
        <v>3</v>
      </c>
      <c r="R11" s="80">
        <v>2</v>
      </c>
      <c r="S11" s="80" t="s">
        <v>61</v>
      </c>
      <c r="T11" s="5" t="s">
        <v>664</v>
      </c>
      <c r="U11" s="9"/>
      <c r="W11" s="87">
        <f t="shared" si="3"/>
        <v>111.9</v>
      </c>
      <c r="X11" s="88">
        <f t="shared" si="3"/>
        <v>34</v>
      </c>
      <c r="Y11" s="93">
        <f t="shared" si="4"/>
        <v>115</v>
      </c>
      <c r="Z11" s="91">
        <f t="shared" si="4"/>
        <v>42000</v>
      </c>
      <c r="AA11" s="91">
        <f>K11</f>
        <v>0</v>
      </c>
      <c r="AB11" s="91">
        <f t="shared" si="5"/>
        <v>42000</v>
      </c>
      <c r="AC11" s="4">
        <f t="shared" si="5"/>
        <v>0</v>
      </c>
      <c r="AD11" s="92">
        <f t="shared" si="5"/>
        <v>1235.2941176470588</v>
      </c>
      <c r="AE11" s="80" t="str">
        <f>S11</f>
        <v>계</v>
      </c>
      <c r="AF11" s="80" t="str">
        <f>Q11&amp;"/"&amp;R11</f>
        <v>3/2</v>
      </c>
      <c r="AH11" s="20" t="str">
        <f t="shared" si="1"/>
        <v>대원칸타빌4차</v>
      </c>
      <c r="AI11" s="88">
        <f t="shared" si="0"/>
        <v>34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 t="s">
        <v>658</v>
      </c>
      <c r="B12" s="10" t="s">
        <v>930</v>
      </c>
      <c r="C12" s="89">
        <v>614</v>
      </c>
      <c r="D12" s="87">
        <v>131.30000000000001</v>
      </c>
      <c r="E12" s="88">
        <v>40</v>
      </c>
      <c r="F12" s="87">
        <v>105.6</v>
      </c>
      <c r="G12" s="17">
        <v>32</v>
      </c>
      <c r="H12" s="89">
        <v>198</v>
      </c>
      <c r="I12" s="90"/>
      <c r="J12" s="90"/>
      <c r="K12" s="90"/>
      <c r="L12" s="90"/>
      <c r="M12" s="91">
        <f>I12-K12</f>
        <v>0</v>
      </c>
      <c r="N12" s="4" t="str">
        <f>IF(ISERROR(K12/I12),"",K12/I12)</f>
        <v/>
      </c>
      <c r="O12" s="92">
        <f>I12/E12</f>
        <v>0</v>
      </c>
      <c r="P12" s="92">
        <f>K12/E12</f>
        <v>0</v>
      </c>
      <c r="Q12" s="80">
        <v>3</v>
      </c>
      <c r="R12" s="80">
        <v>2</v>
      </c>
      <c r="S12" s="80" t="s">
        <v>61</v>
      </c>
      <c r="T12" s="5">
        <v>131</v>
      </c>
      <c r="U12" s="9"/>
      <c r="W12" s="87">
        <f t="shared" si="3"/>
        <v>131.30000000000001</v>
      </c>
      <c r="X12" s="88">
        <f t="shared" si="3"/>
        <v>40</v>
      </c>
      <c r="Y12" s="93">
        <f t="shared" si="4"/>
        <v>198</v>
      </c>
      <c r="Z12" s="91">
        <f t="shared" si="4"/>
        <v>0</v>
      </c>
      <c r="AA12" s="91">
        <f>K12</f>
        <v>0</v>
      </c>
      <c r="AB12" s="91">
        <f t="shared" si="5"/>
        <v>0</v>
      </c>
      <c r="AC12" s="4" t="str">
        <f t="shared" si="5"/>
        <v/>
      </c>
      <c r="AD12" s="92">
        <f t="shared" si="5"/>
        <v>0</v>
      </c>
      <c r="AE12" s="80" t="str">
        <f>S12</f>
        <v>계</v>
      </c>
      <c r="AF12" s="80" t="str">
        <f>Q12&amp;"/"&amp;R12</f>
        <v>3/2</v>
      </c>
      <c r="AH12" s="20" t="str">
        <f t="shared" si="1"/>
        <v>대원칸타빌4차</v>
      </c>
      <c r="AI12" s="88">
        <f t="shared" si="0"/>
        <v>40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/>
      </c>
      <c r="AP12" s="80" t="str">
        <f>IF(I12="","",IF(I12&lt;=$AP$1,"O","X"))</f>
        <v/>
      </c>
      <c r="AQ12" s="80" t="str">
        <f>IF(O12="","",IF(O12&lt;=$AQ$1,"O","X"))</f>
        <v>O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X</v>
      </c>
      <c r="AU12" s="80" t="str">
        <f>IF(C12="","",IF(C12&gt;=$AU$1,"O","X"))</f>
        <v>O</v>
      </c>
      <c r="AV12" s="80" t="str">
        <f>IF(AO12="","",IF(AND(AO12="O",AP12="O",AR12="O",AT12="O",AU12="O"),"후보","X"))</f>
        <v/>
      </c>
    </row>
    <row r="13" spans="1:48" x14ac:dyDescent="0.3">
      <c r="A13" s="9" t="s">
        <v>658</v>
      </c>
      <c r="B13" s="10" t="s">
        <v>930</v>
      </c>
      <c r="C13" s="89">
        <v>614</v>
      </c>
      <c r="D13" s="87">
        <v>163.69999999999999</v>
      </c>
      <c r="E13" s="88">
        <v>50</v>
      </c>
      <c r="F13" s="87">
        <v>131</v>
      </c>
      <c r="G13" s="17">
        <v>40</v>
      </c>
      <c r="H13" s="89">
        <v>9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5</v>
      </c>
      <c r="R13" s="80">
        <v>4</v>
      </c>
      <c r="S13" s="80" t="s">
        <v>61</v>
      </c>
      <c r="T13" s="5">
        <v>163</v>
      </c>
      <c r="U13" s="9"/>
      <c r="W13" s="87">
        <f t="shared" si="3"/>
        <v>163.69999999999999</v>
      </c>
      <c r="X13" s="88">
        <f t="shared" si="3"/>
        <v>50</v>
      </c>
      <c r="Y13" s="93">
        <f t="shared" si="4"/>
        <v>9</v>
      </c>
      <c r="Z13" s="91">
        <f t="shared" si="4"/>
        <v>0</v>
      </c>
      <c r="AA13" s="91">
        <f>K13</f>
        <v>0</v>
      </c>
      <c r="AB13" s="91">
        <f t="shared" si="5"/>
        <v>0</v>
      </c>
      <c r="AC13" s="4" t="str">
        <f t="shared" si="5"/>
        <v/>
      </c>
      <c r="AD13" s="92">
        <f t="shared" si="5"/>
        <v>0</v>
      </c>
      <c r="AE13" s="80" t="str">
        <f>S13</f>
        <v>계</v>
      </c>
      <c r="AF13" s="80" t="str">
        <f>Q13&amp;"/"&amp;R13</f>
        <v>5/4</v>
      </c>
      <c r="AH13" s="20" t="str">
        <f t="shared" si="1"/>
        <v>대원칸타빌4차</v>
      </c>
      <c r="AI13" s="88">
        <f t="shared" si="0"/>
        <v>50</v>
      </c>
      <c r="AJ13" s="80" t="str">
        <f>IF(AI13="","",$AJ$2)</f>
        <v>A-</v>
      </c>
      <c r="AK13" s="80" t="s">
        <v>13</v>
      </c>
      <c r="AL13" s="80" t="s">
        <v>62</v>
      </c>
      <c r="AM13" s="80" t="s">
        <v>63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X</v>
      </c>
      <c r="AU13" s="80" t="str">
        <f>IF(C13="","",IF(C13&gt;=$AU$1,"O","X"))</f>
        <v>O</v>
      </c>
      <c r="AV13" s="80" t="str">
        <f>IF(AO13="","",IF(AND(AO13="O",AP13="O",AR13="O",AT13="O",AU13="O"),"후보","X"))</f>
        <v/>
      </c>
    </row>
    <row r="14" spans="1:48" x14ac:dyDescent="0.3">
      <c r="A14" s="9"/>
      <c r="B14" s="80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8" t="str">
        <f>$A$4&amp;" "&amp;A15&amp;"("&amp;B15&amp;","&amp;C15&amp;"^)"</f>
        <v>율량동 삼정1차('91.07.,218^)</v>
      </c>
      <c r="X14" s="69"/>
      <c r="Y14" s="69"/>
      <c r="Z14" s="69"/>
      <c r="AA14" s="69"/>
      <c r="AB14" s="69"/>
      <c r="AC14" s="69"/>
      <c r="AD14" s="69"/>
      <c r="AE14" s="69"/>
      <c r="AF14" s="70"/>
      <c r="AH14" s="20" t="str">
        <f t="shared" si="1"/>
        <v/>
      </c>
      <c r="AI14" s="112" t="str">
        <f t="shared" si="0"/>
        <v/>
      </c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</row>
    <row r="15" spans="1:48" x14ac:dyDescent="0.3">
      <c r="A15" s="9" t="s">
        <v>665</v>
      </c>
      <c r="B15" s="10" t="s">
        <v>931</v>
      </c>
      <c r="C15" s="89">
        <v>218</v>
      </c>
      <c r="D15" s="87">
        <v>84.5</v>
      </c>
      <c r="E15" s="88">
        <v>26</v>
      </c>
      <c r="F15" s="87">
        <v>70.8</v>
      </c>
      <c r="G15" s="17">
        <v>21</v>
      </c>
      <c r="H15" s="89">
        <v>72</v>
      </c>
      <c r="I15" s="90"/>
      <c r="J15" s="90"/>
      <c r="K15" s="90"/>
      <c r="L15" s="90"/>
      <c r="M15" s="91">
        <f>I15-K15</f>
        <v>0</v>
      </c>
      <c r="N15" s="4" t="str">
        <f>IF(ISERROR(K15/I15),"",K15/I15)</f>
        <v/>
      </c>
      <c r="O15" s="92">
        <f>I15/E15</f>
        <v>0</v>
      </c>
      <c r="P15" s="92">
        <f>K15/E15</f>
        <v>0</v>
      </c>
      <c r="Q15" s="80">
        <v>3</v>
      </c>
      <c r="R15" s="80">
        <v>1</v>
      </c>
      <c r="S15" s="80" t="s">
        <v>61</v>
      </c>
      <c r="T15" s="5">
        <v>84</v>
      </c>
      <c r="U15" s="9"/>
      <c r="W15" s="87">
        <f>D15</f>
        <v>84.5</v>
      </c>
      <c r="X15" s="88">
        <f>E15</f>
        <v>26</v>
      </c>
      <c r="Y15" s="93">
        <f>H15</f>
        <v>72</v>
      </c>
      <c r="Z15" s="91">
        <f>I15</f>
        <v>0</v>
      </c>
      <c r="AA15" s="91">
        <f>K15</f>
        <v>0</v>
      </c>
      <c r="AB15" s="91">
        <f t="shared" ref="AB15:AD16" si="6">M15</f>
        <v>0</v>
      </c>
      <c r="AC15" s="4" t="str">
        <f t="shared" si="6"/>
        <v/>
      </c>
      <c r="AD15" s="92">
        <f t="shared" si="6"/>
        <v>0</v>
      </c>
      <c r="AE15" s="80" t="str">
        <f>S15</f>
        <v>계</v>
      </c>
      <c r="AF15" s="80" t="str">
        <f>Q15&amp;"/"&amp;R15</f>
        <v>3/1</v>
      </c>
      <c r="AH15" s="20" t="str">
        <f t="shared" si="1"/>
        <v>삼정1차</v>
      </c>
      <c r="AI15" s="88">
        <f t="shared" si="0"/>
        <v>26</v>
      </c>
      <c r="AJ15" s="80" t="str">
        <f>IF(AI15="","",$AJ$2)</f>
        <v>A-</v>
      </c>
      <c r="AK15" s="80" t="s">
        <v>13</v>
      </c>
      <c r="AL15" s="80" t="s">
        <v>62</v>
      </c>
      <c r="AM15" s="80" t="s">
        <v>63</v>
      </c>
      <c r="AN15" s="80" t="str">
        <f>IF(AI15="","",$AN$2)</f>
        <v>C</v>
      </c>
      <c r="AO15" s="80" t="str">
        <f>IF(N15="","",IF(N15&gt;=$AO$1/100,"O","X"))</f>
        <v/>
      </c>
      <c r="AP15" s="80" t="str">
        <f>IF(I15="","",IF(I15&lt;=$AP$1,"O","X"))</f>
        <v/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X</v>
      </c>
      <c r="AV15" s="80" t="str">
        <f>IF(AO15="","",IF(AND(AO15="O",AP15="O",AR15="O",AT15="O",AU15="O"),"후보","X"))</f>
        <v/>
      </c>
    </row>
    <row r="16" spans="1:48" x14ac:dyDescent="0.3">
      <c r="A16" s="9" t="s">
        <v>665</v>
      </c>
      <c r="B16" s="10" t="s">
        <v>931</v>
      </c>
      <c r="C16" s="89">
        <v>218</v>
      </c>
      <c r="D16" s="87">
        <v>85.8</v>
      </c>
      <c r="E16" s="88">
        <v>26</v>
      </c>
      <c r="F16" s="87">
        <v>72.400000000000006</v>
      </c>
      <c r="G16" s="17">
        <v>22</v>
      </c>
      <c r="H16" s="89">
        <v>146</v>
      </c>
      <c r="I16" s="90"/>
      <c r="J16" s="90"/>
      <c r="K16" s="90"/>
      <c r="L16" s="90"/>
      <c r="M16" s="91">
        <f>I16-K16</f>
        <v>0</v>
      </c>
      <c r="N16" s="4" t="str">
        <f>IF(ISERROR(K16/I16),"",K16/I16)</f>
        <v/>
      </c>
      <c r="O16" s="92">
        <f>I16/E16</f>
        <v>0</v>
      </c>
      <c r="P16" s="92">
        <f>K16/E16</f>
        <v>0</v>
      </c>
      <c r="Q16" s="80">
        <v>3</v>
      </c>
      <c r="R16" s="80">
        <v>1</v>
      </c>
      <c r="S16" s="80" t="s">
        <v>61</v>
      </c>
      <c r="T16" s="5">
        <v>85</v>
      </c>
      <c r="U16" s="9"/>
      <c r="W16" s="87">
        <f>D16</f>
        <v>85.8</v>
      </c>
      <c r="X16" s="88">
        <f>E16</f>
        <v>26</v>
      </c>
      <c r="Y16" s="93">
        <f>H16</f>
        <v>146</v>
      </c>
      <c r="Z16" s="91">
        <f>I16</f>
        <v>0</v>
      </c>
      <c r="AA16" s="91">
        <f>K16</f>
        <v>0</v>
      </c>
      <c r="AB16" s="91">
        <f t="shared" si="6"/>
        <v>0</v>
      </c>
      <c r="AC16" s="4" t="str">
        <f t="shared" si="6"/>
        <v/>
      </c>
      <c r="AD16" s="92">
        <f t="shared" si="6"/>
        <v>0</v>
      </c>
      <c r="AE16" s="80" t="str">
        <f>S16</f>
        <v>계</v>
      </c>
      <c r="AF16" s="80" t="str">
        <f>Q16&amp;"/"&amp;R16</f>
        <v>3/1</v>
      </c>
      <c r="AH16" s="20" t="str">
        <f t="shared" si="1"/>
        <v>삼정1차</v>
      </c>
      <c r="AI16" s="88">
        <f t="shared" si="0"/>
        <v>26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/>
      </c>
      <c r="AP16" s="80" t="str">
        <f>IF(I16="","",IF(I16&lt;=$AP$1,"O","X"))</f>
        <v/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X</v>
      </c>
      <c r="AV16" s="80" t="str">
        <f>IF(AO16="","",IF(AND(AO16="O",AP16="O",AR16="O",AT16="O",AU16="O"),"후보","X"))</f>
        <v/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율량동 현대('92.10.,489^)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670</v>
      </c>
      <c r="B18" s="10" t="s">
        <v>932</v>
      </c>
      <c r="C18" s="89">
        <v>489</v>
      </c>
      <c r="D18" s="87">
        <v>69.2</v>
      </c>
      <c r="E18" s="88">
        <v>21</v>
      </c>
      <c r="F18" s="87">
        <v>59.8</v>
      </c>
      <c r="G18" s="17">
        <v>18</v>
      </c>
      <c r="H18" s="89">
        <v>176</v>
      </c>
      <c r="I18" s="90">
        <v>16500</v>
      </c>
      <c r="J18" s="90" t="s">
        <v>73</v>
      </c>
      <c r="K18" s="90"/>
      <c r="L18" s="90"/>
      <c r="M18" s="91">
        <f>I18-K18</f>
        <v>16500</v>
      </c>
      <c r="N18" s="4">
        <f>IF(ISERROR(K18/I18),"",K18/I18)</f>
        <v>0</v>
      </c>
      <c r="O18" s="92">
        <f>I18/E18</f>
        <v>785.71428571428567</v>
      </c>
      <c r="P18" s="92">
        <f>K18/E18</f>
        <v>0</v>
      </c>
      <c r="Q18" s="80">
        <v>3</v>
      </c>
      <c r="R18" s="80">
        <v>1</v>
      </c>
      <c r="S18" s="80" t="s">
        <v>61</v>
      </c>
      <c r="T18" s="5">
        <v>69</v>
      </c>
      <c r="U18" s="9"/>
      <c r="W18" s="87">
        <f t="shared" ref="W18:X20" si="7">D18</f>
        <v>69.2</v>
      </c>
      <c r="X18" s="88">
        <f t="shared" si="7"/>
        <v>21</v>
      </c>
      <c r="Y18" s="93">
        <f t="shared" ref="Y18:Z20" si="8">H18</f>
        <v>176</v>
      </c>
      <c r="Z18" s="91">
        <f t="shared" si="8"/>
        <v>16500</v>
      </c>
      <c r="AA18" s="91">
        <f>K18</f>
        <v>0</v>
      </c>
      <c r="AB18" s="91">
        <f t="shared" ref="AB18:AD20" si="9">M18</f>
        <v>16500</v>
      </c>
      <c r="AC18" s="4">
        <f t="shared" si="9"/>
        <v>0</v>
      </c>
      <c r="AD18" s="92">
        <f t="shared" si="9"/>
        <v>785.71428571428567</v>
      </c>
      <c r="AE18" s="80" t="str">
        <f>S18</f>
        <v>계</v>
      </c>
      <c r="AF18" s="80" t="str">
        <f>Q18&amp;"/"&amp;R18</f>
        <v>3/1</v>
      </c>
      <c r="AH18" s="20" t="str">
        <f t="shared" si="1"/>
        <v>현대</v>
      </c>
      <c r="AI18" s="88">
        <f t="shared" si="0"/>
        <v>21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670</v>
      </c>
      <c r="B19" s="10" t="s">
        <v>932</v>
      </c>
      <c r="C19" s="89">
        <v>489</v>
      </c>
      <c r="D19" s="87">
        <v>97.6</v>
      </c>
      <c r="E19" s="88">
        <v>30</v>
      </c>
      <c r="F19" s="87">
        <v>84.4</v>
      </c>
      <c r="G19" s="17">
        <v>26</v>
      </c>
      <c r="H19" s="89">
        <v>228</v>
      </c>
      <c r="I19" s="90">
        <v>21000</v>
      </c>
      <c r="J19" s="90" t="s">
        <v>69</v>
      </c>
      <c r="K19" s="90"/>
      <c r="L19" s="90"/>
      <c r="M19" s="91">
        <f>I19-K19</f>
        <v>21000</v>
      </c>
      <c r="N19" s="4">
        <f>IF(ISERROR(K19/I19),"",K19/I19)</f>
        <v>0</v>
      </c>
      <c r="O19" s="92">
        <f>I19/E19</f>
        <v>700</v>
      </c>
      <c r="P19" s="92">
        <f>K19/E19</f>
        <v>0</v>
      </c>
      <c r="Q19" s="80">
        <v>3</v>
      </c>
      <c r="R19" s="80">
        <v>2</v>
      </c>
      <c r="S19" s="80" t="s">
        <v>61</v>
      </c>
      <c r="T19" s="5">
        <v>97</v>
      </c>
      <c r="U19" s="9"/>
      <c r="W19" s="87">
        <f t="shared" si="7"/>
        <v>97.6</v>
      </c>
      <c r="X19" s="88">
        <f t="shared" si="7"/>
        <v>30</v>
      </c>
      <c r="Y19" s="93">
        <f t="shared" si="8"/>
        <v>228</v>
      </c>
      <c r="Z19" s="91">
        <f t="shared" si="8"/>
        <v>21000</v>
      </c>
      <c r="AA19" s="91">
        <f>K19</f>
        <v>0</v>
      </c>
      <c r="AB19" s="91">
        <f t="shared" si="9"/>
        <v>21000</v>
      </c>
      <c r="AC19" s="4">
        <f t="shared" si="9"/>
        <v>0</v>
      </c>
      <c r="AD19" s="92">
        <f t="shared" si="9"/>
        <v>700</v>
      </c>
      <c r="AE19" s="80" t="str">
        <f>S19</f>
        <v>계</v>
      </c>
      <c r="AF19" s="80" t="str">
        <f>Q19&amp;"/"&amp;R19</f>
        <v>3/2</v>
      </c>
      <c r="AH19" s="20" t="str">
        <f t="shared" si="1"/>
        <v>현대</v>
      </c>
      <c r="AI19" s="88">
        <f t="shared" si="0"/>
        <v>30</v>
      </c>
      <c r="AJ19" s="80" t="str">
        <f>IF(AI19="","",$AJ$2)</f>
        <v>A-</v>
      </c>
      <c r="AK19" s="80" t="s">
        <v>13</v>
      </c>
      <c r="AL19" s="80" t="s">
        <v>62</v>
      </c>
      <c r="AM19" s="80" t="s">
        <v>63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 t="s">
        <v>670</v>
      </c>
      <c r="B20" s="10" t="s">
        <v>932</v>
      </c>
      <c r="C20" s="89">
        <v>489</v>
      </c>
      <c r="D20" s="87">
        <v>154.80000000000001</v>
      </c>
      <c r="E20" s="88">
        <v>47</v>
      </c>
      <c r="F20" s="87">
        <v>133.80000000000001</v>
      </c>
      <c r="G20" s="17">
        <v>40</v>
      </c>
      <c r="H20" s="89">
        <v>85</v>
      </c>
      <c r="I20" s="90">
        <v>30000</v>
      </c>
      <c r="J20" s="90" t="s">
        <v>66</v>
      </c>
      <c r="K20" s="90"/>
      <c r="L20" s="90"/>
      <c r="M20" s="91">
        <f>I20-K20</f>
        <v>30000</v>
      </c>
      <c r="N20" s="4">
        <f>IF(ISERROR(K20/I20),"",K20/I20)</f>
        <v>0</v>
      </c>
      <c r="O20" s="92">
        <f>I20/E20</f>
        <v>638.29787234042556</v>
      </c>
      <c r="P20" s="92">
        <f>K20/E20</f>
        <v>0</v>
      </c>
      <c r="Q20" s="80">
        <v>4</v>
      </c>
      <c r="R20" s="80">
        <v>2</v>
      </c>
      <c r="S20" s="80" t="s">
        <v>61</v>
      </c>
      <c r="T20" s="5">
        <v>154</v>
      </c>
      <c r="U20" s="9"/>
      <c r="W20" s="87">
        <f t="shared" si="7"/>
        <v>154.80000000000001</v>
      </c>
      <c r="X20" s="88">
        <f t="shared" si="7"/>
        <v>47</v>
      </c>
      <c r="Y20" s="93">
        <f t="shared" si="8"/>
        <v>85</v>
      </c>
      <c r="Z20" s="91">
        <f t="shared" si="8"/>
        <v>30000</v>
      </c>
      <c r="AA20" s="91">
        <f>K20</f>
        <v>0</v>
      </c>
      <c r="AB20" s="91">
        <f t="shared" si="9"/>
        <v>30000</v>
      </c>
      <c r="AC20" s="4">
        <f t="shared" si="9"/>
        <v>0</v>
      </c>
      <c r="AD20" s="92">
        <f t="shared" si="9"/>
        <v>638.29787234042556</v>
      </c>
      <c r="AE20" s="80" t="str">
        <f>S20</f>
        <v>계</v>
      </c>
      <c r="AF20" s="80" t="str">
        <f>Q20&amp;"/"&amp;R20</f>
        <v>4/2</v>
      </c>
      <c r="AH20" s="20" t="str">
        <f t="shared" si="1"/>
        <v>현대</v>
      </c>
      <c r="AI20" s="88">
        <f t="shared" si="0"/>
        <v>47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X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율량동 신라(1292)('95.10.,252^)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679</v>
      </c>
      <c r="B22" s="10" t="s">
        <v>933</v>
      </c>
      <c r="C22" s="89">
        <v>252</v>
      </c>
      <c r="D22" s="87">
        <v>51.9</v>
      </c>
      <c r="E22" s="88">
        <v>16</v>
      </c>
      <c r="F22" s="87">
        <v>26.6</v>
      </c>
      <c r="G22" s="17">
        <v>8</v>
      </c>
      <c r="H22" s="89">
        <v>15</v>
      </c>
      <c r="I22" s="90"/>
      <c r="J22" s="90"/>
      <c r="K22" s="90"/>
      <c r="L22" s="90"/>
      <c r="M22" s="91">
        <f>I22-K22</f>
        <v>0</v>
      </c>
      <c r="N22" s="4" t="str">
        <f>IF(ISERROR(K22/I22),"",K22/I22)</f>
        <v/>
      </c>
      <c r="O22" s="92">
        <f>I22/E22</f>
        <v>0</v>
      </c>
      <c r="P22" s="92">
        <f>K22/E22</f>
        <v>0</v>
      </c>
      <c r="Q22" s="80">
        <v>2</v>
      </c>
      <c r="R22" s="80">
        <v>1</v>
      </c>
      <c r="S22" s="80" t="s">
        <v>61</v>
      </c>
      <c r="T22" s="5">
        <v>51</v>
      </c>
      <c r="U22" s="9"/>
      <c r="W22" s="87">
        <f t="shared" ref="W22:X25" si="10">D22</f>
        <v>51.9</v>
      </c>
      <c r="X22" s="88">
        <f t="shared" si="10"/>
        <v>16</v>
      </c>
      <c r="Y22" s="93">
        <f t="shared" ref="Y22:Z25" si="11">H22</f>
        <v>15</v>
      </c>
      <c r="Z22" s="91">
        <f t="shared" si="11"/>
        <v>0</v>
      </c>
      <c r="AA22" s="91">
        <f>K22</f>
        <v>0</v>
      </c>
      <c r="AB22" s="91">
        <f t="shared" ref="AB22:AD25" si="12">M22</f>
        <v>0</v>
      </c>
      <c r="AC22" s="4" t="str">
        <f t="shared" si="12"/>
        <v/>
      </c>
      <c r="AD22" s="92">
        <f t="shared" si="12"/>
        <v>0</v>
      </c>
      <c r="AE22" s="80" t="str">
        <f>S22</f>
        <v>계</v>
      </c>
      <c r="AF22" s="80" t="str">
        <f>Q22&amp;"/"&amp;R22</f>
        <v>2/1</v>
      </c>
      <c r="AH22" s="20" t="str">
        <f t="shared" si="1"/>
        <v>신라(1292)</v>
      </c>
      <c r="AI22" s="88">
        <f t="shared" si="0"/>
        <v>16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/>
      </c>
      <c r="AP22" s="80" t="str">
        <f>IF(I22="","",IF(I22&lt;=$AP$1,"O","X"))</f>
        <v/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X</v>
      </c>
      <c r="AV22" s="80" t="str">
        <f>IF(AO22="","",IF(AND(AO22="O",AP22="O",AR22="O",AT22="O",AU22="O"),"후보","X"))</f>
        <v/>
      </c>
    </row>
    <row r="23" spans="1:48" x14ac:dyDescent="0.3">
      <c r="A23" s="9" t="s">
        <v>679</v>
      </c>
      <c r="B23" s="10" t="s">
        <v>933</v>
      </c>
      <c r="C23" s="89">
        <v>252</v>
      </c>
      <c r="D23" s="87">
        <v>59.7</v>
      </c>
      <c r="E23" s="88">
        <v>18</v>
      </c>
      <c r="F23" s="87">
        <v>30.6</v>
      </c>
      <c r="G23" s="17">
        <v>9</v>
      </c>
      <c r="H23" s="89">
        <v>228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2</v>
      </c>
      <c r="R23" s="80">
        <v>1</v>
      </c>
      <c r="S23" s="80" t="s">
        <v>61</v>
      </c>
      <c r="T23" s="5">
        <v>59</v>
      </c>
      <c r="U23" s="9"/>
      <c r="W23" s="87">
        <f t="shared" si="10"/>
        <v>59.7</v>
      </c>
      <c r="X23" s="88">
        <f t="shared" si="10"/>
        <v>18</v>
      </c>
      <c r="Y23" s="93">
        <f t="shared" si="11"/>
        <v>228</v>
      </c>
      <c r="Z23" s="91">
        <f t="shared" si="11"/>
        <v>0</v>
      </c>
      <c r="AA23" s="91">
        <f>K23</f>
        <v>0</v>
      </c>
      <c r="AB23" s="91">
        <f t="shared" si="12"/>
        <v>0</v>
      </c>
      <c r="AC23" s="4" t="str">
        <f t="shared" si="12"/>
        <v/>
      </c>
      <c r="AD23" s="92">
        <f t="shared" si="12"/>
        <v>0</v>
      </c>
      <c r="AE23" s="80" t="str">
        <f>S23</f>
        <v>계</v>
      </c>
      <c r="AF23" s="80" t="str">
        <f>Q23&amp;"/"&amp;R23</f>
        <v>2/1</v>
      </c>
      <c r="AH23" s="20" t="str">
        <f t="shared" si="1"/>
        <v>신라(1292)</v>
      </c>
      <c r="AI23" s="88">
        <f t="shared" si="0"/>
        <v>18</v>
      </c>
      <c r="AJ23" s="80" t="str">
        <f>IF(AI23="","",$AJ$2)</f>
        <v>A-</v>
      </c>
      <c r="AK23" s="80" t="s">
        <v>13</v>
      </c>
      <c r="AL23" s="80" t="s">
        <v>62</v>
      </c>
      <c r="AM23" s="80" t="s">
        <v>63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X</v>
      </c>
      <c r="AV23" s="80" t="str">
        <f>IF(AO23="","",IF(AND(AO23="O",AP23="O",AR23="O",AT23="O",AU23="O"),"후보","X"))</f>
        <v/>
      </c>
    </row>
    <row r="24" spans="1:48" x14ac:dyDescent="0.3">
      <c r="A24" s="9" t="s">
        <v>679</v>
      </c>
      <c r="B24" s="10" t="s">
        <v>933</v>
      </c>
      <c r="C24" s="89">
        <v>252</v>
      </c>
      <c r="D24" s="87">
        <v>62</v>
      </c>
      <c r="E24" s="88">
        <v>19</v>
      </c>
      <c r="F24" s="87">
        <v>31.8</v>
      </c>
      <c r="G24" s="17">
        <v>10</v>
      </c>
      <c r="H24" s="89">
        <v>7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2</v>
      </c>
      <c r="R24" s="80">
        <v>1</v>
      </c>
      <c r="S24" s="80" t="s">
        <v>61</v>
      </c>
      <c r="T24" s="5">
        <v>62</v>
      </c>
      <c r="U24" s="9"/>
      <c r="W24" s="87">
        <f t="shared" si="10"/>
        <v>62</v>
      </c>
      <c r="X24" s="88">
        <f t="shared" si="10"/>
        <v>19</v>
      </c>
      <c r="Y24" s="93">
        <f t="shared" si="11"/>
        <v>7</v>
      </c>
      <c r="Z24" s="91">
        <f t="shared" si="11"/>
        <v>0</v>
      </c>
      <c r="AA24" s="91">
        <f>K24</f>
        <v>0</v>
      </c>
      <c r="AB24" s="91">
        <f t="shared" si="12"/>
        <v>0</v>
      </c>
      <c r="AC24" s="4" t="str">
        <f t="shared" si="12"/>
        <v/>
      </c>
      <c r="AD24" s="92">
        <f t="shared" si="12"/>
        <v>0</v>
      </c>
      <c r="AE24" s="80" t="str">
        <f>S24</f>
        <v>계</v>
      </c>
      <c r="AF24" s="80" t="str">
        <f>Q24&amp;"/"&amp;R24</f>
        <v>2/1</v>
      </c>
      <c r="AH24" s="20" t="str">
        <f t="shared" si="1"/>
        <v>신라(1292)</v>
      </c>
      <c r="AI24" s="88">
        <f t="shared" si="0"/>
        <v>19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X</v>
      </c>
      <c r="AV24" s="80" t="str">
        <f>IF(AO24="","",IF(AND(AO24="O",AP24="O",AR24="O",AT24="O",AU24="O"),"후보","X"))</f>
        <v/>
      </c>
    </row>
    <row r="25" spans="1:48" x14ac:dyDescent="0.3">
      <c r="A25" s="9" t="s">
        <v>679</v>
      </c>
      <c r="B25" s="10" t="s">
        <v>933</v>
      </c>
      <c r="C25" s="89">
        <v>252</v>
      </c>
      <c r="D25" s="87">
        <v>84.9</v>
      </c>
      <c r="E25" s="88">
        <v>26</v>
      </c>
      <c r="F25" s="87">
        <v>43.5</v>
      </c>
      <c r="G25" s="17">
        <v>13</v>
      </c>
      <c r="H25" s="89">
        <v>2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3</v>
      </c>
      <c r="R25" s="80">
        <v>1</v>
      </c>
      <c r="S25" s="80" t="s">
        <v>61</v>
      </c>
      <c r="T25" s="5">
        <v>84</v>
      </c>
      <c r="U25" s="9"/>
      <c r="W25" s="87">
        <f t="shared" si="10"/>
        <v>84.9</v>
      </c>
      <c r="X25" s="88">
        <f t="shared" si="10"/>
        <v>26</v>
      </c>
      <c r="Y25" s="93">
        <f t="shared" si="11"/>
        <v>2</v>
      </c>
      <c r="Z25" s="91">
        <f t="shared" si="11"/>
        <v>0</v>
      </c>
      <c r="AA25" s="91">
        <f>K25</f>
        <v>0</v>
      </c>
      <c r="AB25" s="91">
        <f t="shared" si="12"/>
        <v>0</v>
      </c>
      <c r="AC25" s="4" t="str">
        <f t="shared" si="12"/>
        <v/>
      </c>
      <c r="AD25" s="92">
        <f t="shared" si="12"/>
        <v>0</v>
      </c>
      <c r="AE25" s="80" t="str">
        <f>S25</f>
        <v>계</v>
      </c>
      <c r="AF25" s="80" t="str">
        <f>Q25&amp;"/"&amp;R25</f>
        <v>3/1</v>
      </c>
      <c r="AH25" s="20" t="str">
        <f t="shared" si="1"/>
        <v>신라(1292)</v>
      </c>
      <c r="AI25" s="88">
        <f t="shared" si="0"/>
        <v>26</v>
      </c>
      <c r="AJ25" s="80" t="str">
        <f>IF(AI25="","",$AJ$2)</f>
        <v>A-</v>
      </c>
      <c r="AK25" s="80" t="s">
        <v>13</v>
      </c>
      <c r="AL25" s="80" t="s">
        <v>62</v>
      </c>
      <c r="AM25" s="80" t="s">
        <v>63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X</v>
      </c>
      <c r="AV25" s="80" t="str">
        <f>IF(AO25="","",IF(AND(AO25="O",AP25="O",AR25="O",AT25="O",AU25="O"),"후보","X"))</f>
        <v/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8" t="str">
        <f>$A$4&amp;" "&amp;A27&amp;"("&amp;B27&amp;","&amp;C27&amp;"^)"</f>
        <v>율량동 율량부강마을('93.11.,244^)</v>
      </c>
      <c r="X26" s="69"/>
      <c r="Y26" s="69"/>
      <c r="Z26" s="69"/>
      <c r="AA26" s="69"/>
      <c r="AB26" s="69"/>
      <c r="AC26" s="69"/>
      <c r="AD26" s="69"/>
      <c r="AE26" s="69"/>
      <c r="AF26" s="70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683</v>
      </c>
      <c r="B27" s="10" t="s">
        <v>934</v>
      </c>
      <c r="C27" s="89">
        <v>244</v>
      </c>
      <c r="D27" s="87">
        <v>32.9</v>
      </c>
      <c r="E27" s="88">
        <v>10</v>
      </c>
      <c r="F27" s="87">
        <v>24.4</v>
      </c>
      <c r="G27" s="17">
        <v>7</v>
      </c>
      <c r="H27" s="89">
        <v>31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1</v>
      </c>
      <c r="R27" s="80">
        <v>1</v>
      </c>
      <c r="S27" s="80" t="s">
        <v>85</v>
      </c>
      <c r="T27" s="5">
        <v>32</v>
      </c>
      <c r="U27" s="9"/>
      <c r="W27" s="87">
        <f t="shared" ref="W27:X29" si="13">D27</f>
        <v>32.9</v>
      </c>
      <c r="X27" s="88">
        <f t="shared" si="13"/>
        <v>10</v>
      </c>
      <c r="Y27" s="93">
        <f t="shared" ref="Y27:Z29" si="14">H27</f>
        <v>31</v>
      </c>
      <c r="Z27" s="91">
        <f t="shared" si="14"/>
        <v>0</v>
      </c>
      <c r="AA27" s="91">
        <f>K27</f>
        <v>0</v>
      </c>
      <c r="AB27" s="91">
        <f t="shared" ref="AB27:AD29" si="15">M27</f>
        <v>0</v>
      </c>
      <c r="AC27" s="4" t="str">
        <f t="shared" si="15"/>
        <v/>
      </c>
      <c r="AD27" s="92">
        <f t="shared" si="15"/>
        <v>0</v>
      </c>
      <c r="AE27" s="80" t="str">
        <f>S27</f>
        <v>복</v>
      </c>
      <c r="AF27" s="80" t="str">
        <f>Q27&amp;"/"&amp;R27</f>
        <v>1/1</v>
      </c>
      <c r="AH27" s="20" t="str">
        <f t="shared" si="1"/>
        <v>율량부강마을</v>
      </c>
      <c r="AI27" s="88">
        <f t="shared" si="0"/>
        <v>10</v>
      </c>
      <c r="AJ27" s="80" t="str">
        <f>IF(AI27="","",$AJ$2)</f>
        <v>A-</v>
      </c>
      <c r="AK27" s="80" t="s">
        <v>13</v>
      </c>
      <c r="AL27" s="80" t="s">
        <v>62</v>
      </c>
      <c r="AM27" s="80" t="s">
        <v>63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X</v>
      </c>
      <c r="AU27" s="80" t="str">
        <f>IF(C27="","",IF(C27&gt;=$AU$1,"O","X"))</f>
        <v>X</v>
      </c>
      <c r="AV27" s="80" t="str">
        <f>IF(AO27="","",IF(AND(AO27="O",AP27="O",AR27="O",AT27="O",AU27="O"),"후보","X"))</f>
        <v/>
      </c>
    </row>
    <row r="28" spans="1:48" x14ac:dyDescent="0.3">
      <c r="A28" s="9" t="s">
        <v>683</v>
      </c>
      <c r="B28" s="10" t="s">
        <v>934</v>
      </c>
      <c r="C28" s="89">
        <v>244</v>
      </c>
      <c r="D28" s="87">
        <v>36</v>
      </c>
      <c r="E28" s="88">
        <v>11</v>
      </c>
      <c r="F28" s="87">
        <v>26.7</v>
      </c>
      <c r="G28" s="17">
        <v>8</v>
      </c>
      <c r="H28" s="89">
        <v>12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1</v>
      </c>
      <c r="R28" s="80">
        <v>1</v>
      </c>
      <c r="S28" s="80" t="s">
        <v>85</v>
      </c>
      <c r="T28" s="5">
        <v>35</v>
      </c>
      <c r="U28" s="9"/>
      <c r="W28" s="87">
        <f t="shared" si="13"/>
        <v>36</v>
      </c>
      <c r="X28" s="88">
        <f t="shared" si="13"/>
        <v>11</v>
      </c>
      <c r="Y28" s="93">
        <f t="shared" si="14"/>
        <v>12</v>
      </c>
      <c r="Z28" s="91">
        <f t="shared" si="14"/>
        <v>0</v>
      </c>
      <c r="AA28" s="91">
        <f>K28</f>
        <v>0</v>
      </c>
      <c r="AB28" s="91">
        <f t="shared" si="15"/>
        <v>0</v>
      </c>
      <c r="AC28" s="4" t="str">
        <f t="shared" si="15"/>
        <v/>
      </c>
      <c r="AD28" s="92">
        <f t="shared" si="15"/>
        <v>0</v>
      </c>
      <c r="AE28" s="80" t="str">
        <f>S28</f>
        <v>복</v>
      </c>
      <c r="AF28" s="80" t="str">
        <f>Q28&amp;"/"&amp;R28</f>
        <v>1/1</v>
      </c>
      <c r="AH28" s="20" t="str">
        <f t="shared" si="1"/>
        <v>율량부강마을</v>
      </c>
      <c r="AI28" s="88">
        <f t="shared" si="0"/>
        <v>11</v>
      </c>
      <c r="AJ28" s="80" t="str">
        <f>IF(AI28="","",$AJ$2)</f>
        <v>A-</v>
      </c>
      <c r="AK28" s="80" t="s">
        <v>13</v>
      </c>
      <c r="AL28" s="80" t="s">
        <v>62</v>
      </c>
      <c r="AM28" s="80" t="s">
        <v>63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X</v>
      </c>
      <c r="AU28" s="80" t="str">
        <f>IF(C28="","",IF(C28&gt;=$AU$1,"O","X"))</f>
        <v>X</v>
      </c>
      <c r="AV28" s="80" t="str">
        <f>IF(AO28="","",IF(AND(AO28="O",AP28="O",AR28="O",AT28="O",AU28="O"),"후보","X"))</f>
        <v/>
      </c>
    </row>
    <row r="29" spans="1:48" x14ac:dyDescent="0.3">
      <c r="A29" s="9" t="s">
        <v>683</v>
      </c>
      <c r="B29" s="10" t="s">
        <v>934</v>
      </c>
      <c r="C29" s="89">
        <v>244</v>
      </c>
      <c r="D29" s="87">
        <v>39.1</v>
      </c>
      <c r="E29" s="88">
        <v>12</v>
      </c>
      <c r="F29" s="87">
        <v>29.1</v>
      </c>
      <c r="G29" s="17">
        <v>9</v>
      </c>
      <c r="H29" s="89">
        <v>201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1</v>
      </c>
      <c r="R29" s="80">
        <v>1</v>
      </c>
      <c r="S29" s="80" t="s">
        <v>85</v>
      </c>
      <c r="T29" s="5">
        <v>39</v>
      </c>
      <c r="U29" s="9"/>
      <c r="W29" s="87">
        <f t="shared" si="13"/>
        <v>39.1</v>
      </c>
      <c r="X29" s="88">
        <f t="shared" si="13"/>
        <v>12</v>
      </c>
      <c r="Y29" s="93">
        <f t="shared" si="14"/>
        <v>201</v>
      </c>
      <c r="Z29" s="91">
        <f t="shared" si="14"/>
        <v>0</v>
      </c>
      <c r="AA29" s="91">
        <f>K29</f>
        <v>0</v>
      </c>
      <c r="AB29" s="91">
        <f t="shared" si="15"/>
        <v>0</v>
      </c>
      <c r="AC29" s="4" t="str">
        <f t="shared" si="15"/>
        <v/>
      </c>
      <c r="AD29" s="92">
        <f t="shared" si="15"/>
        <v>0</v>
      </c>
      <c r="AE29" s="80" t="str">
        <f>S29</f>
        <v>복</v>
      </c>
      <c r="AF29" s="80" t="str">
        <f>Q29&amp;"/"&amp;R29</f>
        <v>1/1</v>
      </c>
      <c r="AH29" s="20" t="str">
        <f t="shared" si="1"/>
        <v>율량부강마을</v>
      </c>
      <c r="AI29" s="88">
        <f t="shared" si="0"/>
        <v>12</v>
      </c>
      <c r="AJ29" s="80" t="str">
        <f>IF(AI29="","",$AJ$2)</f>
        <v>A-</v>
      </c>
      <c r="AK29" s="80" t="s">
        <v>13</v>
      </c>
      <c r="AL29" s="80" t="s">
        <v>62</v>
      </c>
      <c r="AM29" s="80" t="s">
        <v>63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X</v>
      </c>
      <c r="AU29" s="80" t="str">
        <f>IF(C29="","",IF(C29&gt;=$AU$1,"O","X"))</f>
        <v>X</v>
      </c>
      <c r="AV29" s="80" t="str">
        <f>IF(AO29="","",IF(AND(AO29="O",AP29="O",AR29="O",AT29="O",AU29="O"),"후보","X"))</f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8" t="str">
        <f>$A$4&amp;" "&amp;A31&amp;"("&amp;B31&amp;","&amp;C31&amp;"^)"</f>
        <v>율량동 율량럭키('91.03.,690^)</v>
      </c>
      <c r="X30" s="69"/>
      <c r="Y30" s="69"/>
      <c r="Z30" s="69"/>
      <c r="AA30" s="69"/>
      <c r="AB30" s="69"/>
      <c r="AC30" s="69"/>
      <c r="AD30" s="69"/>
      <c r="AE30" s="69"/>
      <c r="AF30" s="70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697</v>
      </c>
      <c r="B31" s="10" t="s">
        <v>935</v>
      </c>
      <c r="C31" s="89">
        <v>690</v>
      </c>
      <c r="D31" s="87">
        <v>93.8</v>
      </c>
      <c r="E31" s="88">
        <v>28</v>
      </c>
      <c r="F31" s="87">
        <v>76.5</v>
      </c>
      <c r="G31" s="17">
        <v>23</v>
      </c>
      <c r="H31" s="89">
        <v>210</v>
      </c>
      <c r="I31" s="90">
        <v>17500</v>
      </c>
      <c r="J31" s="90" t="s">
        <v>59</v>
      </c>
      <c r="K31" s="90"/>
      <c r="L31" s="90"/>
      <c r="M31" s="91">
        <f>I31-K31</f>
        <v>17500</v>
      </c>
      <c r="N31" s="4">
        <f>IF(ISERROR(K31/I31),"",K31/I31)</f>
        <v>0</v>
      </c>
      <c r="O31" s="92">
        <f>I31/E31</f>
        <v>625</v>
      </c>
      <c r="P31" s="92">
        <f>K31/E31</f>
        <v>0</v>
      </c>
      <c r="Q31" s="80">
        <v>3</v>
      </c>
      <c r="R31" s="80">
        <v>1</v>
      </c>
      <c r="S31" s="80" t="s">
        <v>61</v>
      </c>
      <c r="T31" s="5">
        <v>93</v>
      </c>
      <c r="U31" s="9"/>
      <c r="W31" s="87">
        <f>D31</f>
        <v>93.8</v>
      </c>
      <c r="X31" s="88">
        <f>E31</f>
        <v>28</v>
      </c>
      <c r="Y31" s="93">
        <f>H31</f>
        <v>210</v>
      </c>
      <c r="Z31" s="91">
        <f>I31</f>
        <v>17500</v>
      </c>
      <c r="AA31" s="91">
        <f>K31</f>
        <v>0</v>
      </c>
      <c r="AB31" s="91">
        <f t="shared" ref="AB31:AD32" si="16">M31</f>
        <v>17500</v>
      </c>
      <c r="AC31" s="4">
        <f t="shared" si="16"/>
        <v>0</v>
      </c>
      <c r="AD31" s="92">
        <f t="shared" si="16"/>
        <v>625</v>
      </c>
      <c r="AE31" s="80" t="str">
        <f>S31</f>
        <v>계</v>
      </c>
      <c r="AF31" s="80" t="str">
        <f>Q31&amp;"/"&amp;R31</f>
        <v>3/1</v>
      </c>
      <c r="AH31" s="20" t="str">
        <f t="shared" si="1"/>
        <v>율량럭키</v>
      </c>
      <c r="AI31" s="88">
        <f t="shared" si="0"/>
        <v>28</v>
      </c>
      <c r="AJ31" s="80" t="str">
        <f>IF(AI31="","",$AJ$2)</f>
        <v>A-</v>
      </c>
      <c r="AK31" s="80" t="s">
        <v>13</v>
      </c>
      <c r="AL31" s="80" t="s">
        <v>62</v>
      </c>
      <c r="AM31" s="80" t="s">
        <v>63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697</v>
      </c>
      <c r="B32" s="10" t="s">
        <v>935</v>
      </c>
      <c r="C32" s="89">
        <v>690</v>
      </c>
      <c r="D32" s="87">
        <v>102.7</v>
      </c>
      <c r="E32" s="88">
        <v>31</v>
      </c>
      <c r="F32" s="87">
        <v>85</v>
      </c>
      <c r="G32" s="17">
        <v>26</v>
      </c>
      <c r="H32" s="89">
        <v>480</v>
      </c>
      <c r="I32" s="90">
        <v>19000</v>
      </c>
      <c r="J32" s="90" t="s">
        <v>60</v>
      </c>
      <c r="K32" s="90"/>
      <c r="L32" s="90"/>
      <c r="M32" s="91">
        <f>I32-K32</f>
        <v>19000</v>
      </c>
      <c r="N32" s="4">
        <f>IF(ISERROR(K32/I32),"",K32/I32)</f>
        <v>0</v>
      </c>
      <c r="O32" s="92">
        <f>I32/E32</f>
        <v>612.90322580645159</v>
      </c>
      <c r="P32" s="92">
        <f>K32/E32</f>
        <v>0</v>
      </c>
      <c r="Q32" s="80">
        <v>3</v>
      </c>
      <c r="R32" s="80">
        <v>2</v>
      </c>
      <c r="S32" s="80" t="s">
        <v>61</v>
      </c>
      <c r="T32" s="5">
        <v>102</v>
      </c>
      <c r="U32" s="9"/>
      <c r="W32" s="87">
        <f>D32</f>
        <v>102.7</v>
      </c>
      <c r="X32" s="88">
        <f>E32</f>
        <v>31</v>
      </c>
      <c r="Y32" s="93">
        <f>H32</f>
        <v>480</v>
      </c>
      <c r="Z32" s="91">
        <f>I32</f>
        <v>19000</v>
      </c>
      <c r="AA32" s="91">
        <f>K32</f>
        <v>0</v>
      </c>
      <c r="AB32" s="91">
        <f t="shared" si="16"/>
        <v>19000</v>
      </c>
      <c r="AC32" s="4">
        <f t="shared" si="16"/>
        <v>0</v>
      </c>
      <c r="AD32" s="92">
        <f t="shared" si="16"/>
        <v>612.90322580645159</v>
      </c>
      <c r="AE32" s="80" t="str">
        <f>S32</f>
        <v>계</v>
      </c>
      <c r="AF32" s="80" t="str">
        <f>Q32&amp;"/"&amp;R32</f>
        <v>3/2</v>
      </c>
      <c r="AH32" s="20" t="str">
        <f t="shared" si="1"/>
        <v>율량럭키</v>
      </c>
      <c r="AI32" s="88">
        <f t="shared" si="0"/>
        <v>31</v>
      </c>
      <c r="AJ32" s="80" t="str">
        <f>IF(AI32="","",$AJ$2)</f>
        <v>A-</v>
      </c>
      <c r="AK32" s="80" t="s">
        <v>13</v>
      </c>
      <c r="AL32" s="80" t="s">
        <v>62</v>
      </c>
      <c r="AM32" s="80" t="s">
        <v>63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X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율량동 성원('95.07.,365^)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702</v>
      </c>
      <c r="B34" s="10" t="s">
        <v>936</v>
      </c>
      <c r="C34" s="89">
        <v>365</v>
      </c>
      <c r="D34" s="87">
        <v>75.2</v>
      </c>
      <c r="E34" s="88">
        <v>23</v>
      </c>
      <c r="F34" s="87">
        <v>59.7</v>
      </c>
      <c r="G34" s="17">
        <v>18</v>
      </c>
      <c r="H34" s="89">
        <v>140</v>
      </c>
      <c r="I34" s="90">
        <v>16500</v>
      </c>
      <c r="J34" s="90" t="s">
        <v>65</v>
      </c>
      <c r="K34" s="90"/>
      <c r="L34" s="90"/>
      <c r="M34" s="91">
        <f>I34-K34</f>
        <v>16500</v>
      </c>
      <c r="N34" s="4">
        <f>IF(ISERROR(K34/I34),"",K34/I34)</f>
        <v>0</v>
      </c>
      <c r="O34" s="92">
        <f>I34/E34</f>
        <v>717.39130434782612</v>
      </c>
      <c r="P34" s="92">
        <f>K34/E34</f>
        <v>0</v>
      </c>
      <c r="Q34" s="80">
        <v>3</v>
      </c>
      <c r="R34" s="80">
        <v>1</v>
      </c>
      <c r="S34" s="80" t="s">
        <v>61</v>
      </c>
      <c r="T34" s="5">
        <v>75</v>
      </c>
      <c r="U34" s="9"/>
      <c r="W34" s="87">
        <f>D34</f>
        <v>75.2</v>
      </c>
      <c r="X34" s="88">
        <f>E34</f>
        <v>23</v>
      </c>
      <c r="Y34" s="93">
        <f>H34</f>
        <v>140</v>
      </c>
      <c r="Z34" s="91">
        <f>I34</f>
        <v>16500</v>
      </c>
      <c r="AA34" s="91">
        <f>K34</f>
        <v>0</v>
      </c>
      <c r="AB34" s="91">
        <f t="shared" ref="AB34:AD35" si="17">M34</f>
        <v>16500</v>
      </c>
      <c r="AC34" s="4">
        <f t="shared" si="17"/>
        <v>0</v>
      </c>
      <c r="AD34" s="92">
        <f t="shared" si="17"/>
        <v>717.39130434782612</v>
      </c>
      <c r="AE34" s="80" t="str">
        <f>S34</f>
        <v>계</v>
      </c>
      <c r="AF34" s="80" t="str">
        <f>Q34&amp;"/"&amp;R34</f>
        <v>3/1</v>
      </c>
      <c r="AH34" s="20" t="str">
        <f t="shared" si="1"/>
        <v>성원</v>
      </c>
      <c r="AI34" s="88">
        <f t="shared" si="0"/>
        <v>23</v>
      </c>
      <c r="AJ34" s="80" t="str">
        <f>IF(AI34="","",$AJ$2)</f>
        <v>A-</v>
      </c>
      <c r="AK34" s="80" t="s">
        <v>13</v>
      </c>
      <c r="AL34" s="80" t="s">
        <v>62</v>
      </c>
      <c r="AM34" s="80" t="s">
        <v>63</v>
      </c>
      <c r="AN34" s="80" t="str">
        <f>IF(AI34="","",$AN$2)</f>
        <v>C</v>
      </c>
      <c r="AO34" s="80" t="str">
        <f>IF(N34="","",IF(N34&gt;=$AO$1/100,"O","X"))</f>
        <v>X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X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X</v>
      </c>
    </row>
    <row r="35" spans="1:48" x14ac:dyDescent="0.3">
      <c r="A35" s="9" t="s">
        <v>702</v>
      </c>
      <c r="B35" s="10" t="s">
        <v>936</v>
      </c>
      <c r="C35" s="89">
        <v>365</v>
      </c>
      <c r="D35" s="87">
        <v>103</v>
      </c>
      <c r="E35" s="88">
        <v>31</v>
      </c>
      <c r="F35" s="87">
        <v>84.9</v>
      </c>
      <c r="G35" s="17">
        <v>26</v>
      </c>
      <c r="H35" s="89">
        <v>225</v>
      </c>
      <c r="I35" s="90">
        <v>21500</v>
      </c>
      <c r="J35" s="90" t="s">
        <v>60</v>
      </c>
      <c r="K35" s="90"/>
      <c r="L35" s="90"/>
      <c r="M35" s="91">
        <f>I35-K35</f>
        <v>21500</v>
      </c>
      <c r="N35" s="4">
        <f>IF(ISERROR(K35/I35),"",K35/I35)</f>
        <v>0</v>
      </c>
      <c r="O35" s="92">
        <f>I35/E35</f>
        <v>693.54838709677415</v>
      </c>
      <c r="P35" s="92">
        <f>K35/E35</f>
        <v>0</v>
      </c>
      <c r="Q35" s="80">
        <v>3</v>
      </c>
      <c r="R35" s="80">
        <v>2</v>
      </c>
      <c r="S35" s="80" t="s">
        <v>61</v>
      </c>
      <c r="T35" s="5">
        <v>103</v>
      </c>
      <c r="U35" s="9"/>
      <c r="W35" s="87">
        <f>D35</f>
        <v>103</v>
      </c>
      <c r="X35" s="88">
        <f>E35</f>
        <v>31</v>
      </c>
      <c r="Y35" s="93">
        <f>H35</f>
        <v>225</v>
      </c>
      <c r="Z35" s="91">
        <f>I35</f>
        <v>21500</v>
      </c>
      <c r="AA35" s="91">
        <f>K35</f>
        <v>0</v>
      </c>
      <c r="AB35" s="91">
        <f t="shared" si="17"/>
        <v>21500</v>
      </c>
      <c r="AC35" s="4">
        <f t="shared" si="17"/>
        <v>0</v>
      </c>
      <c r="AD35" s="92">
        <f t="shared" si="17"/>
        <v>693.54838709677415</v>
      </c>
      <c r="AE35" s="80" t="str">
        <f>S35</f>
        <v>계</v>
      </c>
      <c r="AF35" s="80" t="str">
        <f>Q35&amp;"/"&amp;R35</f>
        <v>3/2</v>
      </c>
      <c r="AH35" s="20" t="str">
        <f t="shared" si="1"/>
        <v>성원</v>
      </c>
      <c r="AI35" s="88">
        <f t="shared" ref="AI35:AI66" si="18">IF(E35="","",E35)</f>
        <v>31</v>
      </c>
      <c r="AJ35" s="80" t="str">
        <f>IF(AI35="","",$AJ$2)</f>
        <v>A-</v>
      </c>
      <c r="AK35" s="80" t="s">
        <v>13</v>
      </c>
      <c r="AL35" s="80" t="s">
        <v>62</v>
      </c>
      <c r="AM35" s="80" t="s">
        <v>63</v>
      </c>
      <c r="AN35" s="80" t="str">
        <f>IF(AI35="","",$AN$2)</f>
        <v>C</v>
      </c>
      <c r="AO35" s="80" t="str">
        <f>IF(N35="","",IF(N35&gt;=$AO$1/100,"O","X"))</f>
        <v>X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X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X</v>
      </c>
    </row>
    <row r="36" spans="1:48" x14ac:dyDescent="0.3">
      <c r="A36" s="9"/>
      <c r="B36" s="80"/>
      <c r="C36" s="6"/>
      <c r="D36" s="9"/>
      <c r="E36" s="14"/>
      <c r="F36" s="87"/>
      <c r="G36" s="9"/>
      <c r="H36" s="9"/>
      <c r="I36" s="9"/>
      <c r="J36" s="9"/>
      <c r="K36" s="9"/>
      <c r="L36" s="9"/>
      <c r="M36" s="9"/>
      <c r="N36" s="9"/>
      <c r="O36" s="92"/>
      <c r="P36" s="92"/>
      <c r="Q36" s="88"/>
      <c r="R36" s="88"/>
      <c r="S36" s="9"/>
      <c r="T36" s="47"/>
      <c r="U36" s="9"/>
      <c r="W36" s="68" t="str">
        <f>$A$4&amp;" "&amp;A37&amp;"("&amp;B37&amp;","&amp;C37&amp;"^)"</f>
        <v>율량동 한울3차('98.12.,523^)</v>
      </c>
      <c r="X36" s="69"/>
      <c r="Y36" s="69"/>
      <c r="Z36" s="69"/>
      <c r="AA36" s="69"/>
      <c r="AB36" s="69"/>
      <c r="AC36" s="69"/>
      <c r="AD36" s="69"/>
      <c r="AE36" s="69"/>
      <c r="AF36" s="70"/>
      <c r="AH36" s="20" t="str">
        <f t="shared" si="1"/>
        <v/>
      </c>
      <c r="AI36" s="112" t="str">
        <f t="shared" si="18"/>
        <v/>
      </c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</row>
    <row r="37" spans="1:48" x14ac:dyDescent="0.3">
      <c r="A37" s="9" t="s">
        <v>716</v>
      </c>
      <c r="B37" s="10" t="s">
        <v>937</v>
      </c>
      <c r="C37" s="89">
        <v>523</v>
      </c>
      <c r="D37" s="87">
        <v>40.9</v>
      </c>
      <c r="E37" s="88">
        <v>12</v>
      </c>
      <c r="F37" s="87">
        <v>30.3</v>
      </c>
      <c r="G37" s="17">
        <v>9</v>
      </c>
      <c r="H37" s="89">
        <v>299</v>
      </c>
      <c r="I37" s="90">
        <v>5000</v>
      </c>
      <c r="J37" s="90" t="s">
        <v>67</v>
      </c>
      <c r="K37" s="90"/>
      <c r="L37" s="90"/>
      <c r="M37" s="91">
        <f>I37-K37</f>
        <v>5000</v>
      </c>
      <c r="N37" s="4">
        <f>IF(ISERROR(K37/I37),"",K37/I37)</f>
        <v>0</v>
      </c>
      <c r="O37" s="92">
        <f>I37/E37</f>
        <v>416.66666666666669</v>
      </c>
      <c r="P37" s="92">
        <f>K37/E37</f>
        <v>0</v>
      </c>
      <c r="Q37" s="80">
        <v>1</v>
      </c>
      <c r="R37" s="80">
        <v>1</v>
      </c>
      <c r="S37" s="80" t="s">
        <v>85</v>
      </c>
      <c r="T37" s="5">
        <v>40</v>
      </c>
      <c r="U37" s="9"/>
      <c r="W37" s="87">
        <f>D37</f>
        <v>40.9</v>
      </c>
      <c r="X37" s="88">
        <f>E37</f>
        <v>12</v>
      </c>
      <c r="Y37" s="93">
        <f>H37</f>
        <v>299</v>
      </c>
      <c r="Z37" s="91">
        <f>I37</f>
        <v>5000</v>
      </c>
      <c r="AA37" s="91">
        <f>K37</f>
        <v>0</v>
      </c>
      <c r="AB37" s="91">
        <f t="shared" ref="AB37:AD38" si="19">M37</f>
        <v>5000</v>
      </c>
      <c r="AC37" s="4">
        <f t="shared" si="19"/>
        <v>0</v>
      </c>
      <c r="AD37" s="92">
        <f t="shared" si="19"/>
        <v>416.66666666666669</v>
      </c>
      <c r="AE37" s="80" t="str">
        <f>S37</f>
        <v>복</v>
      </c>
      <c r="AF37" s="80" t="str">
        <f>Q37&amp;"/"&amp;R37</f>
        <v>1/1</v>
      </c>
      <c r="AH37" s="20" t="str">
        <f t="shared" ref="AH37:AH68" si="20">IF(A37="","",A37)</f>
        <v>한울3차</v>
      </c>
      <c r="AI37" s="88">
        <f t="shared" si="18"/>
        <v>12</v>
      </c>
      <c r="AJ37" s="80" t="str">
        <f>IF(AI37="","",$AJ$2)</f>
        <v>A-</v>
      </c>
      <c r="AK37" s="80" t="s">
        <v>13</v>
      </c>
      <c r="AL37" s="80" t="s">
        <v>62</v>
      </c>
      <c r="AM37" s="80" t="s">
        <v>63</v>
      </c>
      <c r="AN37" s="80" t="str">
        <f>IF(AI37="","",$AN$2)</f>
        <v>C</v>
      </c>
      <c r="AO37" s="80" t="str">
        <f>IF(N37="","",IF(N37&gt;=$AO$1/100,"O","X"))</f>
        <v>X</v>
      </c>
      <c r="AP37" s="80" t="str">
        <f>IF(I37="","",IF(I37&lt;=$AP$1,"O","X"))</f>
        <v>O</v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X</v>
      </c>
      <c r="AU37" s="80" t="str">
        <f>IF(C37="","",IF(C37&gt;=$AU$1,"O","X"))</f>
        <v>O</v>
      </c>
      <c r="AV37" s="80" t="str">
        <f>IF(AO37="","",IF(AND(AO37="O",AP37="O",AR37="O",AT37="O",AU37="O"),"후보","X"))</f>
        <v>X</v>
      </c>
    </row>
    <row r="38" spans="1:48" x14ac:dyDescent="0.3">
      <c r="A38" s="9" t="s">
        <v>716</v>
      </c>
      <c r="B38" s="10" t="s">
        <v>937</v>
      </c>
      <c r="C38" s="89">
        <v>523</v>
      </c>
      <c r="D38" s="87">
        <v>62</v>
      </c>
      <c r="E38" s="88">
        <v>19</v>
      </c>
      <c r="F38" s="87">
        <v>45.4</v>
      </c>
      <c r="G38" s="17">
        <v>14</v>
      </c>
      <c r="H38" s="89">
        <v>224</v>
      </c>
      <c r="I38" s="90"/>
      <c r="J38" s="90"/>
      <c r="K38" s="90">
        <v>7500</v>
      </c>
      <c r="L38" s="90" t="s">
        <v>66</v>
      </c>
      <c r="M38" s="91">
        <f>I38-K38</f>
        <v>-7500</v>
      </c>
      <c r="N38" s="4" t="str">
        <f>IF(ISERROR(K38/I38),"",K38/I38)</f>
        <v/>
      </c>
      <c r="O38" s="92">
        <f>I38/E38</f>
        <v>0</v>
      </c>
      <c r="P38" s="92">
        <f>K38/E38</f>
        <v>394.73684210526318</v>
      </c>
      <c r="Q38" s="80">
        <v>2</v>
      </c>
      <c r="R38" s="80">
        <v>1</v>
      </c>
      <c r="S38" s="80" t="s">
        <v>85</v>
      </c>
      <c r="T38" s="5">
        <v>62</v>
      </c>
      <c r="U38" s="9"/>
      <c r="W38" s="87">
        <f>D38</f>
        <v>62</v>
      </c>
      <c r="X38" s="88">
        <f>E38</f>
        <v>19</v>
      </c>
      <c r="Y38" s="93">
        <f>H38</f>
        <v>224</v>
      </c>
      <c r="Z38" s="91">
        <f>I38</f>
        <v>0</v>
      </c>
      <c r="AA38" s="91">
        <f>K38</f>
        <v>7500</v>
      </c>
      <c r="AB38" s="91">
        <f t="shared" si="19"/>
        <v>-7500</v>
      </c>
      <c r="AC38" s="4" t="str">
        <f t="shared" si="19"/>
        <v/>
      </c>
      <c r="AD38" s="92">
        <f t="shared" si="19"/>
        <v>0</v>
      </c>
      <c r="AE38" s="80" t="str">
        <f>S38</f>
        <v>복</v>
      </c>
      <c r="AF38" s="80" t="str">
        <f>Q38&amp;"/"&amp;R38</f>
        <v>2/1</v>
      </c>
      <c r="AH38" s="20" t="str">
        <f t="shared" si="20"/>
        <v>한울3차</v>
      </c>
      <c r="AI38" s="88">
        <f t="shared" si="18"/>
        <v>19</v>
      </c>
      <c r="AJ38" s="80" t="str">
        <f>IF(AI38="","",$AJ$2)</f>
        <v>A-</v>
      </c>
      <c r="AK38" s="80" t="s">
        <v>13</v>
      </c>
      <c r="AL38" s="80" t="s">
        <v>62</v>
      </c>
      <c r="AM38" s="80" t="s">
        <v>63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/>
      </c>
    </row>
    <row r="39" spans="1:48" x14ac:dyDescent="0.3">
      <c r="A39" s="9"/>
      <c r="B39" s="80"/>
      <c r="C39" s="6"/>
      <c r="D39" s="9"/>
      <c r="E39" s="14"/>
      <c r="F39" s="87"/>
      <c r="G39" s="9"/>
      <c r="H39" s="9"/>
      <c r="I39" s="9"/>
      <c r="J39" s="9"/>
      <c r="K39" s="9"/>
      <c r="L39" s="9"/>
      <c r="M39" s="9"/>
      <c r="N39" s="9"/>
      <c r="O39" s="92"/>
      <c r="P39" s="92"/>
      <c r="Q39" s="88"/>
      <c r="R39" s="88"/>
      <c r="S39" s="9"/>
      <c r="T39" s="47"/>
      <c r="U39" s="9"/>
      <c r="W39" s="68" t="str">
        <f>$A$4&amp;" "&amp;A40&amp;"("&amp;B40&amp;","&amp;C40&amp;"^)"</f>
        <v>율량동 동아('90.11.,330^)</v>
      </c>
      <c r="X39" s="69"/>
      <c r="Y39" s="69"/>
      <c r="Z39" s="69"/>
      <c r="AA39" s="69"/>
      <c r="AB39" s="69"/>
      <c r="AC39" s="69"/>
      <c r="AD39" s="69"/>
      <c r="AE39" s="69"/>
      <c r="AF39" s="70"/>
      <c r="AH39" s="20" t="str">
        <f t="shared" si="20"/>
        <v/>
      </c>
      <c r="AI39" s="112" t="str">
        <f t="shared" si="18"/>
        <v/>
      </c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</row>
    <row r="40" spans="1:48" x14ac:dyDescent="0.3">
      <c r="A40" s="9" t="s">
        <v>739</v>
      </c>
      <c r="B40" s="10" t="s">
        <v>938</v>
      </c>
      <c r="C40" s="89">
        <v>330</v>
      </c>
      <c r="D40" s="87">
        <v>93.5</v>
      </c>
      <c r="E40" s="88">
        <v>28</v>
      </c>
      <c r="F40" s="87">
        <v>75.099999999999994</v>
      </c>
      <c r="G40" s="17">
        <v>23</v>
      </c>
      <c r="H40" s="89">
        <v>150</v>
      </c>
      <c r="I40" s="90">
        <v>16000</v>
      </c>
      <c r="J40" s="90" t="s">
        <v>65</v>
      </c>
      <c r="K40" s="90"/>
      <c r="L40" s="90"/>
      <c r="M40" s="91">
        <f>I40-K40</f>
        <v>16000</v>
      </c>
      <c r="N40" s="4">
        <f>IF(ISERROR(K40/I40),"",K40/I40)</f>
        <v>0</v>
      </c>
      <c r="O40" s="92">
        <f>I40/E40</f>
        <v>571.42857142857144</v>
      </c>
      <c r="P40" s="92">
        <f>K40/E40</f>
        <v>0</v>
      </c>
      <c r="Q40" s="80">
        <v>3</v>
      </c>
      <c r="R40" s="80">
        <v>1</v>
      </c>
      <c r="S40" s="80" t="s">
        <v>61</v>
      </c>
      <c r="T40" s="5">
        <v>93</v>
      </c>
      <c r="U40" s="9"/>
      <c r="W40" s="87">
        <f t="shared" ref="W40:X42" si="21">D40</f>
        <v>93.5</v>
      </c>
      <c r="X40" s="88">
        <f t="shared" si="21"/>
        <v>28</v>
      </c>
      <c r="Y40" s="93">
        <f t="shared" ref="Y40:Z42" si="22">H40</f>
        <v>150</v>
      </c>
      <c r="Z40" s="91">
        <f t="shared" si="22"/>
        <v>16000</v>
      </c>
      <c r="AA40" s="91">
        <f>K40</f>
        <v>0</v>
      </c>
      <c r="AB40" s="91">
        <f t="shared" ref="AB40:AD42" si="23">M40</f>
        <v>16000</v>
      </c>
      <c r="AC40" s="4">
        <f t="shared" si="23"/>
        <v>0</v>
      </c>
      <c r="AD40" s="92">
        <f t="shared" si="23"/>
        <v>571.42857142857144</v>
      </c>
      <c r="AE40" s="80" t="str">
        <f>S40</f>
        <v>계</v>
      </c>
      <c r="AF40" s="80" t="str">
        <f>Q40&amp;"/"&amp;R40</f>
        <v>3/1</v>
      </c>
      <c r="AH40" s="20" t="str">
        <f t="shared" si="20"/>
        <v>동아</v>
      </c>
      <c r="AI40" s="88">
        <f t="shared" si="18"/>
        <v>28</v>
      </c>
      <c r="AJ40" s="80" t="str">
        <f>IF(AI40="","",$AJ$2)</f>
        <v>A-</v>
      </c>
      <c r="AK40" s="80" t="s">
        <v>13</v>
      </c>
      <c r="AL40" s="80" t="s">
        <v>62</v>
      </c>
      <c r="AM40" s="80" t="s">
        <v>63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x14ac:dyDescent="0.3">
      <c r="A41" s="9" t="s">
        <v>739</v>
      </c>
      <c r="B41" s="10" t="s">
        <v>938</v>
      </c>
      <c r="C41" s="89">
        <v>330</v>
      </c>
      <c r="D41" s="87">
        <v>104.8</v>
      </c>
      <c r="E41" s="88">
        <v>32</v>
      </c>
      <c r="F41" s="87">
        <v>84.9</v>
      </c>
      <c r="G41" s="17">
        <v>26</v>
      </c>
      <c r="H41" s="89">
        <v>120</v>
      </c>
      <c r="I41" s="90">
        <v>16800</v>
      </c>
      <c r="J41" s="90" t="s">
        <v>64</v>
      </c>
      <c r="K41" s="90"/>
      <c r="L41" s="90"/>
      <c r="M41" s="91">
        <f>I41-K41</f>
        <v>16800</v>
      </c>
      <c r="N41" s="4">
        <f>IF(ISERROR(K41/I41),"",K41/I41)</f>
        <v>0</v>
      </c>
      <c r="O41" s="92">
        <f>I41/E41</f>
        <v>525</v>
      </c>
      <c r="P41" s="92">
        <f>K41/E41</f>
        <v>0</v>
      </c>
      <c r="Q41" s="80">
        <v>3</v>
      </c>
      <c r="R41" s="80">
        <v>2</v>
      </c>
      <c r="S41" s="80" t="s">
        <v>61</v>
      </c>
      <c r="T41" s="5">
        <v>104</v>
      </c>
      <c r="U41" s="9"/>
      <c r="W41" s="87">
        <f t="shared" si="21"/>
        <v>104.8</v>
      </c>
      <c r="X41" s="88">
        <f t="shared" si="21"/>
        <v>32</v>
      </c>
      <c r="Y41" s="93">
        <f t="shared" si="22"/>
        <v>120</v>
      </c>
      <c r="Z41" s="91">
        <f t="shared" si="22"/>
        <v>16800</v>
      </c>
      <c r="AA41" s="91">
        <f>K41</f>
        <v>0</v>
      </c>
      <c r="AB41" s="91">
        <f t="shared" si="23"/>
        <v>16800</v>
      </c>
      <c r="AC41" s="4">
        <f t="shared" si="23"/>
        <v>0</v>
      </c>
      <c r="AD41" s="92">
        <f t="shared" si="23"/>
        <v>525</v>
      </c>
      <c r="AE41" s="80" t="str">
        <f>S41</f>
        <v>계</v>
      </c>
      <c r="AF41" s="80" t="str">
        <f>Q41&amp;"/"&amp;R41</f>
        <v>3/2</v>
      </c>
      <c r="AH41" s="20" t="str">
        <f t="shared" si="20"/>
        <v>동아</v>
      </c>
      <c r="AI41" s="88">
        <f t="shared" si="18"/>
        <v>32</v>
      </c>
      <c r="AJ41" s="80" t="str">
        <f>IF(AI41="","",$AJ$2)</f>
        <v>A-</v>
      </c>
      <c r="AK41" s="80" t="s">
        <v>13</v>
      </c>
      <c r="AL41" s="80" t="s">
        <v>62</v>
      </c>
      <c r="AM41" s="80" t="s">
        <v>63</v>
      </c>
      <c r="AN41" s="80" t="str">
        <f>IF(AI41="","",$AN$2)</f>
        <v>C</v>
      </c>
      <c r="AO41" s="80" t="str">
        <f>IF(N41="","",IF(N41&gt;=$AO$1/100,"O","X"))</f>
        <v>X</v>
      </c>
      <c r="AP41" s="80" t="str">
        <f>IF(I41="","",IF(I41&lt;=$AP$1,"O","X"))</f>
        <v>O</v>
      </c>
      <c r="AQ41" s="80" t="str">
        <f>IF(O41="","",IF(O41&lt;=$AQ$1,"O","X"))</f>
        <v>O</v>
      </c>
      <c r="AR41" s="80" t="str">
        <f>IF(M41="","",IF(M41&lt;=$AR$1,"O","X"))</f>
        <v>X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>X</v>
      </c>
    </row>
    <row r="42" spans="1:48" x14ac:dyDescent="0.3">
      <c r="A42" s="9" t="s">
        <v>739</v>
      </c>
      <c r="B42" s="10" t="s">
        <v>938</v>
      </c>
      <c r="C42" s="89">
        <v>330</v>
      </c>
      <c r="D42" s="87">
        <v>159.1</v>
      </c>
      <c r="E42" s="88">
        <v>48</v>
      </c>
      <c r="F42" s="87">
        <v>134.5</v>
      </c>
      <c r="G42" s="17">
        <v>41</v>
      </c>
      <c r="H42" s="89">
        <v>60</v>
      </c>
      <c r="I42" s="90">
        <v>21900</v>
      </c>
      <c r="J42" s="90" t="s">
        <v>73</v>
      </c>
      <c r="K42" s="90"/>
      <c r="L42" s="90"/>
      <c r="M42" s="91">
        <f>I42-K42</f>
        <v>21900</v>
      </c>
      <c r="N42" s="4">
        <f>IF(ISERROR(K42/I42),"",K42/I42)</f>
        <v>0</v>
      </c>
      <c r="O42" s="92">
        <f>I42/E42</f>
        <v>456.25</v>
      </c>
      <c r="P42" s="92">
        <f>K42/E42</f>
        <v>0</v>
      </c>
      <c r="Q42" s="80">
        <v>4</v>
      </c>
      <c r="R42" s="80">
        <v>2</v>
      </c>
      <c r="S42" s="80" t="s">
        <v>61</v>
      </c>
      <c r="T42" s="5">
        <v>159</v>
      </c>
      <c r="U42" s="9"/>
      <c r="W42" s="87">
        <f t="shared" si="21"/>
        <v>159.1</v>
      </c>
      <c r="X42" s="88">
        <f t="shared" si="21"/>
        <v>48</v>
      </c>
      <c r="Y42" s="93">
        <f t="shared" si="22"/>
        <v>60</v>
      </c>
      <c r="Z42" s="91">
        <f t="shared" si="22"/>
        <v>21900</v>
      </c>
      <c r="AA42" s="91">
        <f>K42</f>
        <v>0</v>
      </c>
      <c r="AB42" s="91">
        <f t="shared" si="23"/>
        <v>21900</v>
      </c>
      <c r="AC42" s="4">
        <f t="shared" si="23"/>
        <v>0</v>
      </c>
      <c r="AD42" s="92">
        <f t="shared" si="23"/>
        <v>456.25</v>
      </c>
      <c r="AE42" s="80" t="str">
        <f>S42</f>
        <v>계</v>
      </c>
      <c r="AF42" s="80" t="str">
        <f>Q42&amp;"/"&amp;R42</f>
        <v>4/2</v>
      </c>
      <c r="AH42" s="20" t="str">
        <f t="shared" si="20"/>
        <v>동아</v>
      </c>
      <c r="AI42" s="88">
        <f t="shared" si="18"/>
        <v>48</v>
      </c>
      <c r="AJ42" s="80" t="str">
        <f>IF(AI42="","",$AJ$2)</f>
        <v>A-</v>
      </c>
      <c r="AK42" s="80" t="s">
        <v>13</v>
      </c>
      <c r="AL42" s="80" t="s">
        <v>62</v>
      </c>
      <c r="AM42" s="80" t="s">
        <v>63</v>
      </c>
      <c r="AN42" s="80" t="str">
        <f>IF(AI42="","",$AN$2)</f>
        <v>C</v>
      </c>
      <c r="AO42" s="80" t="str">
        <f>IF(N42="","",IF(N42&gt;=$AO$1/100,"O","X"))</f>
        <v>X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X</v>
      </c>
      <c r="AS42" s="80" t="s">
        <v>2</v>
      </c>
      <c r="AT42" s="80" t="str">
        <f>IF(OR(F42="",AI42=""),"",IF(AND((F42&lt;=85),(AI42&gt;=15)),"O","X"))</f>
        <v>X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율량동 율량금호어울림센트로('22.01.,748^)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20"/>
        <v/>
      </c>
      <c r="AI43" s="112" t="str">
        <f t="shared" si="18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744</v>
      </c>
      <c r="B44" s="10" t="s">
        <v>939</v>
      </c>
      <c r="C44" s="89">
        <v>748</v>
      </c>
      <c r="D44" s="87">
        <v>79.8</v>
      </c>
      <c r="E44" s="88">
        <v>24</v>
      </c>
      <c r="F44" s="87">
        <v>59.9</v>
      </c>
      <c r="G44" s="17">
        <v>18</v>
      </c>
      <c r="H44" s="89">
        <v>152</v>
      </c>
      <c r="I44" s="90">
        <v>30600</v>
      </c>
      <c r="J44" s="90" t="s">
        <v>59</v>
      </c>
      <c r="K44" s="90">
        <v>25000</v>
      </c>
      <c r="L44" s="90" t="s">
        <v>106</v>
      </c>
      <c r="M44" s="91">
        <f t="shared" ref="M44:M51" si="24">I44-K44</f>
        <v>5600</v>
      </c>
      <c r="N44" s="4">
        <f t="shared" ref="N44:N51" si="25">IF(ISERROR(K44/I44),"",K44/I44)</f>
        <v>0.81699346405228757</v>
      </c>
      <c r="O44" s="92">
        <f t="shared" ref="O44:O51" si="26">I44/E44</f>
        <v>1275</v>
      </c>
      <c r="P44" s="92">
        <f t="shared" ref="P44:P51" si="27">K44/E44</f>
        <v>1041.6666666666667</v>
      </c>
      <c r="Q44" s="80">
        <v>3</v>
      </c>
      <c r="R44" s="80">
        <v>2</v>
      </c>
      <c r="S44" s="80" t="s">
        <v>61</v>
      </c>
      <c r="T44" s="5" t="s">
        <v>122</v>
      </c>
      <c r="U44" s="9"/>
      <c r="W44" s="87">
        <f t="shared" ref="W44:X51" si="28">D44</f>
        <v>79.8</v>
      </c>
      <c r="X44" s="88">
        <f t="shared" si="28"/>
        <v>24</v>
      </c>
      <c r="Y44" s="93">
        <f t="shared" ref="Y44:Z51" si="29">H44</f>
        <v>152</v>
      </c>
      <c r="Z44" s="91">
        <f t="shared" si="29"/>
        <v>30600</v>
      </c>
      <c r="AA44" s="91">
        <f t="shared" ref="AA44:AA51" si="30">K44</f>
        <v>25000</v>
      </c>
      <c r="AB44" s="91">
        <f t="shared" ref="AB44:AD51" si="31">M44</f>
        <v>5600</v>
      </c>
      <c r="AC44" s="4">
        <f t="shared" si="31"/>
        <v>0.81699346405228757</v>
      </c>
      <c r="AD44" s="92">
        <f t="shared" si="31"/>
        <v>1275</v>
      </c>
      <c r="AE44" s="80" t="str">
        <f t="shared" ref="AE44:AE51" si="32">S44</f>
        <v>계</v>
      </c>
      <c r="AF44" s="80" t="str">
        <f t="shared" ref="AF44:AF51" si="33">Q44&amp;"/"&amp;R44</f>
        <v>3/2</v>
      </c>
      <c r="AH44" s="20" t="str">
        <f t="shared" si="20"/>
        <v>율량금호어울림센트로</v>
      </c>
      <c r="AI44" s="88">
        <f t="shared" si="18"/>
        <v>24</v>
      </c>
      <c r="AJ44" s="80" t="str">
        <f t="shared" ref="AJ44:AJ51" si="34">IF(AI44="","",$AJ$2)</f>
        <v>A-</v>
      </c>
      <c r="AK44" s="80" t="s">
        <v>13</v>
      </c>
      <c r="AL44" s="80" t="s">
        <v>62</v>
      </c>
      <c r="AM44" s="80" t="s">
        <v>63</v>
      </c>
      <c r="AN44" s="80" t="str">
        <f t="shared" ref="AN44:AN51" si="35">IF(AI44="","",$AN$2)</f>
        <v>C</v>
      </c>
      <c r="AO44" s="80" t="str">
        <f t="shared" ref="AO44:AO51" si="36">IF(N44="","",IF(N44&gt;=$AO$1/100,"O","X"))</f>
        <v>O</v>
      </c>
      <c r="AP44" s="80" t="str">
        <f t="shared" ref="AP44:AP51" si="37">IF(I44="","",IF(I44&lt;=$AP$1,"O","X"))</f>
        <v>O</v>
      </c>
      <c r="AQ44" s="80" t="str">
        <f t="shared" ref="AQ44:AQ51" si="38">IF(O44="","",IF(O44&lt;=$AQ$1,"O","X"))</f>
        <v>X</v>
      </c>
      <c r="AR44" s="80" t="str">
        <f t="shared" ref="AR44:AR51" si="39">IF(M44="","",IF(M44&lt;=$AR$1,"O","X"))</f>
        <v>O</v>
      </c>
      <c r="AS44" s="80" t="s">
        <v>2</v>
      </c>
      <c r="AT44" s="80" t="str">
        <f t="shared" ref="AT44:AT51" si="40">IF(OR(F44="",AI44=""),"",IF(AND((F44&lt;=85),(AI44&gt;=15)),"O","X"))</f>
        <v>O</v>
      </c>
      <c r="AU44" s="80" t="str">
        <f t="shared" ref="AU44:AU51" si="41">IF(C44="","",IF(C44&gt;=$AU$1,"O","X"))</f>
        <v>O</v>
      </c>
      <c r="AV44" s="80" t="str">
        <f t="shared" ref="AV44:AV51" si="42">IF(AO44="","",IF(AND(AO44="O",AP44="O",AR44="O",AT44="O",AU44="O"),"후보","X"))</f>
        <v>후보</v>
      </c>
    </row>
    <row r="45" spans="1:48" x14ac:dyDescent="0.3">
      <c r="A45" s="9" t="s">
        <v>744</v>
      </c>
      <c r="B45" s="10" t="s">
        <v>939</v>
      </c>
      <c r="C45" s="89">
        <v>748</v>
      </c>
      <c r="D45" s="87">
        <v>80.3</v>
      </c>
      <c r="E45" s="88">
        <v>24</v>
      </c>
      <c r="F45" s="87">
        <v>59.9</v>
      </c>
      <c r="G45" s="17">
        <v>18</v>
      </c>
      <c r="H45" s="89">
        <v>99</v>
      </c>
      <c r="I45" s="90"/>
      <c r="J45" s="90"/>
      <c r="K45" s="90"/>
      <c r="L45" s="90"/>
      <c r="M45" s="91">
        <f t="shared" si="24"/>
        <v>0</v>
      </c>
      <c r="N45" s="4" t="str">
        <f t="shared" si="25"/>
        <v/>
      </c>
      <c r="O45" s="92">
        <f t="shared" si="26"/>
        <v>0</v>
      </c>
      <c r="P45" s="92">
        <f t="shared" si="27"/>
        <v>0</v>
      </c>
      <c r="Q45" s="80">
        <v>3</v>
      </c>
      <c r="R45" s="80">
        <v>2</v>
      </c>
      <c r="S45" s="80" t="s">
        <v>61</v>
      </c>
      <c r="T45" s="5" t="s">
        <v>420</v>
      </c>
      <c r="U45" s="9"/>
      <c r="W45" s="87">
        <f t="shared" si="28"/>
        <v>80.3</v>
      </c>
      <c r="X45" s="88">
        <f t="shared" si="28"/>
        <v>24</v>
      </c>
      <c r="Y45" s="93">
        <f t="shared" si="29"/>
        <v>99</v>
      </c>
      <c r="Z45" s="91">
        <f t="shared" si="29"/>
        <v>0</v>
      </c>
      <c r="AA45" s="91">
        <f t="shared" si="30"/>
        <v>0</v>
      </c>
      <c r="AB45" s="91">
        <f t="shared" si="31"/>
        <v>0</v>
      </c>
      <c r="AC45" s="4" t="str">
        <f t="shared" si="31"/>
        <v/>
      </c>
      <c r="AD45" s="92">
        <f t="shared" si="31"/>
        <v>0</v>
      </c>
      <c r="AE45" s="80" t="str">
        <f t="shared" si="32"/>
        <v>계</v>
      </c>
      <c r="AF45" s="80" t="str">
        <f t="shared" si="33"/>
        <v>3/2</v>
      </c>
      <c r="AH45" s="20" t="str">
        <f t="shared" si="20"/>
        <v>율량금호어울림센트로</v>
      </c>
      <c r="AI45" s="88">
        <f t="shared" si="18"/>
        <v>24</v>
      </c>
      <c r="AJ45" s="80" t="str">
        <f t="shared" si="34"/>
        <v>A-</v>
      </c>
      <c r="AK45" s="80" t="s">
        <v>13</v>
      </c>
      <c r="AL45" s="80" t="s">
        <v>62</v>
      </c>
      <c r="AM45" s="80" t="s">
        <v>63</v>
      </c>
      <c r="AN45" s="80" t="str">
        <f t="shared" si="35"/>
        <v>C</v>
      </c>
      <c r="AO45" s="80" t="str">
        <f t="shared" si="36"/>
        <v/>
      </c>
      <c r="AP45" s="80" t="str">
        <f t="shared" si="37"/>
        <v/>
      </c>
      <c r="AQ45" s="80" t="str">
        <f t="shared" si="38"/>
        <v>O</v>
      </c>
      <c r="AR45" s="80" t="str">
        <f t="shared" si="39"/>
        <v>O</v>
      </c>
      <c r="AS45" s="80" t="s">
        <v>2</v>
      </c>
      <c r="AT45" s="80" t="str">
        <f t="shared" si="40"/>
        <v>O</v>
      </c>
      <c r="AU45" s="80" t="str">
        <f t="shared" si="41"/>
        <v>O</v>
      </c>
      <c r="AV45" s="80" t="str">
        <f t="shared" si="42"/>
        <v/>
      </c>
    </row>
    <row r="46" spans="1:48" x14ac:dyDescent="0.3">
      <c r="A46" s="9" t="s">
        <v>744</v>
      </c>
      <c r="B46" s="10" t="s">
        <v>939</v>
      </c>
      <c r="C46" s="89">
        <v>748</v>
      </c>
      <c r="D46" s="87">
        <v>99.6</v>
      </c>
      <c r="E46" s="88">
        <v>30</v>
      </c>
      <c r="F46" s="87">
        <v>76</v>
      </c>
      <c r="G46" s="17">
        <v>23</v>
      </c>
      <c r="H46" s="89">
        <v>143</v>
      </c>
      <c r="I46" s="90"/>
      <c r="J46" s="90"/>
      <c r="K46" s="90"/>
      <c r="L46" s="90"/>
      <c r="M46" s="91">
        <f t="shared" si="24"/>
        <v>0</v>
      </c>
      <c r="N46" s="4" t="str">
        <f t="shared" si="25"/>
        <v/>
      </c>
      <c r="O46" s="92">
        <f t="shared" si="26"/>
        <v>0</v>
      </c>
      <c r="P46" s="92">
        <f t="shared" si="27"/>
        <v>0</v>
      </c>
      <c r="Q46" s="80">
        <v>3</v>
      </c>
      <c r="R46" s="80">
        <v>2</v>
      </c>
      <c r="S46" s="80" t="s">
        <v>61</v>
      </c>
      <c r="T46" s="5" t="s">
        <v>123</v>
      </c>
      <c r="U46" s="9"/>
      <c r="W46" s="87">
        <f t="shared" si="28"/>
        <v>99.6</v>
      </c>
      <c r="X46" s="88">
        <f t="shared" si="28"/>
        <v>30</v>
      </c>
      <c r="Y46" s="93">
        <f t="shared" si="29"/>
        <v>143</v>
      </c>
      <c r="Z46" s="91">
        <f t="shared" si="29"/>
        <v>0</v>
      </c>
      <c r="AA46" s="91">
        <f t="shared" si="30"/>
        <v>0</v>
      </c>
      <c r="AB46" s="91">
        <f t="shared" si="31"/>
        <v>0</v>
      </c>
      <c r="AC46" s="4" t="str">
        <f t="shared" si="31"/>
        <v/>
      </c>
      <c r="AD46" s="92">
        <f t="shared" si="31"/>
        <v>0</v>
      </c>
      <c r="AE46" s="80" t="str">
        <f t="shared" si="32"/>
        <v>계</v>
      </c>
      <c r="AF46" s="80" t="str">
        <f t="shared" si="33"/>
        <v>3/2</v>
      </c>
      <c r="AH46" s="20" t="str">
        <f t="shared" si="20"/>
        <v>율량금호어울림센트로</v>
      </c>
      <c r="AI46" s="88">
        <f t="shared" si="18"/>
        <v>30</v>
      </c>
      <c r="AJ46" s="80" t="str">
        <f t="shared" si="34"/>
        <v>A-</v>
      </c>
      <c r="AK46" s="80" t="s">
        <v>13</v>
      </c>
      <c r="AL46" s="80" t="s">
        <v>62</v>
      </c>
      <c r="AM46" s="80" t="s">
        <v>63</v>
      </c>
      <c r="AN46" s="80" t="str">
        <f t="shared" si="35"/>
        <v>C</v>
      </c>
      <c r="AO46" s="80" t="str">
        <f t="shared" si="36"/>
        <v/>
      </c>
      <c r="AP46" s="80" t="str">
        <f t="shared" si="37"/>
        <v/>
      </c>
      <c r="AQ46" s="80" t="str">
        <f t="shared" si="38"/>
        <v>O</v>
      </c>
      <c r="AR46" s="80" t="str">
        <f t="shared" si="39"/>
        <v>O</v>
      </c>
      <c r="AS46" s="80" t="s">
        <v>2</v>
      </c>
      <c r="AT46" s="80" t="str">
        <f t="shared" si="40"/>
        <v>O</v>
      </c>
      <c r="AU46" s="80" t="str">
        <f t="shared" si="41"/>
        <v>O</v>
      </c>
      <c r="AV46" s="80" t="str">
        <f t="shared" si="42"/>
        <v/>
      </c>
    </row>
    <row r="47" spans="1:48" x14ac:dyDescent="0.3">
      <c r="A47" s="9" t="s">
        <v>744</v>
      </c>
      <c r="B47" s="10" t="s">
        <v>939</v>
      </c>
      <c r="C47" s="89">
        <v>748</v>
      </c>
      <c r="D47" s="87">
        <v>100.8</v>
      </c>
      <c r="E47" s="88">
        <v>31</v>
      </c>
      <c r="F47" s="87">
        <v>76</v>
      </c>
      <c r="G47" s="17">
        <v>23</v>
      </c>
      <c r="H47" s="89">
        <v>107</v>
      </c>
      <c r="I47" s="90">
        <v>36440</v>
      </c>
      <c r="J47" s="90" t="s">
        <v>70</v>
      </c>
      <c r="K47" s="90">
        <v>28000</v>
      </c>
      <c r="L47" s="90" t="s">
        <v>101</v>
      </c>
      <c r="M47" s="91">
        <f t="shared" si="24"/>
        <v>8440</v>
      </c>
      <c r="N47" s="4">
        <f t="shared" si="25"/>
        <v>0.76838638858397368</v>
      </c>
      <c r="O47" s="92">
        <f t="shared" si="26"/>
        <v>1175.483870967742</v>
      </c>
      <c r="P47" s="92">
        <f t="shared" si="27"/>
        <v>903.22580645161293</v>
      </c>
      <c r="Q47" s="80">
        <v>3</v>
      </c>
      <c r="R47" s="80">
        <v>2</v>
      </c>
      <c r="S47" s="80" t="s">
        <v>61</v>
      </c>
      <c r="T47" s="5" t="s">
        <v>108</v>
      </c>
      <c r="U47" s="9"/>
      <c r="W47" s="87">
        <f t="shared" si="28"/>
        <v>100.8</v>
      </c>
      <c r="X47" s="88">
        <f t="shared" si="28"/>
        <v>31</v>
      </c>
      <c r="Y47" s="93">
        <f t="shared" si="29"/>
        <v>107</v>
      </c>
      <c r="Z47" s="91">
        <f t="shared" si="29"/>
        <v>36440</v>
      </c>
      <c r="AA47" s="91">
        <f t="shared" si="30"/>
        <v>28000</v>
      </c>
      <c r="AB47" s="91">
        <f t="shared" si="31"/>
        <v>8440</v>
      </c>
      <c r="AC47" s="4">
        <f t="shared" si="31"/>
        <v>0.76838638858397368</v>
      </c>
      <c r="AD47" s="92">
        <f t="shared" si="31"/>
        <v>1175.483870967742</v>
      </c>
      <c r="AE47" s="80" t="str">
        <f t="shared" si="32"/>
        <v>계</v>
      </c>
      <c r="AF47" s="80" t="str">
        <f t="shared" si="33"/>
        <v>3/2</v>
      </c>
      <c r="AH47" s="20" t="str">
        <f t="shared" si="20"/>
        <v>율량금호어울림센트로</v>
      </c>
      <c r="AI47" s="88">
        <f t="shared" si="18"/>
        <v>31</v>
      </c>
      <c r="AJ47" s="80" t="str">
        <f t="shared" si="34"/>
        <v>A-</v>
      </c>
      <c r="AK47" s="80" t="s">
        <v>13</v>
      </c>
      <c r="AL47" s="80" t="s">
        <v>62</v>
      </c>
      <c r="AM47" s="80" t="s">
        <v>63</v>
      </c>
      <c r="AN47" s="80" t="str">
        <f t="shared" si="35"/>
        <v>C</v>
      </c>
      <c r="AO47" s="80" t="str">
        <f t="shared" si="36"/>
        <v>X</v>
      </c>
      <c r="AP47" s="80" t="str">
        <f t="shared" si="37"/>
        <v>O</v>
      </c>
      <c r="AQ47" s="80" t="str">
        <f t="shared" si="38"/>
        <v>X</v>
      </c>
      <c r="AR47" s="80" t="str">
        <f t="shared" si="39"/>
        <v>X</v>
      </c>
      <c r="AS47" s="80" t="s">
        <v>2</v>
      </c>
      <c r="AT47" s="80" t="str">
        <f t="shared" si="40"/>
        <v>O</v>
      </c>
      <c r="AU47" s="80" t="str">
        <f t="shared" si="41"/>
        <v>O</v>
      </c>
      <c r="AV47" s="80" t="str">
        <f t="shared" si="42"/>
        <v>X</v>
      </c>
    </row>
    <row r="48" spans="1:48" x14ac:dyDescent="0.3">
      <c r="A48" s="9" t="s">
        <v>744</v>
      </c>
      <c r="B48" s="10" t="s">
        <v>939</v>
      </c>
      <c r="C48" s="89">
        <v>748</v>
      </c>
      <c r="D48" s="87">
        <v>111.2</v>
      </c>
      <c r="E48" s="88">
        <v>34</v>
      </c>
      <c r="F48" s="87">
        <v>85</v>
      </c>
      <c r="G48" s="17">
        <v>26</v>
      </c>
      <c r="H48" s="89">
        <v>149</v>
      </c>
      <c r="I48" s="90">
        <v>41600</v>
      </c>
      <c r="J48" s="90" t="s">
        <v>68</v>
      </c>
      <c r="K48" s="90">
        <v>30000</v>
      </c>
      <c r="L48" s="90" t="s">
        <v>104</v>
      </c>
      <c r="M48" s="91">
        <f t="shared" si="24"/>
        <v>11600</v>
      </c>
      <c r="N48" s="4">
        <f t="shared" si="25"/>
        <v>0.72115384615384615</v>
      </c>
      <c r="O48" s="92">
        <f t="shared" si="26"/>
        <v>1223.5294117647059</v>
      </c>
      <c r="P48" s="92">
        <f t="shared" si="27"/>
        <v>882.35294117647061</v>
      </c>
      <c r="Q48" s="80">
        <v>3</v>
      </c>
      <c r="R48" s="80">
        <v>2</v>
      </c>
      <c r="S48" s="80" t="s">
        <v>61</v>
      </c>
      <c r="T48" s="5" t="s">
        <v>109</v>
      </c>
      <c r="U48" s="9"/>
      <c r="W48" s="87">
        <f t="shared" si="28"/>
        <v>111.2</v>
      </c>
      <c r="X48" s="88">
        <f t="shared" si="28"/>
        <v>34</v>
      </c>
      <c r="Y48" s="93">
        <f t="shared" si="29"/>
        <v>149</v>
      </c>
      <c r="Z48" s="91">
        <f t="shared" si="29"/>
        <v>41600</v>
      </c>
      <c r="AA48" s="91">
        <f t="shared" si="30"/>
        <v>30000</v>
      </c>
      <c r="AB48" s="91">
        <f t="shared" si="31"/>
        <v>11600</v>
      </c>
      <c r="AC48" s="4">
        <f t="shared" si="31"/>
        <v>0.72115384615384615</v>
      </c>
      <c r="AD48" s="92">
        <f t="shared" si="31"/>
        <v>1223.5294117647059</v>
      </c>
      <c r="AE48" s="80" t="str">
        <f t="shared" si="32"/>
        <v>계</v>
      </c>
      <c r="AF48" s="80" t="str">
        <f t="shared" si="33"/>
        <v>3/2</v>
      </c>
      <c r="AH48" s="20" t="str">
        <f t="shared" si="20"/>
        <v>율량금호어울림센트로</v>
      </c>
      <c r="AI48" s="88">
        <f t="shared" si="18"/>
        <v>34</v>
      </c>
      <c r="AJ48" s="80" t="str">
        <f t="shared" si="34"/>
        <v>A-</v>
      </c>
      <c r="AK48" s="80" t="s">
        <v>13</v>
      </c>
      <c r="AL48" s="80" t="s">
        <v>62</v>
      </c>
      <c r="AM48" s="80" t="s">
        <v>63</v>
      </c>
      <c r="AN48" s="80" t="str">
        <f t="shared" si="35"/>
        <v>C</v>
      </c>
      <c r="AO48" s="80" t="str">
        <f t="shared" si="36"/>
        <v>X</v>
      </c>
      <c r="AP48" s="80" t="str">
        <f t="shared" si="37"/>
        <v>O</v>
      </c>
      <c r="AQ48" s="80" t="str">
        <f t="shared" si="38"/>
        <v>X</v>
      </c>
      <c r="AR48" s="80" t="str">
        <f t="shared" si="39"/>
        <v>X</v>
      </c>
      <c r="AS48" s="80" t="s">
        <v>2</v>
      </c>
      <c r="AT48" s="80" t="str">
        <f t="shared" si="40"/>
        <v>O</v>
      </c>
      <c r="AU48" s="80" t="str">
        <f t="shared" si="41"/>
        <v>O</v>
      </c>
      <c r="AV48" s="80" t="str">
        <f t="shared" si="42"/>
        <v>X</v>
      </c>
    </row>
    <row r="49" spans="1:48" x14ac:dyDescent="0.3">
      <c r="A49" s="9" t="s">
        <v>744</v>
      </c>
      <c r="B49" s="10" t="s">
        <v>939</v>
      </c>
      <c r="C49" s="89">
        <v>748</v>
      </c>
      <c r="D49" s="87">
        <v>111.5</v>
      </c>
      <c r="E49" s="88">
        <v>34</v>
      </c>
      <c r="F49" s="87">
        <v>85</v>
      </c>
      <c r="G49" s="17">
        <v>26</v>
      </c>
      <c r="H49" s="89">
        <v>48</v>
      </c>
      <c r="I49" s="90">
        <v>42700</v>
      </c>
      <c r="J49" s="90" t="s">
        <v>68</v>
      </c>
      <c r="K49" s="90">
        <v>31000</v>
      </c>
      <c r="L49" s="90" t="s">
        <v>106</v>
      </c>
      <c r="M49" s="91">
        <f t="shared" si="24"/>
        <v>11700</v>
      </c>
      <c r="N49" s="4">
        <f t="shared" si="25"/>
        <v>0.72599531615925061</v>
      </c>
      <c r="O49" s="92">
        <f t="shared" si="26"/>
        <v>1255.8823529411766</v>
      </c>
      <c r="P49" s="92">
        <f t="shared" si="27"/>
        <v>911.76470588235293</v>
      </c>
      <c r="Q49" s="80">
        <v>3</v>
      </c>
      <c r="R49" s="80">
        <v>2</v>
      </c>
      <c r="S49" s="80" t="s">
        <v>61</v>
      </c>
      <c r="T49" s="5" t="s">
        <v>664</v>
      </c>
      <c r="U49" s="9"/>
      <c r="W49" s="87">
        <f t="shared" si="28"/>
        <v>111.5</v>
      </c>
      <c r="X49" s="88">
        <f t="shared" si="28"/>
        <v>34</v>
      </c>
      <c r="Y49" s="93">
        <f t="shared" si="29"/>
        <v>48</v>
      </c>
      <c r="Z49" s="91">
        <f t="shared" si="29"/>
        <v>42700</v>
      </c>
      <c r="AA49" s="91">
        <f t="shared" si="30"/>
        <v>31000</v>
      </c>
      <c r="AB49" s="91">
        <f t="shared" si="31"/>
        <v>11700</v>
      </c>
      <c r="AC49" s="4">
        <f t="shared" si="31"/>
        <v>0.72599531615925061</v>
      </c>
      <c r="AD49" s="92">
        <f t="shared" si="31"/>
        <v>1255.8823529411766</v>
      </c>
      <c r="AE49" s="80" t="str">
        <f t="shared" si="32"/>
        <v>계</v>
      </c>
      <c r="AF49" s="80" t="str">
        <f t="shared" si="33"/>
        <v>3/2</v>
      </c>
      <c r="AH49" s="20" t="str">
        <f t="shared" si="20"/>
        <v>율량금호어울림센트로</v>
      </c>
      <c r="AI49" s="88">
        <f t="shared" si="18"/>
        <v>34</v>
      </c>
      <c r="AJ49" s="80" t="str">
        <f t="shared" si="34"/>
        <v>A-</v>
      </c>
      <c r="AK49" s="80" t="s">
        <v>13</v>
      </c>
      <c r="AL49" s="80" t="s">
        <v>62</v>
      </c>
      <c r="AM49" s="80" t="s">
        <v>63</v>
      </c>
      <c r="AN49" s="80" t="str">
        <f t="shared" si="35"/>
        <v>C</v>
      </c>
      <c r="AO49" s="80" t="str">
        <f t="shared" si="36"/>
        <v>X</v>
      </c>
      <c r="AP49" s="80" t="str">
        <f t="shared" si="37"/>
        <v>O</v>
      </c>
      <c r="AQ49" s="80" t="str">
        <f t="shared" si="38"/>
        <v>X</v>
      </c>
      <c r="AR49" s="80" t="str">
        <f t="shared" si="39"/>
        <v>X</v>
      </c>
      <c r="AS49" s="80" t="s">
        <v>2</v>
      </c>
      <c r="AT49" s="80" t="str">
        <f t="shared" si="40"/>
        <v>O</v>
      </c>
      <c r="AU49" s="80" t="str">
        <f t="shared" si="41"/>
        <v>O</v>
      </c>
      <c r="AV49" s="80" t="str">
        <f t="shared" si="42"/>
        <v>X</v>
      </c>
    </row>
    <row r="50" spans="1:48" x14ac:dyDescent="0.3">
      <c r="A50" s="9" t="s">
        <v>744</v>
      </c>
      <c r="B50" s="10" t="s">
        <v>939</v>
      </c>
      <c r="C50" s="89">
        <v>748</v>
      </c>
      <c r="D50" s="87">
        <v>113.6</v>
      </c>
      <c r="E50" s="88">
        <v>34</v>
      </c>
      <c r="F50" s="87">
        <v>85</v>
      </c>
      <c r="G50" s="17">
        <v>26</v>
      </c>
      <c r="H50" s="89">
        <v>28</v>
      </c>
      <c r="I50" s="90"/>
      <c r="J50" s="90"/>
      <c r="K50" s="90">
        <v>32000</v>
      </c>
      <c r="L50" s="90" t="s">
        <v>69</v>
      </c>
      <c r="M50" s="91">
        <f t="shared" si="24"/>
        <v>-32000</v>
      </c>
      <c r="N50" s="4" t="str">
        <f t="shared" si="25"/>
        <v/>
      </c>
      <c r="O50" s="92">
        <f t="shared" si="26"/>
        <v>0</v>
      </c>
      <c r="P50" s="92">
        <f t="shared" si="27"/>
        <v>941.17647058823525</v>
      </c>
      <c r="Q50" s="80">
        <v>3</v>
      </c>
      <c r="R50" s="80">
        <v>2</v>
      </c>
      <c r="S50" s="80" t="s">
        <v>61</v>
      </c>
      <c r="T50" s="5" t="s">
        <v>749</v>
      </c>
      <c r="U50" s="9"/>
      <c r="W50" s="87">
        <f t="shared" si="28"/>
        <v>113.6</v>
      </c>
      <c r="X50" s="88">
        <f t="shared" si="28"/>
        <v>34</v>
      </c>
      <c r="Y50" s="93">
        <f t="shared" si="29"/>
        <v>28</v>
      </c>
      <c r="Z50" s="91">
        <f t="shared" si="29"/>
        <v>0</v>
      </c>
      <c r="AA50" s="91">
        <f t="shared" si="30"/>
        <v>32000</v>
      </c>
      <c r="AB50" s="91">
        <f t="shared" si="31"/>
        <v>-32000</v>
      </c>
      <c r="AC50" s="4" t="str">
        <f t="shared" si="31"/>
        <v/>
      </c>
      <c r="AD50" s="92">
        <f t="shared" si="31"/>
        <v>0</v>
      </c>
      <c r="AE50" s="80" t="str">
        <f t="shared" si="32"/>
        <v>계</v>
      </c>
      <c r="AF50" s="80" t="str">
        <f t="shared" si="33"/>
        <v>3/2</v>
      </c>
      <c r="AH50" s="20" t="str">
        <f t="shared" si="20"/>
        <v>율량금호어울림센트로</v>
      </c>
      <c r="AI50" s="88">
        <f t="shared" si="18"/>
        <v>34</v>
      </c>
      <c r="AJ50" s="80" t="str">
        <f t="shared" si="34"/>
        <v>A-</v>
      </c>
      <c r="AK50" s="80" t="s">
        <v>13</v>
      </c>
      <c r="AL50" s="80" t="s">
        <v>62</v>
      </c>
      <c r="AM50" s="80" t="s">
        <v>63</v>
      </c>
      <c r="AN50" s="80" t="str">
        <f t="shared" si="35"/>
        <v>C</v>
      </c>
      <c r="AO50" s="80" t="str">
        <f t="shared" si="36"/>
        <v/>
      </c>
      <c r="AP50" s="80" t="str">
        <f t="shared" si="37"/>
        <v/>
      </c>
      <c r="AQ50" s="80" t="str">
        <f t="shared" si="38"/>
        <v>O</v>
      </c>
      <c r="AR50" s="80" t="str">
        <f t="shared" si="39"/>
        <v>O</v>
      </c>
      <c r="AS50" s="80" t="s">
        <v>2</v>
      </c>
      <c r="AT50" s="80" t="str">
        <f t="shared" si="40"/>
        <v>O</v>
      </c>
      <c r="AU50" s="80" t="str">
        <f t="shared" si="41"/>
        <v>O</v>
      </c>
      <c r="AV50" s="80" t="str">
        <f t="shared" si="42"/>
        <v/>
      </c>
    </row>
    <row r="51" spans="1:48" x14ac:dyDescent="0.3">
      <c r="A51" s="9" t="s">
        <v>744</v>
      </c>
      <c r="B51" s="10" t="s">
        <v>939</v>
      </c>
      <c r="C51" s="89">
        <v>748</v>
      </c>
      <c r="D51" s="87">
        <v>113.7</v>
      </c>
      <c r="E51" s="88">
        <v>34</v>
      </c>
      <c r="F51" s="87">
        <v>85</v>
      </c>
      <c r="G51" s="17">
        <v>26</v>
      </c>
      <c r="H51" s="89">
        <v>22</v>
      </c>
      <c r="I51" s="90"/>
      <c r="J51" s="90"/>
      <c r="K51" s="90">
        <v>28000</v>
      </c>
      <c r="L51" s="90" t="s">
        <v>68</v>
      </c>
      <c r="M51" s="91">
        <f t="shared" si="24"/>
        <v>-28000</v>
      </c>
      <c r="N51" s="4" t="str">
        <f t="shared" si="25"/>
        <v/>
      </c>
      <c r="O51" s="92">
        <f t="shared" si="26"/>
        <v>0</v>
      </c>
      <c r="P51" s="92">
        <f t="shared" si="27"/>
        <v>823.52941176470586</v>
      </c>
      <c r="Q51" s="80">
        <v>3</v>
      </c>
      <c r="R51" s="80">
        <v>2</v>
      </c>
      <c r="S51" s="80" t="s">
        <v>61</v>
      </c>
      <c r="T51" s="5" t="s">
        <v>750</v>
      </c>
      <c r="U51" s="9"/>
      <c r="W51" s="87">
        <f t="shared" si="28"/>
        <v>113.7</v>
      </c>
      <c r="X51" s="88">
        <f t="shared" si="28"/>
        <v>34</v>
      </c>
      <c r="Y51" s="93">
        <f t="shared" si="29"/>
        <v>22</v>
      </c>
      <c r="Z51" s="91">
        <f t="shared" si="29"/>
        <v>0</v>
      </c>
      <c r="AA51" s="91">
        <f t="shared" si="30"/>
        <v>28000</v>
      </c>
      <c r="AB51" s="91">
        <f t="shared" si="31"/>
        <v>-28000</v>
      </c>
      <c r="AC51" s="4" t="str">
        <f t="shared" si="31"/>
        <v/>
      </c>
      <c r="AD51" s="92">
        <f t="shared" si="31"/>
        <v>0</v>
      </c>
      <c r="AE51" s="80" t="str">
        <f t="shared" si="32"/>
        <v>계</v>
      </c>
      <c r="AF51" s="80" t="str">
        <f t="shared" si="33"/>
        <v>3/2</v>
      </c>
      <c r="AH51" s="20" t="str">
        <f t="shared" si="20"/>
        <v>율량금호어울림센트로</v>
      </c>
      <c r="AI51" s="88">
        <f t="shared" si="18"/>
        <v>34</v>
      </c>
      <c r="AJ51" s="80" t="str">
        <f t="shared" si="34"/>
        <v>A-</v>
      </c>
      <c r="AK51" s="80" t="s">
        <v>13</v>
      </c>
      <c r="AL51" s="80" t="s">
        <v>62</v>
      </c>
      <c r="AM51" s="80" t="s">
        <v>63</v>
      </c>
      <c r="AN51" s="80" t="str">
        <f t="shared" si="35"/>
        <v>C</v>
      </c>
      <c r="AO51" s="80" t="str">
        <f t="shared" si="36"/>
        <v/>
      </c>
      <c r="AP51" s="80" t="str">
        <f t="shared" si="37"/>
        <v/>
      </c>
      <c r="AQ51" s="80" t="str">
        <f t="shared" si="38"/>
        <v>O</v>
      </c>
      <c r="AR51" s="80" t="str">
        <f t="shared" si="39"/>
        <v>O</v>
      </c>
      <c r="AS51" s="80" t="s">
        <v>2</v>
      </c>
      <c r="AT51" s="80" t="str">
        <f t="shared" si="40"/>
        <v>O</v>
      </c>
      <c r="AU51" s="80" t="str">
        <f t="shared" si="41"/>
        <v>O</v>
      </c>
      <c r="AV51" s="80" t="str">
        <f t="shared" si="42"/>
        <v/>
      </c>
    </row>
    <row r="52" spans="1:48" x14ac:dyDescent="0.3">
      <c r="A52" s="9"/>
      <c r="B52" s="80"/>
      <c r="C52" s="6"/>
      <c r="D52" s="9"/>
      <c r="E52" s="14"/>
      <c r="F52" s="87"/>
      <c r="G52" s="9"/>
      <c r="H52" s="9"/>
      <c r="I52" s="9"/>
      <c r="J52" s="9"/>
      <c r="K52" s="9"/>
      <c r="L52" s="9"/>
      <c r="M52" s="9"/>
      <c r="N52" s="9"/>
      <c r="O52" s="92"/>
      <c r="P52" s="92"/>
      <c r="Q52" s="88"/>
      <c r="R52" s="88"/>
      <c r="S52" s="9"/>
      <c r="T52" s="47"/>
      <c r="U52" s="9"/>
      <c r="W52" s="68" t="str">
        <f>$A$4&amp;" "&amp;A53&amp;"("&amp;B53&amp;","&amp;C53&amp;"^)"</f>
        <v>율량동 율량대창3차('95.09.,270^)</v>
      </c>
      <c r="X52" s="69"/>
      <c r="Y52" s="69"/>
      <c r="Z52" s="69"/>
      <c r="AA52" s="69"/>
      <c r="AB52" s="69"/>
      <c r="AC52" s="69"/>
      <c r="AD52" s="69"/>
      <c r="AE52" s="69"/>
      <c r="AF52" s="70"/>
      <c r="AH52" s="20" t="str">
        <f t="shared" si="20"/>
        <v/>
      </c>
      <c r="AI52" s="112" t="str">
        <f t="shared" si="18"/>
        <v/>
      </c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</row>
    <row r="53" spans="1:48" x14ac:dyDescent="0.3">
      <c r="A53" s="9" t="s">
        <v>764</v>
      </c>
      <c r="B53" s="10" t="s">
        <v>940</v>
      </c>
      <c r="C53" s="89">
        <v>270</v>
      </c>
      <c r="D53" s="87">
        <v>46.4</v>
      </c>
      <c r="E53" s="88">
        <v>14</v>
      </c>
      <c r="F53" s="87">
        <v>34.799999999999997</v>
      </c>
      <c r="G53" s="17">
        <v>11</v>
      </c>
      <c r="H53" s="89">
        <v>270</v>
      </c>
      <c r="I53" s="90"/>
      <c r="J53" s="90"/>
      <c r="K53" s="90"/>
      <c r="L53" s="90"/>
      <c r="M53" s="91">
        <f>I53-K53</f>
        <v>0</v>
      </c>
      <c r="N53" s="4" t="str">
        <f>IF(ISERROR(K53/I53),"",K53/I53)</f>
        <v/>
      </c>
      <c r="O53" s="92">
        <f>I53/E53</f>
        <v>0</v>
      </c>
      <c r="P53" s="92">
        <f>K53/E53</f>
        <v>0</v>
      </c>
      <c r="Q53" s="80">
        <v>2</v>
      </c>
      <c r="R53" s="80">
        <v>1</v>
      </c>
      <c r="S53" s="80" t="s">
        <v>61</v>
      </c>
      <c r="T53" s="5">
        <v>46</v>
      </c>
      <c r="U53" s="9"/>
      <c r="W53" s="87">
        <f>D53</f>
        <v>46.4</v>
      </c>
      <c r="X53" s="88">
        <f>E53</f>
        <v>14</v>
      </c>
      <c r="Y53" s="93">
        <f>H53</f>
        <v>270</v>
      </c>
      <c r="Z53" s="91">
        <f>I53</f>
        <v>0</v>
      </c>
      <c r="AA53" s="91">
        <f>K53</f>
        <v>0</v>
      </c>
      <c r="AB53" s="91">
        <f>M53</f>
        <v>0</v>
      </c>
      <c r="AC53" s="4" t="str">
        <f>N53</f>
        <v/>
      </c>
      <c r="AD53" s="92">
        <f>O53</f>
        <v>0</v>
      </c>
      <c r="AE53" s="80" t="str">
        <f>S53</f>
        <v>계</v>
      </c>
      <c r="AF53" s="80" t="str">
        <f>Q53&amp;"/"&amp;R53</f>
        <v>2/1</v>
      </c>
      <c r="AH53" s="20" t="str">
        <f t="shared" si="20"/>
        <v>율량대창3차</v>
      </c>
      <c r="AI53" s="88">
        <f t="shared" si="18"/>
        <v>14</v>
      </c>
      <c r="AJ53" s="80" t="str">
        <f>IF(AI53="","",$AJ$2)</f>
        <v>A-</v>
      </c>
      <c r="AK53" s="80" t="s">
        <v>13</v>
      </c>
      <c r="AL53" s="80" t="s">
        <v>62</v>
      </c>
      <c r="AM53" s="80" t="s">
        <v>63</v>
      </c>
      <c r="AN53" s="80" t="str">
        <f>IF(AI53="","",$AN$2)</f>
        <v>C</v>
      </c>
      <c r="AO53" s="80" t="str">
        <f>IF(N53="","",IF(N53&gt;=$AO$1/100,"O","X"))</f>
        <v/>
      </c>
      <c r="AP53" s="80" t="str">
        <f>IF(I53="","",IF(I53&lt;=$AP$1,"O","X"))</f>
        <v/>
      </c>
      <c r="AQ53" s="80" t="str">
        <f>IF(O53="","",IF(O53&lt;=$AQ$1,"O","X"))</f>
        <v>O</v>
      </c>
      <c r="AR53" s="80" t="str">
        <f>IF(M53="","",IF(M53&lt;=$AR$1,"O","X"))</f>
        <v>O</v>
      </c>
      <c r="AS53" s="80" t="s">
        <v>2</v>
      </c>
      <c r="AT53" s="80" t="str">
        <f>IF(OR(F53="",AI53=""),"",IF(AND((F53&lt;=85),(AI53&gt;=15)),"O","X"))</f>
        <v>X</v>
      </c>
      <c r="AU53" s="80" t="str">
        <f>IF(C53="","",IF(C53&gt;=$AU$1,"O","X"))</f>
        <v>X</v>
      </c>
      <c r="AV53" s="80" t="str">
        <f>IF(AO53="","",IF(AND(AO53="O",AP53="O",AR53="O",AT53="O",AU53="O"),"후보","X"))</f>
        <v/>
      </c>
    </row>
    <row r="54" spans="1:48" x14ac:dyDescent="0.3">
      <c r="A54" s="9"/>
      <c r="B54" s="80"/>
      <c r="C54" s="6"/>
      <c r="D54" s="9"/>
      <c r="E54" s="14"/>
      <c r="F54" s="87"/>
      <c r="G54" s="9"/>
      <c r="H54" s="9"/>
      <c r="I54" s="9"/>
      <c r="J54" s="9"/>
      <c r="K54" s="9"/>
      <c r="L54" s="9"/>
      <c r="M54" s="9"/>
      <c r="N54" s="9"/>
      <c r="O54" s="92"/>
      <c r="P54" s="92"/>
      <c r="Q54" s="88"/>
      <c r="R54" s="88"/>
      <c r="S54" s="9"/>
      <c r="T54" s="47"/>
      <c r="U54" s="9"/>
      <c r="W54" s="68" t="str">
        <f>$A$4&amp;" "&amp;A55&amp;"("&amp;B55&amp;","&amp;C55&amp;"^)"</f>
        <v>율량동 두진백로그린타운('96.06.,608^)</v>
      </c>
      <c r="X54" s="69"/>
      <c r="Y54" s="69"/>
      <c r="Z54" s="69"/>
      <c r="AA54" s="69"/>
      <c r="AB54" s="69"/>
      <c r="AC54" s="69"/>
      <c r="AD54" s="69"/>
      <c r="AE54" s="69"/>
      <c r="AF54" s="70"/>
      <c r="AH54" s="20" t="str">
        <f t="shared" si="20"/>
        <v/>
      </c>
      <c r="AI54" s="112" t="str">
        <f t="shared" si="18"/>
        <v/>
      </c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</row>
    <row r="55" spans="1:48" x14ac:dyDescent="0.3">
      <c r="A55" s="9" t="s">
        <v>769</v>
      </c>
      <c r="B55" s="10" t="s">
        <v>941</v>
      </c>
      <c r="C55" s="89">
        <v>608</v>
      </c>
      <c r="D55" s="87">
        <v>40.799999999999997</v>
      </c>
      <c r="E55" s="88">
        <v>12</v>
      </c>
      <c r="F55" s="87">
        <v>32.799999999999997</v>
      </c>
      <c r="G55" s="17">
        <v>10</v>
      </c>
      <c r="H55" s="89">
        <v>243</v>
      </c>
      <c r="I55" s="90">
        <v>5700</v>
      </c>
      <c r="J55" s="90" t="s">
        <v>60</v>
      </c>
      <c r="K55" s="90"/>
      <c r="L55" s="90"/>
      <c r="M55" s="91">
        <f>I55-K55</f>
        <v>5700</v>
      </c>
      <c r="N55" s="4">
        <f>IF(ISERROR(K55/I55),"",K55/I55)</f>
        <v>0</v>
      </c>
      <c r="O55" s="92">
        <f>I55/E55</f>
        <v>475</v>
      </c>
      <c r="P55" s="92">
        <f>K55/E55</f>
        <v>0</v>
      </c>
      <c r="Q55" s="80">
        <v>1</v>
      </c>
      <c r="R55" s="80">
        <v>1</v>
      </c>
      <c r="S55" s="80" t="s">
        <v>85</v>
      </c>
      <c r="T55" s="5">
        <v>40</v>
      </c>
      <c r="U55" s="9"/>
      <c r="W55" s="87">
        <f t="shared" ref="W55:X59" si="43">D55</f>
        <v>40.799999999999997</v>
      </c>
      <c r="X55" s="88">
        <f t="shared" si="43"/>
        <v>12</v>
      </c>
      <c r="Y55" s="93">
        <f t="shared" ref="Y55:Z59" si="44">H55</f>
        <v>243</v>
      </c>
      <c r="Z55" s="91">
        <f t="shared" si="44"/>
        <v>5700</v>
      </c>
      <c r="AA55" s="91">
        <f>K55</f>
        <v>0</v>
      </c>
      <c r="AB55" s="91">
        <f t="shared" ref="AB55:AD59" si="45">M55</f>
        <v>5700</v>
      </c>
      <c r="AC55" s="4">
        <f t="shared" si="45"/>
        <v>0</v>
      </c>
      <c r="AD55" s="92">
        <f t="shared" si="45"/>
        <v>475</v>
      </c>
      <c r="AE55" s="80" t="str">
        <f>S55</f>
        <v>복</v>
      </c>
      <c r="AF55" s="80" t="str">
        <f>Q55&amp;"/"&amp;R55</f>
        <v>1/1</v>
      </c>
      <c r="AH55" s="20" t="str">
        <f t="shared" si="20"/>
        <v>두진백로그린타운</v>
      </c>
      <c r="AI55" s="88">
        <f t="shared" si="18"/>
        <v>12</v>
      </c>
      <c r="AJ55" s="80" t="str">
        <f>IF(AI55="","",$AJ$2)</f>
        <v>A-</v>
      </c>
      <c r="AK55" s="80" t="s">
        <v>13</v>
      </c>
      <c r="AL55" s="80" t="s">
        <v>62</v>
      </c>
      <c r="AM55" s="80" t="s">
        <v>63</v>
      </c>
      <c r="AN55" s="80" t="str">
        <f>IF(AI55="","",$AN$2)</f>
        <v>C</v>
      </c>
      <c r="AO55" s="80" t="str">
        <f>IF(N55="","",IF(N55&gt;=$AO$1/100,"O","X"))</f>
        <v>X</v>
      </c>
      <c r="AP55" s="80" t="str">
        <f>IF(I55="","",IF(I55&lt;=$AP$1,"O","X"))</f>
        <v>O</v>
      </c>
      <c r="AQ55" s="80" t="str">
        <f>IF(O55="","",IF(O55&lt;=$AQ$1,"O","X"))</f>
        <v>O</v>
      </c>
      <c r="AR55" s="80" t="str">
        <f>IF(M55="","",IF(M55&lt;=$AR$1,"O","X"))</f>
        <v>O</v>
      </c>
      <c r="AS55" s="80" t="s">
        <v>2</v>
      </c>
      <c r="AT55" s="80" t="str">
        <f>IF(OR(F55="",AI55=""),"",IF(AND((F55&lt;=85),(AI55&gt;=15)),"O","X"))</f>
        <v>X</v>
      </c>
      <c r="AU55" s="80" t="str">
        <f>IF(C55="","",IF(C55&gt;=$AU$1,"O","X"))</f>
        <v>O</v>
      </c>
      <c r="AV55" s="80" t="str">
        <f>IF(AO55="","",IF(AND(AO55="O",AP55="O",AR55="O",AT55="O",AU55="O"),"후보","X"))</f>
        <v>X</v>
      </c>
    </row>
    <row r="56" spans="1:48" x14ac:dyDescent="0.3">
      <c r="A56" s="9" t="s">
        <v>769</v>
      </c>
      <c r="B56" s="10" t="s">
        <v>941</v>
      </c>
      <c r="C56" s="89">
        <v>608</v>
      </c>
      <c r="D56" s="87">
        <v>74</v>
      </c>
      <c r="E56" s="88">
        <v>22</v>
      </c>
      <c r="F56" s="87">
        <v>59.4</v>
      </c>
      <c r="G56" s="17">
        <v>18</v>
      </c>
      <c r="H56" s="89">
        <v>147</v>
      </c>
      <c r="I56" s="90">
        <v>14500</v>
      </c>
      <c r="J56" s="90" t="s">
        <v>59</v>
      </c>
      <c r="K56" s="90"/>
      <c r="L56" s="90"/>
      <c r="M56" s="91">
        <f>I56-K56</f>
        <v>14500</v>
      </c>
      <c r="N56" s="4">
        <f>IF(ISERROR(K56/I56),"",K56/I56)</f>
        <v>0</v>
      </c>
      <c r="O56" s="92">
        <f>I56/E56</f>
        <v>659.09090909090912</v>
      </c>
      <c r="P56" s="92">
        <f>K56/E56</f>
        <v>0</v>
      </c>
      <c r="Q56" s="80">
        <v>3</v>
      </c>
      <c r="R56" s="80">
        <v>1</v>
      </c>
      <c r="S56" s="80" t="s">
        <v>61</v>
      </c>
      <c r="T56" s="5">
        <v>73</v>
      </c>
      <c r="U56" s="9"/>
      <c r="W56" s="87">
        <f t="shared" si="43"/>
        <v>74</v>
      </c>
      <c r="X56" s="88">
        <f t="shared" si="43"/>
        <v>22</v>
      </c>
      <c r="Y56" s="93">
        <f t="shared" si="44"/>
        <v>147</v>
      </c>
      <c r="Z56" s="91">
        <f t="shared" si="44"/>
        <v>14500</v>
      </c>
      <c r="AA56" s="91">
        <f>K56</f>
        <v>0</v>
      </c>
      <c r="AB56" s="91">
        <f t="shared" si="45"/>
        <v>14500</v>
      </c>
      <c r="AC56" s="4">
        <f t="shared" si="45"/>
        <v>0</v>
      </c>
      <c r="AD56" s="92">
        <f t="shared" si="45"/>
        <v>659.09090909090912</v>
      </c>
      <c r="AE56" s="80" t="str">
        <f>S56</f>
        <v>계</v>
      </c>
      <c r="AF56" s="80" t="str">
        <f>Q56&amp;"/"&amp;R56</f>
        <v>3/1</v>
      </c>
      <c r="AH56" s="20" t="str">
        <f t="shared" si="20"/>
        <v>두진백로그린타운</v>
      </c>
      <c r="AI56" s="88">
        <f t="shared" si="18"/>
        <v>22</v>
      </c>
      <c r="AJ56" s="80" t="str">
        <f>IF(AI56="","",$AJ$2)</f>
        <v>A-</v>
      </c>
      <c r="AK56" s="80" t="s">
        <v>13</v>
      </c>
      <c r="AL56" s="80" t="s">
        <v>62</v>
      </c>
      <c r="AM56" s="80" t="s">
        <v>63</v>
      </c>
      <c r="AN56" s="80" t="str">
        <f>IF(AI56="","",$AN$2)</f>
        <v>C</v>
      </c>
      <c r="AO56" s="80" t="str">
        <f>IF(N56="","",IF(N56&gt;=$AO$1/100,"O","X"))</f>
        <v>X</v>
      </c>
      <c r="AP56" s="80" t="str">
        <f>IF(I56="","",IF(I56&lt;=$AP$1,"O","X"))</f>
        <v>O</v>
      </c>
      <c r="AQ56" s="80" t="str">
        <f>IF(O56="","",IF(O56&lt;=$AQ$1,"O","X"))</f>
        <v>O</v>
      </c>
      <c r="AR56" s="80" t="str">
        <f>IF(M56="","",IF(M56&lt;=$AR$1,"O","X"))</f>
        <v>X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O</v>
      </c>
      <c r="AV56" s="80" t="str">
        <f>IF(AO56="","",IF(AND(AO56="O",AP56="O",AR56="O",AT56="O",AU56="O"),"후보","X"))</f>
        <v>X</v>
      </c>
    </row>
    <row r="57" spans="1:48" x14ac:dyDescent="0.3">
      <c r="A57" s="9" t="s">
        <v>769</v>
      </c>
      <c r="B57" s="10" t="s">
        <v>941</v>
      </c>
      <c r="C57" s="89">
        <v>608</v>
      </c>
      <c r="D57" s="87">
        <v>105.8</v>
      </c>
      <c r="E57" s="88">
        <v>32</v>
      </c>
      <c r="F57" s="87">
        <v>85</v>
      </c>
      <c r="G57" s="17">
        <v>26</v>
      </c>
      <c r="H57" s="89">
        <v>163</v>
      </c>
      <c r="I57" s="90"/>
      <c r="J57" s="90"/>
      <c r="K57" s="90"/>
      <c r="L57" s="90"/>
      <c r="M57" s="91">
        <f>I57-K57</f>
        <v>0</v>
      </c>
      <c r="N57" s="4" t="str">
        <f>IF(ISERROR(K57/I57),"",K57/I57)</f>
        <v/>
      </c>
      <c r="O57" s="92">
        <f>I57/E57</f>
        <v>0</v>
      </c>
      <c r="P57" s="92">
        <f>K57/E57</f>
        <v>0</v>
      </c>
      <c r="Q57" s="80">
        <v>3</v>
      </c>
      <c r="R57" s="80">
        <v>2</v>
      </c>
      <c r="S57" s="80" t="s">
        <v>61</v>
      </c>
      <c r="T57" s="5" t="s">
        <v>124</v>
      </c>
      <c r="U57" s="9"/>
      <c r="W57" s="87">
        <f t="shared" si="43"/>
        <v>105.8</v>
      </c>
      <c r="X57" s="88">
        <f t="shared" si="43"/>
        <v>32</v>
      </c>
      <c r="Y57" s="93">
        <f t="shared" si="44"/>
        <v>163</v>
      </c>
      <c r="Z57" s="91">
        <f t="shared" si="44"/>
        <v>0</v>
      </c>
      <c r="AA57" s="91">
        <f>K57</f>
        <v>0</v>
      </c>
      <c r="AB57" s="91">
        <f t="shared" si="45"/>
        <v>0</v>
      </c>
      <c r="AC57" s="4" t="str">
        <f t="shared" si="45"/>
        <v/>
      </c>
      <c r="AD57" s="92">
        <f t="shared" si="45"/>
        <v>0</v>
      </c>
      <c r="AE57" s="80" t="str">
        <f>S57</f>
        <v>계</v>
      </c>
      <c r="AF57" s="80" t="str">
        <f>Q57&amp;"/"&amp;R57</f>
        <v>3/2</v>
      </c>
      <c r="AH57" s="20" t="str">
        <f t="shared" si="20"/>
        <v>두진백로그린타운</v>
      </c>
      <c r="AI57" s="88">
        <f t="shared" si="18"/>
        <v>32</v>
      </c>
      <c r="AJ57" s="80" t="str">
        <f>IF(AI57="","",$AJ$2)</f>
        <v>A-</v>
      </c>
      <c r="AK57" s="80" t="s">
        <v>13</v>
      </c>
      <c r="AL57" s="80" t="s">
        <v>62</v>
      </c>
      <c r="AM57" s="80" t="s">
        <v>63</v>
      </c>
      <c r="AN57" s="80" t="str">
        <f>IF(AI57="","",$AN$2)</f>
        <v>C</v>
      </c>
      <c r="AO57" s="80" t="str">
        <f>IF(N57="","",IF(N57&gt;=$AO$1/100,"O","X"))</f>
        <v/>
      </c>
      <c r="AP57" s="80" t="str">
        <f>IF(I57="","",IF(I57&lt;=$AP$1,"O","X"))</f>
        <v/>
      </c>
      <c r="AQ57" s="80" t="str">
        <f>IF(O57="","",IF(O57&lt;=$AQ$1,"O","X"))</f>
        <v>O</v>
      </c>
      <c r="AR57" s="80" t="str">
        <f>IF(M57="","",IF(M57&lt;=$AR$1,"O","X"))</f>
        <v>O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/>
      </c>
    </row>
    <row r="58" spans="1:48" x14ac:dyDescent="0.3">
      <c r="A58" s="9" t="s">
        <v>769</v>
      </c>
      <c r="B58" s="10" t="s">
        <v>941</v>
      </c>
      <c r="C58" s="89">
        <v>608</v>
      </c>
      <c r="D58" s="87">
        <v>105.6</v>
      </c>
      <c r="E58" s="88">
        <v>32</v>
      </c>
      <c r="F58" s="87">
        <v>84.8</v>
      </c>
      <c r="G58" s="17">
        <v>26</v>
      </c>
      <c r="H58" s="89">
        <v>5</v>
      </c>
      <c r="I58" s="90"/>
      <c r="J58" s="90"/>
      <c r="K58" s="90"/>
      <c r="L58" s="90"/>
      <c r="M58" s="91">
        <f>I58-K58</f>
        <v>0</v>
      </c>
      <c r="N58" s="4" t="str">
        <f>IF(ISERROR(K58/I58),"",K58/I58)</f>
        <v/>
      </c>
      <c r="O58" s="92">
        <f>I58/E58</f>
        <v>0</v>
      </c>
      <c r="P58" s="92">
        <f>K58/E58</f>
        <v>0</v>
      </c>
      <c r="Q58" s="80">
        <v>3</v>
      </c>
      <c r="R58" s="80">
        <v>2</v>
      </c>
      <c r="S58" s="80" t="s">
        <v>61</v>
      </c>
      <c r="T58" s="5" t="s">
        <v>642</v>
      </c>
      <c r="U58" s="9"/>
      <c r="W58" s="87">
        <f t="shared" si="43"/>
        <v>105.6</v>
      </c>
      <c r="X58" s="88">
        <f t="shared" si="43"/>
        <v>32</v>
      </c>
      <c r="Y58" s="93">
        <f t="shared" si="44"/>
        <v>5</v>
      </c>
      <c r="Z58" s="91">
        <f t="shared" si="44"/>
        <v>0</v>
      </c>
      <c r="AA58" s="91">
        <f>K58</f>
        <v>0</v>
      </c>
      <c r="AB58" s="91">
        <f t="shared" si="45"/>
        <v>0</v>
      </c>
      <c r="AC58" s="4" t="str">
        <f t="shared" si="45"/>
        <v/>
      </c>
      <c r="AD58" s="92">
        <f t="shared" si="45"/>
        <v>0</v>
      </c>
      <c r="AE58" s="80" t="str">
        <f>S58</f>
        <v>계</v>
      </c>
      <c r="AF58" s="80" t="str">
        <f>Q58&amp;"/"&amp;R58</f>
        <v>3/2</v>
      </c>
      <c r="AH58" s="20" t="str">
        <f t="shared" si="20"/>
        <v>두진백로그린타운</v>
      </c>
      <c r="AI58" s="88">
        <f t="shared" si="18"/>
        <v>32</v>
      </c>
      <c r="AJ58" s="80" t="str">
        <f>IF(AI58="","",$AJ$2)</f>
        <v>A-</v>
      </c>
      <c r="AK58" s="80" t="s">
        <v>13</v>
      </c>
      <c r="AL58" s="80" t="s">
        <v>62</v>
      </c>
      <c r="AM58" s="80" t="s">
        <v>63</v>
      </c>
      <c r="AN58" s="80" t="str">
        <f>IF(AI58="","",$AN$2)</f>
        <v>C</v>
      </c>
      <c r="AO58" s="80" t="str">
        <f>IF(N58="","",IF(N58&gt;=$AO$1/100,"O","X"))</f>
        <v/>
      </c>
      <c r="AP58" s="80" t="str">
        <f>IF(I58="","",IF(I58&lt;=$AP$1,"O","X"))</f>
        <v/>
      </c>
      <c r="AQ58" s="80" t="str">
        <f>IF(O58="","",IF(O58&lt;=$AQ$1,"O","X"))</f>
        <v>O</v>
      </c>
      <c r="AR58" s="80" t="str">
        <f>IF(M58="","",IF(M58&lt;=$AR$1,"O","X"))</f>
        <v>O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O</v>
      </c>
      <c r="AV58" s="80" t="str">
        <f>IF(AO58="","",IF(AND(AO58="O",AP58="O",AR58="O",AT58="O",AU58="O"),"후보","X"))</f>
        <v/>
      </c>
    </row>
    <row r="59" spans="1:48" x14ac:dyDescent="0.3">
      <c r="A59" s="9" t="s">
        <v>769</v>
      </c>
      <c r="B59" s="10" t="s">
        <v>941</v>
      </c>
      <c r="C59" s="89">
        <v>608</v>
      </c>
      <c r="D59" s="87">
        <v>160.69999999999999</v>
      </c>
      <c r="E59" s="88">
        <v>49</v>
      </c>
      <c r="F59" s="87">
        <v>129</v>
      </c>
      <c r="G59" s="17">
        <v>39</v>
      </c>
      <c r="H59" s="89">
        <v>50</v>
      </c>
      <c r="I59" s="90"/>
      <c r="J59" s="90"/>
      <c r="K59" s="90"/>
      <c r="L59" s="90"/>
      <c r="M59" s="91">
        <f>I59-K59</f>
        <v>0</v>
      </c>
      <c r="N59" s="4" t="str">
        <f>IF(ISERROR(K59/I59),"",K59/I59)</f>
        <v/>
      </c>
      <c r="O59" s="92">
        <f>I59/E59</f>
        <v>0</v>
      </c>
      <c r="P59" s="92">
        <f>K59/E59</f>
        <v>0</v>
      </c>
      <c r="Q59" s="80">
        <v>4</v>
      </c>
      <c r="R59" s="80">
        <v>2</v>
      </c>
      <c r="S59" s="80" t="s">
        <v>61</v>
      </c>
      <c r="T59" s="5">
        <v>160</v>
      </c>
      <c r="U59" s="9"/>
      <c r="W59" s="87">
        <f t="shared" si="43"/>
        <v>160.69999999999999</v>
      </c>
      <c r="X59" s="88">
        <f t="shared" si="43"/>
        <v>49</v>
      </c>
      <c r="Y59" s="93">
        <f t="shared" si="44"/>
        <v>50</v>
      </c>
      <c r="Z59" s="91">
        <f t="shared" si="44"/>
        <v>0</v>
      </c>
      <c r="AA59" s="91">
        <f>K59</f>
        <v>0</v>
      </c>
      <c r="AB59" s="91">
        <f t="shared" si="45"/>
        <v>0</v>
      </c>
      <c r="AC59" s="4" t="str">
        <f t="shared" si="45"/>
        <v/>
      </c>
      <c r="AD59" s="92">
        <f t="shared" si="45"/>
        <v>0</v>
      </c>
      <c r="AE59" s="80" t="str">
        <f>S59</f>
        <v>계</v>
      </c>
      <c r="AF59" s="80" t="str">
        <f>Q59&amp;"/"&amp;R59</f>
        <v>4/2</v>
      </c>
      <c r="AH59" s="20" t="str">
        <f t="shared" si="20"/>
        <v>두진백로그린타운</v>
      </c>
      <c r="AI59" s="88">
        <f t="shared" si="18"/>
        <v>49</v>
      </c>
      <c r="AJ59" s="80" t="str">
        <f>IF(AI59="","",$AJ$2)</f>
        <v>A-</v>
      </c>
      <c r="AK59" s="80" t="s">
        <v>13</v>
      </c>
      <c r="AL59" s="80" t="s">
        <v>62</v>
      </c>
      <c r="AM59" s="80" t="s">
        <v>63</v>
      </c>
      <c r="AN59" s="80" t="str">
        <f>IF(AI59="","",$AN$2)</f>
        <v>C</v>
      </c>
      <c r="AO59" s="80" t="str">
        <f>IF(N59="","",IF(N59&gt;=$AO$1/100,"O","X"))</f>
        <v/>
      </c>
      <c r="AP59" s="80" t="str">
        <f>IF(I59="","",IF(I59&lt;=$AP$1,"O","X"))</f>
        <v/>
      </c>
      <c r="AQ59" s="80" t="str">
        <f>IF(O59="","",IF(O59&lt;=$AQ$1,"O","X"))</f>
        <v>O</v>
      </c>
      <c r="AR59" s="80" t="str">
        <f>IF(M59="","",IF(M59&lt;=$AR$1,"O","X"))</f>
        <v>O</v>
      </c>
      <c r="AS59" s="80" t="s">
        <v>2</v>
      </c>
      <c r="AT59" s="80" t="str">
        <f>IF(OR(F59="",AI59=""),"",IF(AND((F59&lt;=85),(AI59&gt;=15)),"O","X"))</f>
        <v>X</v>
      </c>
      <c r="AU59" s="80" t="str">
        <f>IF(C59="","",IF(C59&gt;=$AU$1,"O","X"))</f>
        <v>O</v>
      </c>
      <c r="AV59" s="80" t="str">
        <f>IF(AO59="","",IF(AND(AO59="O",AP59="O",AR59="O",AT59="O",AU59="O"),"후보","X"))</f>
        <v/>
      </c>
    </row>
    <row r="60" spans="1:48" x14ac:dyDescent="0.3">
      <c r="A60" s="9"/>
      <c r="B60" s="80"/>
      <c r="C60" s="6"/>
      <c r="D60" s="9"/>
      <c r="E60" s="14"/>
      <c r="F60" s="87"/>
      <c r="G60" s="9"/>
      <c r="H60" s="9"/>
      <c r="I60" s="9"/>
      <c r="J60" s="9"/>
      <c r="K60" s="9"/>
      <c r="L60" s="9"/>
      <c r="M60" s="9"/>
      <c r="N60" s="9"/>
      <c r="O60" s="92"/>
      <c r="P60" s="92"/>
      <c r="Q60" s="88"/>
      <c r="R60" s="88"/>
      <c r="S60" s="9"/>
      <c r="T60" s="47"/>
      <c r="U60" s="9"/>
      <c r="W60" s="68" t="str">
        <f>$A$4&amp;" "&amp;A61&amp;"("&amp;B61&amp;","&amp;C61&amp;"^)"</f>
        <v>율량동 율량현대('91.12.,764^)</v>
      </c>
      <c r="X60" s="69"/>
      <c r="Y60" s="69"/>
      <c r="Z60" s="69"/>
      <c r="AA60" s="69"/>
      <c r="AB60" s="69"/>
      <c r="AC60" s="69"/>
      <c r="AD60" s="69"/>
      <c r="AE60" s="69"/>
      <c r="AF60" s="70"/>
      <c r="AH60" s="20" t="str">
        <f t="shared" si="20"/>
        <v/>
      </c>
      <c r="AI60" s="112" t="str">
        <f t="shared" si="18"/>
        <v/>
      </c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</row>
    <row r="61" spans="1:48" x14ac:dyDescent="0.3">
      <c r="A61" s="9" t="s">
        <v>779</v>
      </c>
      <c r="B61" s="10" t="s">
        <v>942</v>
      </c>
      <c r="C61" s="89">
        <v>764</v>
      </c>
      <c r="D61" s="87">
        <v>95.2</v>
      </c>
      <c r="E61" s="88">
        <v>29</v>
      </c>
      <c r="F61" s="87">
        <v>75</v>
      </c>
      <c r="G61" s="17">
        <v>23</v>
      </c>
      <c r="H61" s="89">
        <v>224</v>
      </c>
      <c r="I61" s="90">
        <v>18000</v>
      </c>
      <c r="J61" s="90" t="s">
        <v>59</v>
      </c>
      <c r="K61" s="90"/>
      <c r="L61" s="90"/>
      <c r="M61" s="91">
        <f>I61-K61</f>
        <v>18000</v>
      </c>
      <c r="N61" s="4">
        <f>IF(ISERROR(K61/I61),"",K61/I61)</f>
        <v>0</v>
      </c>
      <c r="O61" s="92">
        <f>I61/E61</f>
        <v>620.68965517241384</v>
      </c>
      <c r="P61" s="92">
        <f>K61/E61</f>
        <v>0</v>
      </c>
      <c r="Q61" s="80">
        <v>3</v>
      </c>
      <c r="R61" s="80">
        <v>1</v>
      </c>
      <c r="S61" s="80" t="s">
        <v>61</v>
      </c>
      <c r="T61" s="5">
        <v>95</v>
      </c>
      <c r="U61" s="9"/>
      <c r="W61" s="87">
        <f t="shared" ref="W61:X64" si="46">D61</f>
        <v>95.2</v>
      </c>
      <c r="X61" s="88">
        <f t="shared" si="46"/>
        <v>29</v>
      </c>
      <c r="Y61" s="93">
        <f t="shared" ref="Y61:Z64" si="47">H61</f>
        <v>224</v>
      </c>
      <c r="Z61" s="91">
        <f t="shared" si="47"/>
        <v>18000</v>
      </c>
      <c r="AA61" s="91">
        <f>K61</f>
        <v>0</v>
      </c>
      <c r="AB61" s="91">
        <f t="shared" ref="AB61:AD64" si="48">M61</f>
        <v>18000</v>
      </c>
      <c r="AC61" s="4">
        <f t="shared" si="48"/>
        <v>0</v>
      </c>
      <c r="AD61" s="92">
        <f t="shared" si="48"/>
        <v>620.68965517241384</v>
      </c>
      <c r="AE61" s="80" t="str">
        <f>S61</f>
        <v>계</v>
      </c>
      <c r="AF61" s="80" t="str">
        <f>Q61&amp;"/"&amp;R61</f>
        <v>3/1</v>
      </c>
      <c r="AH61" s="20" t="str">
        <f t="shared" si="20"/>
        <v>율량현대</v>
      </c>
      <c r="AI61" s="88">
        <f t="shared" si="18"/>
        <v>29</v>
      </c>
      <c r="AJ61" s="80" t="str">
        <f>IF(AI61="","",$AJ$2)</f>
        <v>A-</v>
      </c>
      <c r="AK61" s="80" t="s">
        <v>13</v>
      </c>
      <c r="AL61" s="80" t="s">
        <v>62</v>
      </c>
      <c r="AM61" s="80" t="s">
        <v>63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O</v>
      </c>
      <c r="AQ61" s="80" t="str">
        <f>IF(O61="","",IF(O61&lt;=$AQ$1,"O","X"))</f>
        <v>O</v>
      </c>
      <c r="AR61" s="80" t="str">
        <f>IF(M61="","",IF(M61&lt;=$AR$1,"O","X"))</f>
        <v>X</v>
      </c>
      <c r="AS61" s="80" t="s">
        <v>2</v>
      </c>
      <c r="AT61" s="80" t="str">
        <f>IF(OR(F61="",AI61=""),"",IF(AND((F61&lt;=85),(AI61&gt;=15)),"O","X"))</f>
        <v>O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x14ac:dyDescent="0.3">
      <c r="A62" s="9" t="s">
        <v>779</v>
      </c>
      <c r="B62" s="10" t="s">
        <v>942</v>
      </c>
      <c r="C62" s="89">
        <v>764</v>
      </c>
      <c r="D62" s="87">
        <v>97.5</v>
      </c>
      <c r="E62" s="88">
        <v>29</v>
      </c>
      <c r="F62" s="87">
        <v>75.400000000000006</v>
      </c>
      <c r="G62" s="17">
        <v>23</v>
      </c>
      <c r="H62" s="89">
        <v>40</v>
      </c>
      <c r="I62" s="90"/>
      <c r="J62" s="90"/>
      <c r="K62" s="90"/>
      <c r="L62" s="90"/>
      <c r="M62" s="91">
        <f>I62-K62</f>
        <v>0</v>
      </c>
      <c r="N62" s="4" t="str">
        <f>IF(ISERROR(K62/I62),"",K62/I62)</f>
        <v/>
      </c>
      <c r="O62" s="92">
        <f>I62/E62</f>
        <v>0</v>
      </c>
      <c r="P62" s="92">
        <f>K62/E62</f>
        <v>0</v>
      </c>
      <c r="Q62" s="80">
        <v>3</v>
      </c>
      <c r="R62" s="80">
        <v>1</v>
      </c>
      <c r="S62" s="80" t="s">
        <v>61</v>
      </c>
      <c r="T62" s="5">
        <v>97</v>
      </c>
      <c r="U62" s="9"/>
      <c r="W62" s="87">
        <f t="shared" si="46"/>
        <v>97.5</v>
      </c>
      <c r="X62" s="88">
        <f t="shared" si="46"/>
        <v>29</v>
      </c>
      <c r="Y62" s="93">
        <f t="shared" si="47"/>
        <v>40</v>
      </c>
      <c r="Z62" s="91">
        <f t="shared" si="47"/>
        <v>0</v>
      </c>
      <c r="AA62" s="91">
        <f>K62</f>
        <v>0</v>
      </c>
      <c r="AB62" s="91">
        <f t="shared" si="48"/>
        <v>0</v>
      </c>
      <c r="AC62" s="4" t="str">
        <f t="shared" si="48"/>
        <v/>
      </c>
      <c r="AD62" s="92">
        <f t="shared" si="48"/>
        <v>0</v>
      </c>
      <c r="AE62" s="80" t="str">
        <f>S62</f>
        <v>계</v>
      </c>
      <c r="AF62" s="80" t="str">
        <f>Q62&amp;"/"&amp;R62</f>
        <v>3/1</v>
      </c>
      <c r="AH62" s="20" t="str">
        <f t="shared" si="20"/>
        <v>율량현대</v>
      </c>
      <c r="AI62" s="88">
        <f t="shared" si="18"/>
        <v>29</v>
      </c>
      <c r="AJ62" s="80" t="str">
        <f>IF(AI62="","",$AJ$2)</f>
        <v>A-</v>
      </c>
      <c r="AK62" s="80" t="s">
        <v>13</v>
      </c>
      <c r="AL62" s="80" t="s">
        <v>62</v>
      </c>
      <c r="AM62" s="80" t="s">
        <v>63</v>
      </c>
      <c r="AN62" s="80" t="str">
        <f>IF(AI62="","",$AN$2)</f>
        <v>C</v>
      </c>
      <c r="AO62" s="80" t="str">
        <f>IF(N62="","",IF(N62&gt;=$AO$1/100,"O","X"))</f>
        <v/>
      </c>
      <c r="AP62" s="80" t="str">
        <f>IF(I62="","",IF(I62&lt;=$AP$1,"O","X"))</f>
        <v/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O</v>
      </c>
      <c r="AV62" s="80" t="str">
        <f>IF(AO62="","",IF(AND(AO62="O",AP62="O",AR62="O",AT62="O",AU62="O"),"후보","X"))</f>
        <v/>
      </c>
    </row>
    <row r="63" spans="1:48" x14ac:dyDescent="0.3">
      <c r="A63" s="9" t="s">
        <v>779</v>
      </c>
      <c r="B63" s="10" t="s">
        <v>942</v>
      </c>
      <c r="C63" s="89">
        <v>764</v>
      </c>
      <c r="D63" s="87">
        <v>106.6</v>
      </c>
      <c r="E63" s="88">
        <v>32</v>
      </c>
      <c r="F63" s="87">
        <v>85</v>
      </c>
      <c r="G63" s="17">
        <v>26</v>
      </c>
      <c r="H63" s="89">
        <v>386</v>
      </c>
      <c r="I63" s="90">
        <v>19500</v>
      </c>
      <c r="J63" s="90" t="s">
        <v>68</v>
      </c>
      <c r="K63" s="90"/>
      <c r="L63" s="90"/>
      <c r="M63" s="91">
        <f>I63-K63</f>
        <v>19500</v>
      </c>
      <c r="N63" s="4">
        <f>IF(ISERROR(K63/I63),"",K63/I63)</f>
        <v>0</v>
      </c>
      <c r="O63" s="92">
        <f>I63/E63</f>
        <v>609.375</v>
      </c>
      <c r="P63" s="92">
        <f>K63/E63</f>
        <v>0</v>
      </c>
      <c r="Q63" s="80">
        <v>3</v>
      </c>
      <c r="R63" s="80">
        <v>2</v>
      </c>
      <c r="S63" s="80" t="s">
        <v>61</v>
      </c>
      <c r="T63" s="5">
        <v>106</v>
      </c>
      <c r="U63" s="9"/>
      <c r="W63" s="87">
        <f t="shared" si="46"/>
        <v>106.6</v>
      </c>
      <c r="X63" s="88">
        <f t="shared" si="46"/>
        <v>32</v>
      </c>
      <c r="Y63" s="93">
        <f t="shared" si="47"/>
        <v>386</v>
      </c>
      <c r="Z63" s="91">
        <f t="shared" si="47"/>
        <v>19500</v>
      </c>
      <c r="AA63" s="91">
        <f>K63</f>
        <v>0</v>
      </c>
      <c r="AB63" s="91">
        <f t="shared" si="48"/>
        <v>19500</v>
      </c>
      <c r="AC63" s="4">
        <f t="shared" si="48"/>
        <v>0</v>
      </c>
      <c r="AD63" s="92">
        <f t="shared" si="48"/>
        <v>609.375</v>
      </c>
      <c r="AE63" s="80" t="str">
        <f>S63</f>
        <v>계</v>
      </c>
      <c r="AF63" s="80" t="str">
        <f>Q63&amp;"/"&amp;R63</f>
        <v>3/2</v>
      </c>
      <c r="AH63" s="20" t="str">
        <f t="shared" si="20"/>
        <v>율량현대</v>
      </c>
      <c r="AI63" s="88">
        <f t="shared" si="18"/>
        <v>32</v>
      </c>
      <c r="AJ63" s="80" t="str">
        <f>IF(AI63="","",$AJ$2)</f>
        <v>A-</v>
      </c>
      <c r="AK63" s="80" t="s">
        <v>13</v>
      </c>
      <c r="AL63" s="80" t="s">
        <v>62</v>
      </c>
      <c r="AM63" s="80" t="s">
        <v>63</v>
      </c>
      <c r="AN63" s="80" t="str">
        <f>IF(AI63="","",$AN$2)</f>
        <v>C</v>
      </c>
      <c r="AO63" s="80" t="str">
        <f>IF(N63="","",IF(N63&gt;=$AO$1/100,"O","X"))</f>
        <v>X</v>
      </c>
      <c r="AP63" s="80" t="str">
        <f>IF(I63="","",IF(I63&lt;=$AP$1,"O","X"))</f>
        <v>O</v>
      </c>
      <c r="AQ63" s="80" t="str">
        <f>IF(O63="","",IF(O63&lt;=$AQ$1,"O","X"))</f>
        <v>O</v>
      </c>
      <c r="AR63" s="80" t="str">
        <f>IF(M63="","",IF(M63&lt;=$AR$1,"O","X"))</f>
        <v>X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>X</v>
      </c>
    </row>
    <row r="64" spans="1:48" x14ac:dyDescent="0.3">
      <c r="A64" s="9" t="s">
        <v>779</v>
      </c>
      <c r="B64" s="10" t="s">
        <v>942</v>
      </c>
      <c r="C64" s="89">
        <v>764</v>
      </c>
      <c r="D64" s="87">
        <v>150.80000000000001</v>
      </c>
      <c r="E64" s="88">
        <v>46</v>
      </c>
      <c r="F64" s="87">
        <v>125.6</v>
      </c>
      <c r="G64" s="17">
        <v>38</v>
      </c>
      <c r="H64" s="89">
        <v>114</v>
      </c>
      <c r="I64" s="90"/>
      <c r="J64" s="90"/>
      <c r="K64" s="90"/>
      <c r="L64" s="90"/>
      <c r="M64" s="91">
        <f>I64-K64</f>
        <v>0</v>
      </c>
      <c r="N64" s="4" t="str">
        <f>IF(ISERROR(K64/I64),"",K64/I64)</f>
        <v/>
      </c>
      <c r="O64" s="92">
        <f>I64/E64</f>
        <v>0</v>
      </c>
      <c r="P64" s="92">
        <f>K64/E64</f>
        <v>0</v>
      </c>
      <c r="Q64" s="80">
        <v>4</v>
      </c>
      <c r="R64" s="80">
        <v>2</v>
      </c>
      <c r="S64" s="80" t="s">
        <v>61</v>
      </c>
      <c r="T64" s="5">
        <v>150</v>
      </c>
      <c r="U64" s="9"/>
      <c r="W64" s="87">
        <f t="shared" si="46"/>
        <v>150.80000000000001</v>
      </c>
      <c r="X64" s="88">
        <f t="shared" si="46"/>
        <v>46</v>
      </c>
      <c r="Y64" s="93">
        <f t="shared" si="47"/>
        <v>114</v>
      </c>
      <c r="Z64" s="91">
        <f t="shared" si="47"/>
        <v>0</v>
      </c>
      <c r="AA64" s="91">
        <f>K64</f>
        <v>0</v>
      </c>
      <c r="AB64" s="91">
        <f t="shared" si="48"/>
        <v>0</v>
      </c>
      <c r="AC64" s="4" t="str">
        <f t="shared" si="48"/>
        <v/>
      </c>
      <c r="AD64" s="92">
        <f t="shared" si="48"/>
        <v>0</v>
      </c>
      <c r="AE64" s="80" t="str">
        <f>S64</f>
        <v>계</v>
      </c>
      <c r="AF64" s="80" t="str">
        <f>Q64&amp;"/"&amp;R64</f>
        <v>4/2</v>
      </c>
      <c r="AH64" s="20" t="str">
        <f t="shared" si="20"/>
        <v>율량현대</v>
      </c>
      <c r="AI64" s="88">
        <f t="shared" si="18"/>
        <v>46</v>
      </c>
      <c r="AJ64" s="80" t="str">
        <f>IF(AI64="","",$AJ$2)</f>
        <v>A-</v>
      </c>
      <c r="AK64" s="80" t="s">
        <v>13</v>
      </c>
      <c r="AL64" s="80" t="s">
        <v>62</v>
      </c>
      <c r="AM64" s="80" t="s">
        <v>63</v>
      </c>
      <c r="AN64" s="80" t="str">
        <f>IF(AI64="","",$AN$2)</f>
        <v>C</v>
      </c>
      <c r="AO64" s="80" t="str">
        <f>IF(N64="","",IF(N64&gt;=$AO$1/100,"O","X"))</f>
        <v/>
      </c>
      <c r="AP64" s="80" t="str">
        <f>IF(I64="","",IF(I64&lt;=$AP$1,"O","X"))</f>
        <v/>
      </c>
      <c r="AQ64" s="80" t="str">
        <f>IF(O64="","",IF(O64&lt;=$AQ$1,"O","X"))</f>
        <v>O</v>
      </c>
      <c r="AR64" s="80" t="str">
        <f>IF(M64="","",IF(M64&lt;=$AR$1,"O","X"))</f>
        <v>O</v>
      </c>
      <c r="AS64" s="80" t="s">
        <v>2</v>
      </c>
      <c r="AT64" s="80" t="str">
        <f>IF(OR(F64="",AI64=""),"",IF(AND((F64&lt;=85),(AI64&gt;=15)),"O","X"))</f>
        <v>X</v>
      </c>
      <c r="AU64" s="80" t="str">
        <f>IF(C64="","",IF(C64&gt;=$AU$1,"O","X"))</f>
        <v>O</v>
      </c>
      <c r="AV64" s="80" t="str">
        <f>IF(AO64="","",IF(AND(AO64="O",AP64="O",AR64="O",AT64="O",AU64="O"),"후보","X"))</f>
        <v/>
      </c>
    </row>
    <row r="65" spans="1:48" x14ac:dyDescent="0.3">
      <c r="A65" s="9"/>
      <c r="B65" s="80"/>
      <c r="C65" s="6"/>
      <c r="D65" s="9"/>
      <c r="E65" s="14"/>
      <c r="F65" s="87"/>
      <c r="G65" s="9"/>
      <c r="H65" s="9"/>
      <c r="I65" s="9"/>
      <c r="J65" s="9"/>
      <c r="K65" s="9"/>
      <c r="L65" s="9"/>
      <c r="M65" s="9"/>
      <c r="N65" s="9"/>
      <c r="O65" s="92"/>
      <c r="P65" s="92"/>
      <c r="Q65" s="88"/>
      <c r="R65" s="88"/>
      <c r="S65" s="9"/>
      <c r="T65" s="47"/>
      <c r="U65" s="9"/>
      <c r="W65" s="68" t="str">
        <f>$A$4&amp;" "&amp;A66&amp;"("&amp;B66&amp;","&amp;C66&amp;"^)"</f>
        <v>율량동 삼성('96.05.,798^)</v>
      </c>
      <c r="X65" s="69"/>
      <c r="Y65" s="69"/>
      <c r="Z65" s="69"/>
      <c r="AA65" s="69"/>
      <c r="AB65" s="69"/>
      <c r="AC65" s="69"/>
      <c r="AD65" s="69"/>
      <c r="AE65" s="69"/>
      <c r="AF65" s="70"/>
      <c r="AH65" s="20" t="str">
        <f t="shared" si="20"/>
        <v/>
      </c>
      <c r="AI65" s="112" t="str">
        <f t="shared" si="18"/>
        <v/>
      </c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</row>
    <row r="66" spans="1:48" x14ac:dyDescent="0.3">
      <c r="A66" s="9" t="s">
        <v>788</v>
      </c>
      <c r="B66" s="10" t="s">
        <v>943</v>
      </c>
      <c r="C66" s="89">
        <v>798</v>
      </c>
      <c r="D66" s="87">
        <v>77.400000000000006</v>
      </c>
      <c r="E66" s="88">
        <v>23</v>
      </c>
      <c r="F66" s="87">
        <v>59.6</v>
      </c>
      <c r="G66" s="17">
        <v>18</v>
      </c>
      <c r="H66" s="89">
        <v>412</v>
      </c>
      <c r="I66" s="90">
        <v>18000</v>
      </c>
      <c r="J66" s="90" t="s">
        <v>68</v>
      </c>
      <c r="K66" s="90"/>
      <c r="L66" s="90"/>
      <c r="M66" s="91">
        <f>I66-K66</f>
        <v>18000</v>
      </c>
      <c r="N66" s="4">
        <f>IF(ISERROR(K66/I66),"",K66/I66)</f>
        <v>0</v>
      </c>
      <c r="O66" s="92">
        <f>I66/E66</f>
        <v>782.60869565217388</v>
      </c>
      <c r="P66" s="92">
        <f>K66/E66</f>
        <v>0</v>
      </c>
      <c r="Q66" s="80">
        <v>3</v>
      </c>
      <c r="R66" s="80">
        <v>1</v>
      </c>
      <c r="S66" s="80" t="s">
        <v>61</v>
      </c>
      <c r="T66" s="5">
        <v>77</v>
      </c>
      <c r="U66" s="9"/>
      <c r="W66" s="87">
        <f>D66</f>
        <v>77.400000000000006</v>
      </c>
      <c r="X66" s="88">
        <f>E66</f>
        <v>23</v>
      </c>
      <c r="Y66" s="93">
        <f>H66</f>
        <v>412</v>
      </c>
      <c r="Z66" s="91">
        <f>I66</f>
        <v>18000</v>
      </c>
      <c r="AA66" s="91">
        <f>K66</f>
        <v>0</v>
      </c>
      <c r="AB66" s="91">
        <f t="shared" ref="AB66:AD67" si="49">M66</f>
        <v>18000</v>
      </c>
      <c r="AC66" s="4">
        <f t="shared" si="49"/>
        <v>0</v>
      </c>
      <c r="AD66" s="92">
        <f t="shared" si="49"/>
        <v>782.60869565217388</v>
      </c>
      <c r="AE66" s="80" t="str">
        <f>S66</f>
        <v>계</v>
      </c>
      <c r="AF66" s="80" t="str">
        <f>Q66&amp;"/"&amp;R66</f>
        <v>3/1</v>
      </c>
      <c r="AH66" s="20" t="str">
        <f t="shared" si="20"/>
        <v>삼성</v>
      </c>
      <c r="AI66" s="88">
        <f t="shared" si="18"/>
        <v>23</v>
      </c>
      <c r="AJ66" s="80" t="str">
        <f>IF(AI66="","",$AJ$2)</f>
        <v>A-</v>
      </c>
      <c r="AK66" s="80" t="s">
        <v>13</v>
      </c>
      <c r="AL66" s="80" t="s">
        <v>62</v>
      </c>
      <c r="AM66" s="80" t="s">
        <v>63</v>
      </c>
      <c r="AN66" s="80" t="str">
        <f>IF(AI66="","",$AN$2)</f>
        <v>C</v>
      </c>
      <c r="AO66" s="80" t="str">
        <f>IF(N66="","",IF(N66&gt;=$AO$1/100,"O","X"))</f>
        <v>X</v>
      </c>
      <c r="AP66" s="80" t="str">
        <f>IF(I66="","",IF(I66&lt;=$AP$1,"O","X"))</f>
        <v>O</v>
      </c>
      <c r="AQ66" s="80" t="str">
        <f>IF(O66="","",IF(O66&lt;=$AQ$1,"O","X"))</f>
        <v>O</v>
      </c>
      <c r="AR66" s="80" t="str">
        <f>IF(M66="","",IF(M66&lt;=$AR$1,"O","X"))</f>
        <v>X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>X</v>
      </c>
    </row>
    <row r="67" spans="1:48" x14ac:dyDescent="0.3">
      <c r="A67" s="9" t="s">
        <v>788</v>
      </c>
      <c r="B67" s="10" t="s">
        <v>943</v>
      </c>
      <c r="C67" s="89">
        <v>798</v>
      </c>
      <c r="D67" s="87">
        <v>104.2</v>
      </c>
      <c r="E67" s="88">
        <v>32</v>
      </c>
      <c r="F67" s="87">
        <v>84.7</v>
      </c>
      <c r="G67" s="17">
        <v>26</v>
      </c>
      <c r="H67" s="89">
        <v>386</v>
      </c>
      <c r="I67" s="90">
        <v>21200</v>
      </c>
      <c r="J67" s="90" t="s">
        <v>69</v>
      </c>
      <c r="K67" s="90">
        <v>16000</v>
      </c>
      <c r="L67" s="90" t="s">
        <v>73</v>
      </c>
      <c r="M67" s="91">
        <f>I67-K67</f>
        <v>5200</v>
      </c>
      <c r="N67" s="4">
        <f>IF(ISERROR(K67/I67),"",K67/I67)</f>
        <v>0.75471698113207553</v>
      </c>
      <c r="O67" s="92">
        <f>I67/E67</f>
        <v>662.5</v>
      </c>
      <c r="P67" s="92">
        <f>K67/E67</f>
        <v>500</v>
      </c>
      <c r="Q67" s="80">
        <v>3</v>
      </c>
      <c r="R67" s="80">
        <v>2</v>
      </c>
      <c r="S67" s="80" t="s">
        <v>61</v>
      </c>
      <c r="T67" s="5">
        <v>104</v>
      </c>
      <c r="U67" s="9"/>
      <c r="W67" s="87">
        <f>D67</f>
        <v>104.2</v>
      </c>
      <c r="X67" s="88">
        <f>E67</f>
        <v>32</v>
      </c>
      <c r="Y67" s="93">
        <f>H67</f>
        <v>386</v>
      </c>
      <c r="Z67" s="91">
        <f>I67</f>
        <v>21200</v>
      </c>
      <c r="AA67" s="91">
        <f>K67</f>
        <v>16000</v>
      </c>
      <c r="AB67" s="91">
        <f t="shared" si="49"/>
        <v>5200</v>
      </c>
      <c r="AC67" s="4">
        <f t="shared" si="49"/>
        <v>0.75471698113207553</v>
      </c>
      <c r="AD67" s="92">
        <f t="shared" si="49"/>
        <v>662.5</v>
      </c>
      <c r="AE67" s="80" t="str">
        <f>S67</f>
        <v>계</v>
      </c>
      <c r="AF67" s="80" t="str">
        <f>Q67&amp;"/"&amp;R67</f>
        <v>3/2</v>
      </c>
      <c r="AH67" s="20" t="str">
        <f t="shared" si="20"/>
        <v>삼성</v>
      </c>
      <c r="AI67" s="88">
        <f t="shared" ref="AI67:AI85" si="50">IF(E67="","",E67)</f>
        <v>32</v>
      </c>
      <c r="AJ67" s="80" t="str">
        <f>IF(AI67="","",$AJ$2)</f>
        <v>A-</v>
      </c>
      <c r="AK67" s="80" t="s">
        <v>13</v>
      </c>
      <c r="AL67" s="80" t="s">
        <v>62</v>
      </c>
      <c r="AM67" s="80" t="s">
        <v>63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O</v>
      </c>
      <c r="AQ67" s="80" t="str">
        <f>IF(O67="","",IF(O67&lt;=$AQ$1,"O","X"))</f>
        <v>O</v>
      </c>
      <c r="AR67" s="80" t="str">
        <f>IF(M67="","",IF(M67&lt;=$AR$1,"O","X"))</f>
        <v>O</v>
      </c>
      <c r="AS67" s="80" t="s">
        <v>2</v>
      </c>
      <c r="AT67" s="80" t="str">
        <f>IF(OR(F67="",AI67=""),"",IF(AND((F67&lt;=85),(AI67&gt;=15)),"O","X"))</f>
        <v>O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x14ac:dyDescent="0.3">
      <c r="A68" s="9"/>
      <c r="B68" s="80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8" t="str">
        <f>$A$4&amp;" "&amp;A69&amp;"("&amp;B69&amp;","&amp;C69&amp;"^)"</f>
        <v>율량동 제일풍경채('16.07.,422^)</v>
      </c>
      <c r="X68" s="69"/>
      <c r="Y68" s="69"/>
      <c r="Z68" s="69"/>
      <c r="AA68" s="69"/>
      <c r="AB68" s="69"/>
      <c r="AC68" s="69"/>
      <c r="AD68" s="69"/>
      <c r="AE68" s="69"/>
      <c r="AF68" s="70"/>
      <c r="AH68" s="20" t="str">
        <f t="shared" si="20"/>
        <v/>
      </c>
      <c r="AI68" s="112" t="str">
        <f t="shared" si="50"/>
        <v/>
      </c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</row>
    <row r="69" spans="1:48" x14ac:dyDescent="0.3">
      <c r="A69" s="9" t="s">
        <v>801</v>
      </c>
      <c r="B69" s="10" t="s">
        <v>944</v>
      </c>
      <c r="C69" s="89">
        <v>422</v>
      </c>
      <c r="D69" s="87">
        <v>94.3</v>
      </c>
      <c r="E69" s="88">
        <v>29</v>
      </c>
      <c r="F69" s="87">
        <v>71.400000000000006</v>
      </c>
      <c r="G69" s="17">
        <v>22</v>
      </c>
      <c r="H69" s="89">
        <v>49</v>
      </c>
      <c r="I69" s="90">
        <v>34000</v>
      </c>
      <c r="J69" s="90" t="s">
        <v>66</v>
      </c>
      <c r="K69" s="90"/>
      <c r="L69" s="90"/>
      <c r="M69" s="91">
        <f>I69-K69</f>
        <v>34000</v>
      </c>
      <c r="N69" s="4">
        <f>IF(ISERROR(K69/I69),"",K69/I69)</f>
        <v>0</v>
      </c>
      <c r="O69" s="92">
        <f>I69/E69</f>
        <v>1172.4137931034484</v>
      </c>
      <c r="P69" s="92">
        <f>K69/E69</f>
        <v>0</v>
      </c>
      <c r="Q69" s="80">
        <v>3</v>
      </c>
      <c r="R69" s="80">
        <v>2</v>
      </c>
      <c r="S69" s="80" t="s">
        <v>61</v>
      </c>
      <c r="T69" s="5" t="s">
        <v>111</v>
      </c>
      <c r="U69" s="9"/>
      <c r="W69" s="87">
        <f t="shared" ref="W69:X72" si="51">D69</f>
        <v>94.3</v>
      </c>
      <c r="X69" s="88">
        <f t="shared" si="51"/>
        <v>29</v>
      </c>
      <c r="Y69" s="93">
        <f t="shared" ref="Y69:Z72" si="52">H69</f>
        <v>49</v>
      </c>
      <c r="Z69" s="91">
        <f t="shared" si="52"/>
        <v>34000</v>
      </c>
      <c r="AA69" s="91">
        <f>K69</f>
        <v>0</v>
      </c>
      <c r="AB69" s="91">
        <f t="shared" ref="AB69:AD72" si="53">M69</f>
        <v>34000</v>
      </c>
      <c r="AC69" s="4">
        <f t="shared" si="53"/>
        <v>0</v>
      </c>
      <c r="AD69" s="92">
        <f t="shared" si="53"/>
        <v>1172.4137931034484</v>
      </c>
      <c r="AE69" s="80" t="str">
        <f>S69</f>
        <v>계</v>
      </c>
      <c r="AF69" s="80" t="str">
        <f>Q69&amp;"/"&amp;R69</f>
        <v>3/2</v>
      </c>
      <c r="AH69" s="20" t="str">
        <f t="shared" ref="AH69:AH85" si="54">IF(A69="","",A69)</f>
        <v>제일풍경채</v>
      </c>
      <c r="AI69" s="88">
        <f t="shared" si="50"/>
        <v>29</v>
      </c>
      <c r="AJ69" s="80" t="str">
        <f>IF(AI69="","",$AJ$2)</f>
        <v>A-</v>
      </c>
      <c r="AK69" s="80" t="s">
        <v>13</v>
      </c>
      <c r="AL69" s="80" t="s">
        <v>62</v>
      </c>
      <c r="AM69" s="80" t="s">
        <v>63</v>
      </c>
      <c r="AN69" s="80" t="str">
        <f>IF(AI69="","",$AN$2)</f>
        <v>C</v>
      </c>
      <c r="AO69" s="80" t="str">
        <f>IF(N69="","",IF(N69&gt;=$AO$1/100,"O","X"))</f>
        <v>X</v>
      </c>
      <c r="AP69" s="80" t="str">
        <f>IF(I69="","",IF(I69&lt;=$AP$1,"O","X"))</f>
        <v>O</v>
      </c>
      <c r="AQ69" s="80" t="str">
        <f>IF(O69="","",IF(O69&lt;=$AQ$1,"O","X"))</f>
        <v>X</v>
      </c>
      <c r="AR69" s="80" t="str">
        <f>IF(M69="","",IF(M69&lt;=$AR$1,"O","X"))</f>
        <v>X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>X</v>
      </c>
    </row>
    <row r="70" spans="1:48" x14ac:dyDescent="0.3">
      <c r="A70" s="9" t="s">
        <v>801</v>
      </c>
      <c r="B70" s="10" t="s">
        <v>944</v>
      </c>
      <c r="C70" s="89">
        <v>422</v>
      </c>
      <c r="D70" s="87">
        <v>94.7</v>
      </c>
      <c r="E70" s="88">
        <v>29</v>
      </c>
      <c r="F70" s="87">
        <v>71.400000000000006</v>
      </c>
      <c r="G70" s="17">
        <v>22</v>
      </c>
      <c r="H70" s="89">
        <v>48</v>
      </c>
      <c r="I70" s="90">
        <v>34000</v>
      </c>
      <c r="J70" s="90" t="s">
        <v>70</v>
      </c>
      <c r="K70" s="90">
        <v>27000</v>
      </c>
      <c r="L70" s="90" t="s">
        <v>70</v>
      </c>
      <c r="M70" s="91">
        <f>I70-K70</f>
        <v>7000</v>
      </c>
      <c r="N70" s="4">
        <f>IF(ISERROR(K70/I70),"",K70/I70)</f>
        <v>0.79411764705882348</v>
      </c>
      <c r="O70" s="92">
        <f>I70/E70</f>
        <v>1172.4137931034484</v>
      </c>
      <c r="P70" s="92">
        <f>K70/E70</f>
        <v>931.0344827586207</v>
      </c>
      <c r="Q70" s="80">
        <v>3</v>
      </c>
      <c r="R70" s="80">
        <v>2</v>
      </c>
      <c r="S70" s="80" t="s">
        <v>61</v>
      </c>
      <c r="T70" s="5" t="s">
        <v>84</v>
      </c>
      <c r="U70" s="9"/>
      <c r="W70" s="87">
        <f t="shared" si="51"/>
        <v>94.7</v>
      </c>
      <c r="X70" s="88">
        <f t="shared" si="51"/>
        <v>29</v>
      </c>
      <c r="Y70" s="93">
        <f t="shared" si="52"/>
        <v>48</v>
      </c>
      <c r="Z70" s="91">
        <f t="shared" si="52"/>
        <v>34000</v>
      </c>
      <c r="AA70" s="91">
        <f>K70</f>
        <v>27000</v>
      </c>
      <c r="AB70" s="91">
        <f t="shared" si="53"/>
        <v>7000</v>
      </c>
      <c r="AC70" s="4">
        <f t="shared" si="53"/>
        <v>0.79411764705882348</v>
      </c>
      <c r="AD70" s="92">
        <f t="shared" si="53"/>
        <v>1172.4137931034484</v>
      </c>
      <c r="AE70" s="80" t="str">
        <f>S70</f>
        <v>계</v>
      </c>
      <c r="AF70" s="80" t="str">
        <f>Q70&amp;"/"&amp;R70</f>
        <v>3/2</v>
      </c>
      <c r="AH70" s="20" t="str">
        <f t="shared" si="54"/>
        <v>제일풍경채</v>
      </c>
      <c r="AI70" s="88">
        <f t="shared" si="50"/>
        <v>29</v>
      </c>
      <c r="AJ70" s="80" t="str">
        <f>IF(AI70="","",$AJ$2)</f>
        <v>A-</v>
      </c>
      <c r="AK70" s="80" t="s">
        <v>13</v>
      </c>
      <c r="AL70" s="80" t="s">
        <v>62</v>
      </c>
      <c r="AM70" s="80" t="s">
        <v>63</v>
      </c>
      <c r="AN70" s="80" t="str">
        <f>IF(AI70="","",$AN$2)</f>
        <v>C</v>
      </c>
      <c r="AO70" s="80" t="str">
        <f>IF(N70="","",IF(N70&gt;=$AO$1/100,"O","X"))</f>
        <v>X</v>
      </c>
      <c r="AP70" s="80" t="str">
        <f>IF(I70="","",IF(I70&lt;=$AP$1,"O","X"))</f>
        <v>O</v>
      </c>
      <c r="AQ70" s="80" t="str">
        <f>IF(O70="","",IF(O70&lt;=$AQ$1,"O","X"))</f>
        <v>X</v>
      </c>
      <c r="AR70" s="80" t="str">
        <f>IF(M70="","",IF(M70&lt;=$AR$1,"O","X"))</f>
        <v>X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>X</v>
      </c>
    </row>
    <row r="71" spans="1:48" x14ac:dyDescent="0.3">
      <c r="A71" s="9" t="s">
        <v>801</v>
      </c>
      <c r="B71" s="10" t="s">
        <v>944</v>
      </c>
      <c r="C71" s="89">
        <v>422</v>
      </c>
      <c r="D71" s="87">
        <v>110.9</v>
      </c>
      <c r="E71" s="88">
        <v>34</v>
      </c>
      <c r="F71" s="87">
        <v>84.8</v>
      </c>
      <c r="G71" s="17">
        <v>26</v>
      </c>
      <c r="H71" s="89">
        <v>276</v>
      </c>
      <c r="I71" s="90"/>
      <c r="J71" s="90"/>
      <c r="K71" s="90"/>
      <c r="L71" s="90"/>
      <c r="M71" s="91">
        <f>I71-K71</f>
        <v>0</v>
      </c>
      <c r="N71" s="4" t="str">
        <f>IF(ISERROR(K71/I71),"",K71/I71)</f>
        <v/>
      </c>
      <c r="O71" s="92">
        <f>I71/E71</f>
        <v>0</v>
      </c>
      <c r="P71" s="92">
        <f>K71/E71</f>
        <v>0</v>
      </c>
      <c r="Q71" s="80">
        <v>3</v>
      </c>
      <c r="R71" s="80">
        <v>2</v>
      </c>
      <c r="S71" s="80" t="s">
        <v>61</v>
      </c>
      <c r="T71" s="5" t="s">
        <v>107</v>
      </c>
      <c r="U71" s="9"/>
      <c r="W71" s="87">
        <f t="shared" si="51"/>
        <v>110.9</v>
      </c>
      <c r="X71" s="88">
        <f t="shared" si="51"/>
        <v>34</v>
      </c>
      <c r="Y71" s="93">
        <f t="shared" si="52"/>
        <v>276</v>
      </c>
      <c r="Z71" s="91">
        <f t="shared" si="52"/>
        <v>0</v>
      </c>
      <c r="AA71" s="91">
        <f>K71</f>
        <v>0</v>
      </c>
      <c r="AB71" s="91">
        <f t="shared" si="53"/>
        <v>0</v>
      </c>
      <c r="AC71" s="4" t="str">
        <f t="shared" si="53"/>
        <v/>
      </c>
      <c r="AD71" s="92">
        <f t="shared" si="53"/>
        <v>0</v>
      </c>
      <c r="AE71" s="80" t="str">
        <f>S71</f>
        <v>계</v>
      </c>
      <c r="AF71" s="80" t="str">
        <f>Q71&amp;"/"&amp;R71</f>
        <v>3/2</v>
      </c>
      <c r="AH71" s="20" t="str">
        <f t="shared" si="54"/>
        <v>제일풍경채</v>
      </c>
      <c r="AI71" s="88">
        <f t="shared" si="50"/>
        <v>34</v>
      </c>
      <c r="AJ71" s="80" t="str">
        <f>IF(AI71="","",$AJ$2)</f>
        <v>A-</v>
      </c>
      <c r="AK71" s="80" t="s">
        <v>13</v>
      </c>
      <c r="AL71" s="80" t="s">
        <v>62</v>
      </c>
      <c r="AM71" s="80" t="s">
        <v>63</v>
      </c>
      <c r="AN71" s="80" t="str">
        <f>IF(AI71="","",$AN$2)</f>
        <v>C</v>
      </c>
      <c r="AO71" s="80" t="str">
        <f>IF(N71="","",IF(N71&gt;=$AO$1/100,"O","X"))</f>
        <v/>
      </c>
      <c r="AP71" s="80" t="str">
        <f>IF(I71="","",IF(I71&lt;=$AP$1,"O","X"))</f>
        <v/>
      </c>
      <c r="AQ71" s="80" t="str">
        <f>IF(O71="","",IF(O71&lt;=$AQ$1,"O","X"))</f>
        <v>O</v>
      </c>
      <c r="AR71" s="80" t="str">
        <f>IF(M71="","",IF(M71&lt;=$AR$1,"O","X"))</f>
        <v>O</v>
      </c>
      <c r="AS71" s="80" t="s">
        <v>2</v>
      </c>
      <c r="AT71" s="80" t="str">
        <f>IF(OR(F71="",AI71=""),"",IF(AND((F71&lt;=85),(AI71&gt;=15)),"O","X"))</f>
        <v>O</v>
      </c>
      <c r="AU71" s="80" t="str">
        <f>IF(C71="","",IF(C71&gt;=$AU$1,"O","X"))</f>
        <v>O</v>
      </c>
      <c r="AV71" s="80" t="str">
        <f>IF(AO71="","",IF(AND(AO71="O",AP71="O",AR71="O",AT71="O",AU71="O"),"후보","X"))</f>
        <v/>
      </c>
    </row>
    <row r="72" spans="1:48" x14ac:dyDescent="0.3">
      <c r="A72" s="9" t="s">
        <v>801</v>
      </c>
      <c r="B72" s="10" t="s">
        <v>944</v>
      </c>
      <c r="C72" s="89">
        <v>422</v>
      </c>
      <c r="D72" s="87">
        <v>111.6</v>
      </c>
      <c r="E72" s="88">
        <v>34</v>
      </c>
      <c r="F72" s="87">
        <v>84.4</v>
      </c>
      <c r="G72" s="17">
        <v>26</v>
      </c>
      <c r="H72" s="89">
        <v>49</v>
      </c>
      <c r="I72" s="90">
        <v>39000</v>
      </c>
      <c r="J72" s="90" t="s">
        <v>889</v>
      </c>
      <c r="K72" s="90">
        <v>30000</v>
      </c>
      <c r="L72" s="90" t="s">
        <v>73</v>
      </c>
      <c r="M72" s="91">
        <f>I72-K72</f>
        <v>9000</v>
      </c>
      <c r="N72" s="4">
        <f>IF(ISERROR(K72/I72),"",K72/I72)</f>
        <v>0.76923076923076927</v>
      </c>
      <c r="O72" s="92">
        <f>I72/E72</f>
        <v>1147.0588235294117</v>
      </c>
      <c r="P72" s="92">
        <f>K72/E72</f>
        <v>882.35294117647061</v>
      </c>
      <c r="Q72" s="80">
        <v>3</v>
      </c>
      <c r="R72" s="80">
        <v>2</v>
      </c>
      <c r="S72" s="80" t="s">
        <v>61</v>
      </c>
      <c r="T72" s="5" t="s">
        <v>664</v>
      </c>
      <c r="U72" s="9"/>
      <c r="W72" s="87">
        <f t="shared" si="51"/>
        <v>111.6</v>
      </c>
      <c r="X72" s="88">
        <f t="shared" si="51"/>
        <v>34</v>
      </c>
      <c r="Y72" s="93">
        <f t="shared" si="52"/>
        <v>49</v>
      </c>
      <c r="Z72" s="91">
        <f t="shared" si="52"/>
        <v>39000</v>
      </c>
      <c r="AA72" s="91">
        <f>K72</f>
        <v>30000</v>
      </c>
      <c r="AB72" s="91">
        <f t="shared" si="53"/>
        <v>9000</v>
      </c>
      <c r="AC72" s="4">
        <f t="shared" si="53"/>
        <v>0.76923076923076927</v>
      </c>
      <c r="AD72" s="92">
        <f t="shared" si="53"/>
        <v>1147.0588235294117</v>
      </c>
      <c r="AE72" s="80" t="str">
        <f>S72</f>
        <v>계</v>
      </c>
      <c r="AF72" s="80" t="str">
        <f>Q72&amp;"/"&amp;R72</f>
        <v>3/2</v>
      </c>
      <c r="AH72" s="20" t="str">
        <f t="shared" si="54"/>
        <v>제일풍경채</v>
      </c>
      <c r="AI72" s="88">
        <f t="shared" si="50"/>
        <v>34</v>
      </c>
      <c r="AJ72" s="80" t="str">
        <f>IF(AI72="","",$AJ$2)</f>
        <v>A-</v>
      </c>
      <c r="AK72" s="80" t="s">
        <v>13</v>
      </c>
      <c r="AL72" s="80" t="s">
        <v>62</v>
      </c>
      <c r="AM72" s="80" t="s">
        <v>63</v>
      </c>
      <c r="AN72" s="80" t="str">
        <f>IF(AI72="","",$AN$2)</f>
        <v>C</v>
      </c>
      <c r="AO72" s="80" t="str">
        <f>IF(N72="","",IF(N72&gt;=$AO$1/100,"O","X"))</f>
        <v>X</v>
      </c>
      <c r="AP72" s="80" t="str">
        <f>IF(I72="","",IF(I72&lt;=$AP$1,"O","X"))</f>
        <v>O</v>
      </c>
      <c r="AQ72" s="80" t="str">
        <f>IF(O72="","",IF(O72&lt;=$AQ$1,"O","X"))</f>
        <v>X</v>
      </c>
      <c r="AR72" s="80" t="str">
        <f>IF(M72="","",IF(M72&lt;=$AR$1,"O","X"))</f>
        <v>X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O</v>
      </c>
      <c r="AV72" s="80" t="str">
        <f>IF(AO72="","",IF(AND(AO72="O",AP72="O",AR72="O",AT72="O",AU72="O"),"후보","X"))</f>
        <v>X</v>
      </c>
    </row>
    <row r="73" spans="1:48" x14ac:dyDescent="0.3">
      <c r="A73" s="9"/>
      <c r="B73" s="80"/>
      <c r="C73" s="6"/>
      <c r="D73" s="9"/>
      <c r="E73" s="14"/>
      <c r="F73" s="87"/>
      <c r="G73" s="9"/>
      <c r="H73" s="9"/>
      <c r="I73" s="9"/>
      <c r="J73" s="9"/>
      <c r="K73" s="9"/>
      <c r="L73" s="9"/>
      <c r="M73" s="9"/>
      <c r="N73" s="9"/>
      <c r="O73" s="92"/>
      <c r="P73" s="92"/>
      <c r="Q73" s="88"/>
      <c r="R73" s="88"/>
      <c r="S73" s="9"/>
      <c r="T73" s="47"/>
      <c r="U73" s="9"/>
      <c r="W73" s="68" t="str">
        <f>$A$4&amp;" "&amp;A74&amp;"("&amp;B74&amp;","&amp;C74&amp;"^)"</f>
        <v>율량동 율량대창4차('96.07.,261^)</v>
      </c>
      <c r="X73" s="69"/>
      <c r="Y73" s="69"/>
      <c r="Z73" s="69"/>
      <c r="AA73" s="69"/>
      <c r="AB73" s="69"/>
      <c r="AC73" s="69"/>
      <c r="AD73" s="69"/>
      <c r="AE73" s="69"/>
      <c r="AF73" s="70"/>
      <c r="AH73" s="20" t="str">
        <f t="shared" si="54"/>
        <v/>
      </c>
      <c r="AI73" s="112" t="str">
        <f t="shared" si="50"/>
        <v/>
      </c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</row>
    <row r="74" spans="1:48" x14ac:dyDescent="0.3">
      <c r="A74" s="9" t="s">
        <v>811</v>
      </c>
      <c r="B74" s="10" t="s">
        <v>945</v>
      </c>
      <c r="C74" s="89">
        <v>261</v>
      </c>
      <c r="D74" s="87">
        <v>67.7</v>
      </c>
      <c r="E74" s="88">
        <v>20</v>
      </c>
      <c r="F74" s="87">
        <v>49.5</v>
      </c>
      <c r="G74" s="17">
        <v>15</v>
      </c>
      <c r="H74" s="89">
        <v>225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80">
        <v>2</v>
      </c>
      <c r="R74" s="80">
        <v>1</v>
      </c>
      <c r="S74" s="80" t="s">
        <v>61</v>
      </c>
      <c r="T74" s="5">
        <v>67</v>
      </c>
      <c r="U74" s="9"/>
      <c r="W74" s="87">
        <f>D74</f>
        <v>67.7</v>
      </c>
      <c r="X74" s="88">
        <f>E74</f>
        <v>20</v>
      </c>
      <c r="Y74" s="93">
        <f>H74</f>
        <v>225</v>
      </c>
      <c r="Z74" s="91">
        <f>I74</f>
        <v>0</v>
      </c>
      <c r="AA74" s="91">
        <f>K74</f>
        <v>0</v>
      </c>
      <c r="AB74" s="91">
        <f t="shared" ref="AB74:AD75" si="55">M74</f>
        <v>0</v>
      </c>
      <c r="AC74" s="4" t="str">
        <f t="shared" si="55"/>
        <v/>
      </c>
      <c r="AD74" s="92">
        <f t="shared" si="55"/>
        <v>0</v>
      </c>
      <c r="AE74" s="80" t="str">
        <f>S74</f>
        <v>계</v>
      </c>
      <c r="AF74" s="80" t="str">
        <f>Q74&amp;"/"&amp;R74</f>
        <v>2/1</v>
      </c>
      <c r="AH74" s="20" t="str">
        <f t="shared" si="54"/>
        <v>율량대창4차</v>
      </c>
      <c r="AI74" s="88">
        <f t="shared" si="50"/>
        <v>20</v>
      </c>
      <c r="AJ74" s="80" t="str">
        <f>IF(AI74="","",$AJ$2)</f>
        <v>A-</v>
      </c>
      <c r="AK74" s="80" t="s">
        <v>13</v>
      </c>
      <c r="AL74" s="80" t="s">
        <v>62</v>
      </c>
      <c r="AM74" s="80" t="s">
        <v>63</v>
      </c>
      <c r="AN74" s="80" t="str">
        <f>IF(AI74="","",$AN$2)</f>
        <v>C</v>
      </c>
      <c r="AO74" s="80" t="str">
        <f>IF(N74="","",IF(N74&gt;=$AO$1/100,"O","X"))</f>
        <v/>
      </c>
      <c r="AP74" s="80" t="str">
        <f>IF(I74="","",IF(I74&lt;=$AP$1,"O","X"))</f>
        <v/>
      </c>
      <c r="AQ74" s="80" t="str">
        <f>IF(O74="","",IF(O74&lt;=$AQ$1,"O","X"))</f>
        <v>O</v>
      </c>
      <c r="AR74" s="80" t="str">
        <f>IF(M74="","",IF(M74&lt;=$AR$1,"O","X"))</f>
        <v>O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X</v>
      </c>
      <c r="AV74" s="80" t="str">
        <f>IF(AO74="","",IF(AND(AO74="O",AP74="O",AR74="O",AT74="O",AU74="O"),"후보","X"))</f>
        <v/>
      </c>
    </row>
    <row r="75" spans="1:48" x14ac:dyDescent="0.3">
      <c r="A75" s="9" t="s">
        <v>811</v>
      </c>
      <c r="B75" s="10" t="s">
        <v>945</v>
      </c>
      <c r="C75" s="89">
        <v>261</v>
      </c>
      <c r="D75" s="87">
        <v>70.3</v>
      </c>
      <c r="E75" s="88">
        <v>21</v>
      </c>
      <c r="F75" s="87">
        <v>49.5</v>
      </c>
      <c r="G75" s="17">
        <v>15</v>
      </c>
      <c r="H75" s="89">
        <v>36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80">
        <v>2</v>
      </c>
      <c r="R75" s="80">
        <v>1</v>
      </c>
      <c r="S75" s="80" t="s">
        <v>85</v>
      </c>
      <c r="T75" s="5">
        <v>70</v>
      </c>
      <c r="U75" s="9"/>
      <c r="W75" s="87">
        <f>D75</f>
        <v>70.3</v>
      </c>
      <c r="X75" s="88">
        <f>E75</f>
        <v>21</v>
      </c>
      <c r="Y75" s="93">
        <f>H75</f>
        <v>36</v>
      </c>
      <c r="Z75" s="91">
        <f>I75</f>
        <v>0</v>
      </c>
      <c r="AA75" s="91">
        <f>K75</f>
        <v>0</v>
      </c>
      <c r="AB75" s="91">
        <f t="shared" si="55"/>
        <v>0</v>
      </c>
      <c r="AC75" s="4" t="str">
        <f t="shared" si="55"/>
        <v/>
      </c>
      <c r="AD75" s="92">
        <f t="shared" si="55"/>
        <v>0</v>
      </c>
      <c r="AE75" s="80" t="str">
        <f>S75</f>
        <v>복</v>
      </c>
      <c r="AF75" s="80" t="str">
        <f>Q75&amp;"/"&amp;R75</f>
        <v>2/1</v>
      </c>
      <c r="AH75" s="20" t="str">
        <f t="shared" si="54"/>
        <v>율량대창4차</v>
      </c>
      <c r="AI75" s="88">
        <f t="shared" si="50"/>
        <v>21</v>
      </c>
      <c r="AJ75" s="80" t="str">
        <f>IF(AI75="","",$AJ$2)</f>
        <v>A-</v>
      </c>
      <c r="AK75" s="80" t="s">
        <v>13</v>
      </c>
      <c r="AL75" s="80" t="s">
        <v>62</v>
      </c>
      <c r="AM75" s="80" t="s">
        <v>63</v>
      </c>
      <c r="AN75" s="80" t="str">
        <f>IF(AI75="","",$AN$2)</f>
        <v>C</v>
      </c>
      <c r="AO75" s="80" t="str">
        <f>IF(N75="","",IF(N75&gt;=$AO$1/100,"O","X"))</f>
        <v/>
      </c>
      <c r="AP75" s="80" t="str">
        <f>IF(I75="","",IF(I75&lt;=$AP$1,"O","X"))</f>
        <v/>
      </c>
      <c r="AQ75" s="80" t="str">
        <f>IF(O75="","",IF(O75&lt;=$AQ$1,"O","X"))</f>
        <v>O</v>
      </c>
      <c r="AR75" s="80" t="str">
        <f>IF(M75="","",IF(M75&lt;=$AR$1,"O","X"))</f>
        <v>O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X</v>
      </c>
      <c r="AV75" s="80" t="str">
        <f>IF(AO75="","",IF(AND(AO75="O",AP75="O",AR75="O",AT75="O",AU75="O"),"후보","X"))</f>
        <v/>
      </c>
    </row>
    <row r="76" spans="1:48" x14ac:dyDescent="0.3">
      <c r="A76" s="9"/>
      <c r="B76" s="80"/>
      <c r="C76" s="6"/>
      <c r="D76" s="9"/>
      <c r="E76" s="14"/>
      <c r="F76" s="87"/>
      <c r="G76" s="9"/>
      <c r="H76" s="9"/>
      <c r="I76" s="9"/>
      <c r="J76" s="9"/>
      <c r="K76" s="9"/>
      <c r="L76" s="9"/>
      <c r="M76" s="9"/>
      <c r="N76" s="9"/>
      <c r="O76" s="92"/>
      <c r="P76" s="92"/>
      <c r="Q76" s="88"/>
      <c r="R76" s="88"/>
      <c r="S76" s="9"/>
      <c r="T76" s="47"/>
      <c r="U76" s="9"/>
      <c r="W76" s="68" t="str">
        <f>$A$4&amp;" "&amp;A77&amp;"("&amp;B77&amp;","&amp;C77&amp;"^)"</f>
        <v>율량동 율량효성2차('97.01.,440^)</v>
      </c>
      <c r="X76" s="69"/>
      <c r="Y76" s="69"/>
      <c r="Z76" s="69"/>
      <c r="AA76" s="69"/>
      <c r="AB76" s="69"/>
      <c r="AC76" s="69"/>
      <c r="AD76" s="69"/>
      <c r="AE76" s="69"/>
      <c r="AF76" s="70"/>
      <c r="AH76" s="20" t="str">
        <f t="shared" si="54"/>
        <v/>
      </c>
      <c r="AI76" s="112" t="str">
        <f t="shared" si="50"/>
        <v/>
      </c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</row>
    <row r="77" spans="1:48" x14ac:dyDescent="0.3">
      <c r="A77" s="9" t="s">
        <v>816</v>
      </c>
      <c r="B77" s="10" t="s">
        <v>946</v>
      </c>
      <c r="C77" s="89">
        <v>440</v>
      </c>
      <c r="D77" s="87">
        <v>63.5</v>
      </c>
      <c r="E77" s="88">
        <v>19</v>
      </c>
      <c r="F77" s="87">
        <v>45.3</v>
      </c>
      <c r="G77" s="17">
        <v>14</v>
      </c>
      <c r="H77" s="89">
        <v>178</v>
      </c>
      <c r="I77" s="90">
        <v>9500</v>
      </c>
      <c r="J77" s="90" t="s">
        <v>59</v>
      </c>
      <c r="K77" s="90"/>
      <c r="L77" s="90"/>
      <c r="M77" s="91">
        <f>I77-K77</f>
        <v>9500</v>
      </c>
      <c r="N77" s="4">
        <f>IF(ISERROR(K77/I77),"",K77/I77)</f>
        <v>0</v>
      </c>
      <c r="O77" s="92">
        <f>I77/E77</f>
        <v>500</v>
      </c>
      <c r="P77" s="92">
        <f>K77/E77</f>
        <v>0</v>
      </c>
      <c r="Q77" s="80">
        <v>2</v>
      </c>
      <c r="R77" s="80">
        <v>1</v>
      </c>
      <c r="S77" s="80" t="s">
        <v>85</v>
      </c>
      <c r="T77" s="5">
        <v>63</v>
      </c>
      <c r="U77" s="9"/>
      <c r="W77" s="87">
        <f t="shared" ref="W77:X79" si="56">D77</f>
        <v>63.5</v>
      </c>
      <c r="X77" s="88">
        <f t="shared" si="56"/>
        <v>19</v>
      </c>
      <c r="Y77" s="93">
        <f t="shared" ref="Y77:Z79" si="57">H77</f>
        <v>178</v>
      </c>
      <c r="Z77" s="91">
        <f t="shared" si="57"/>
        <v>9500</v>
      </c>
      <c r="AA77" s="91">
        <f>K77</f>
        <v>0</v>
      </c>
      <c r="AB77" s="91">
        <f t="shared" ref="AB77:AD79" si="58">M77</f>
        <v>9500</v>
      </c>
      <c r="AC77" s="4">
        <f t="shared" si="58"/>
        <v>0</v>
      </c>
      <c r="AD77" s="92">
        <f t="shared" si="58"/>
        <v>500</v>
      </c>
      <c r="AE77" s="80" t="str">
        <f>S77</f>
        <v>복</v>
      </c>
      <c r="AF77" s="80" t="str">
        <f>Q77&amp;"/"&amp;R77</f>
        <v>2/1</v>
      </c>
      <c r="AH77" s="20" t="str">
        <f t="shared" si="54"/>
        <v>율량효성2차</v>
      </c>
      <c r="AI77" s="88">
        <f t="shared" si="50"/>
        <v>19</v>
      </c>
      <c r="AJ77" s="80" t="str">
        <f>IF(AI77="","",$AJ$2)</f>
        <v>A-</v>
      </c>
      <c r="AK77" s="80" t="s">
        <v>13</v>
      </c>
      <c r="AL77" s="80" t="s">
        <v>62</v>
      </c>
      <c r="AM77" s="80" t="s">
        <v>63</v>
      </c>
      <c r="AN77" s="80" t="str">
        <f>IF(AI77="","",$AN$2)</f>
        <v>C</v>
      </c>
      <c r="AO77" s="80" t="str">
        <f>IF(N77="","",IF(N77&gt;=$AO$1/100,"O","X"))</f>
        <v>X</v>
      </c>
      <c r="AP77" s="80" t="str">
        <f>IF(I77="","",IF(I77&lt;=$AP$1,"O","X"))</f>
        <v>O</v>
      </c>
      <c r="AQ77" s="80" t="str">
        <f>IF(O77="","",IF(O77&lt;=$AQ$1,"O","X"))</f>
        <v>O</v>
      </c>
      <c r="AR77" s="80" t="str">
        <f>IF(M77="","",IF(M77&lt;=$AR$1,"O","X"))</f>
        <v>X</v>
      </c>
      <c r="AS77" s="80" t="s">
        <v>2</v>
      </c>
      <c r="AT77" s="80" t="str">
        <f>IF(OR(F77="",AI77=""),"",IF(AND((F77&lt;=85),(AI77&gt;=15)),"O","X"))</f>
        <v>O</v>
      </c>
      <c r="AU77" s="80" t="str">
        <f>IF(C77="","",IF(C77&gt;=$AU$1,"O","X"))</f>
        <v>O</v>
      </c>
      <c r="AV77" s="80" t="str">
        <f>IF(AO77="","",IF(AND(AO77="O",AP77="O",AR77="O",AT77="O",AU77="O"),"후보","X"))</f>
        <v>X</v>
      </c>
    </row>
    <row r="78" spans="1:48" x14ac:dyDescent="0.3">
      <c r="A78" s="9" t="s">
        <v>816</v>
      </c>
      <c r="B78" s="10" t="s">
        <v>946</v>
      </c>
      <c r="C78" s="89">
        <v>440</v>
      </c>
      <c r="D78" s="87">
        <v>83</v>
      </c>
      <c r="E78" s="88">
        <v>25</v>
      </c>
      <c r="F78" s="87">
        <v>59.9</v>
      </c>
      <c r="G78" s="17">
        <v>18</v>
      </c>
      <c r="H78" s="89">
        <v>158</v>
      </c>
      <c r="I78" s="90">
        <v>14000</v>
      </c>
      <c r="J78" s="90" t="s">
        <v>73</v>
      </c>
      <c r="K78" s="90">
        <v>11500</v>
      </c>
      <c r="L78" s="90" t="s">
        <v>70</v>
      </c>
      <c r="M78" s="91">
        <f>I78-K78</f>
        <v>2500</v>
      </c>
      <c r="N78" s="4">
        <f>IF(ISERROR(K78/I78),"",K78/I78)</f>
        <v>0.8214285714285714</v>
      </c>
      <c r="O78" s="92">
        <f>I78/E78</f>
        <v>560</v>
      </c>
      <c r="P78" s="92">
        <f>K78/E78</f>
        <v>460</v>
      </c>
      <c r="Q78" s="80">
        <v>3</v>
      </c>
      <c r="R78" s="80">
        <v>1</v>
      </c>
      <c r="S78" s="80" t="s">
        <v>85</v>
      </c>
      <c r="T78" s="5">
        <v>83</v>
      </c>
      <c r="U78" s="9"/>
      <c r="W78" s="87">
        <f t="shared" si="56"/>
        <v>83</v>
      </c>
      <c r="X78" s="88">
        <f t="shared" si="56"/>
        <v>25</v>
      </c>
      <c r="Y78" s="93">
        <f t="shared" si="57"/>
        <v>158</v>
      </c>
      <c r="Z78" s="91">
        <f t="shared" si="57"/>
        <v>14000</v>
      </c>
      <c r="AA78" s="91">
        <f>K78</f>
        <v>11500</v>
      </c>
      <c r="AB78" s="91">
        <f t="shared" si="58"/>
        <v>2500</v>
      </c>
      <c r="AC78" s="4">
        <f t="shared" si="58"/>
        <v>0.8214285714285714</v>
      </c>
      <c r="AD78" s="92">
        <f t="shared" si="58"/>
        <v>560</v>
      </c>
      <c r="AE78" s="80" t="str">
        <f>S78</f>
        <v>복</v>
      </c>
      <c r="AF78" s="80" t="str">
        <f>Q78&amp;"/"&amp;R78</f>
        <v>3/1</v>
      </c>
      <c r="AH78" s="20" t="str">
        <f t="shared" si="54"/>
        <v>율량효성2차</v>
      </c>
      <c r="AI78" s="88">
        <f t="shared" si="50"/>
        <v>25</v>
      </c>
      <c r="AJ78" s="80" t="str">
        <f>IF(AI78="","",$AJ$2)</f>
        <v>A-</v>
      </c>
      <c r="AK78" s="80" t="s">
        <v>13</v>
      </c>
      <c r="AL78" s="80" t="s">
        <v>62</v>
      </c>
      <c r="AM78" s="80" t="s">
        <v>63</v>
      </c>
      <c r="AN78" s="80" t="str">
        <f>IF(AI78="","",$AN$2)</f>
        <v>C</v>
      </c>
      <c r="AO78" s="80" t="str">
        <f>IF(N78="","",IF(N78&gt;=$AO$1/100,"O","X"))</f>
        <v>O</v>
      </c>
      <c r="AP78" s="80" t="str">
        <f>IF(I78="","",IF(I78&lt;=$AP$1,"O","X"))</f>
        <v>O</v>
      </c>
      <c r="AQ78" s="80" t="str">
        <f>IF(O78="","",IF(O78&lt;=$AQ$1,"O","X"))</f>
        <v>O</v>
      </c>
      <c r="AR78" s="80" t="str">
        <f>IF(M78="","",IF(M78&lt;=$AR$1,"O","X"))</f>
        <v>O</v>
      </c>
      <c r="AS78" s="80" t="s">
        <v>2</v>
      </c>
      <c r="AT78" s="80" t="str">
        <f>IF(OR(F78="",AI78=""),"",IF(AND((F78&lt;=85),(AI78&gt;=15)),"O","X"))</f>
        <v>O</v>
      </c>
      <c r="AU78" s="80" t="str">
        <f>IF(C78="","",IF(C78&gt;=$AU$1,"O","X"))</f>
        <v>O</v>
      </c>
      <c r="AV78" s="80" t="str">
        <f>IF(AO78="","",IF(AND(AO78="O",AP78="O",AR78="O",AT78="O",AU78="O"),"후보","X"))</f>
        <v>후보</v>
      </c>
    </row>
    <row r="79" spans="1:48" x14ac:dyDescent="0.3">
      <c r="A79" s="9" t="s">
        <v>816</v>
      </c>
      <c r="B79" s="10" t="s">
        <v>946</v>
      </c>
      <c r="C79" s="89">
        <v>440</v>
      </c>
      <c r="D79" s="87">
        <v>86.9</v>
      </c>
      <c r="E79" s="88">
        <v>26</v>
      </c>
      <c r="F79" s="87">
        <v>59.9</v>
      </c>
      <c r="G79" s="17">
        <v>18</v>
      </c>
      <c r="H79" s="89">
        <v>104</v>
      </c>
      <c r="I79" s="90"/>
      <c r="J79" s="90"/>
      <c r="K79" s="90"/>
      <c r="L79" s="90"/>
      <c r="M79" s="91">
        <f>I79-K79</f>
        <v>0</v>
      </c>
      <c r="N79" s="4" t="str">
        <f>IF(ISERROR(K79/I79),"",K79/I79)</f>
        <v/>
      </c>
      <c r="O79" s="92">
        <f>I79/E79</f>
        <v>0</v>
      </c>
      <c r="P79" s="92">
        <f>K79/E79</f>
        <v>0</v>
      </c>
      <c r="Q79" s="80">
        <v>3</v>
      </c>
      <c r="R79" s="80">
        <v>1</v>
      </c>
      <c r="S79" s="80" t="s">
        <v>85</v>
      </c>
      <c r="T79" s="5">
        <v>86</v>
      </c>
      <c r="U79" s="9"/>
      <c r="W79" s="87">
        <f t="shared" si="56"/>
        <v>86.9</v>
      </c>
      <c r="X79" s="88">
        <f t="shared" si="56"/>
        <v>26</v>
      </c>
      <c r="Y79" s="93">
        <f t="shared" si="57"/>
        <v>104</v>
      </c>
      <c r="Z79" s="91">
        <f t="shared" si="57"/>
        <v>0</v>
      </c>
      <c r="AA79" s="91">
        <f>K79</f>
        <v>0</v>
      </c>
      <c r="AB79" s="91">
        <f t="shared" si="58"/>
        <v>0</v>
      </c>
      <c r="AC79" s="4" t="str">
        <f t="shared" si="58"/>
        <v/>
      </c>
      <c r="AD79" s="92">
        <f t="shared" si="58"/>
        <v>0</v>
      </c>
      <c r="AE79" s="80" t="str">
        <f>S79</f>
        <v>복</v>
      </c>
      <c r="AF79" s="80" t="str">
        <f>Q79&amp;"/"&amp;R79</f>
        <v>3/1</v>
      </c>
      <c r="AH79" s="20" t="str">
        <f t="shared" si="54"/>
        <v>율량효성2차</v>
      </c>
      <c r="AI79" s="88">
        <f t="shared" si="50"/>
        <v>26</v>
      </c>
      <c r="AJ79" s="80" t="str">
        <f>IF(AI79="","",$AJ$2)</f>
        <v>A-</v>
      </c>
      <c r="AK79" s="80" t="s">
        <v>13</v>
      </c>
      <c r="AL79" s="80" t="s">
        <v>62</v>
      </c>
      <c r="AM79" s="80" t="s">
        <v>63</v>
      </c>
      <c r="AN79" s="80" t="str">
        <f>IF(AI79="","",$AN$2)</f>
        <v>C</v>
      </c>
      <c r="AO79" s="80" t="str">
        <f>IF(N79="","",IF(N79&gt;=$AO$1/100,"O","X"))</f>
        <v/>
      </c>
      <c r="AP79" s="80" t="str">
        <f>IF(I79="","",IF(I79&lt;=$AP$1,"O","X"))</f>
        <v/>
      </c>
      <c r="AQ79" s="80" t="str">
        <f>IF(O79="","",IF(O79&lt;=$AQ$1,"O","X"))</f>
        <v>O</v>
      </c>
      <c r="AR79" s="80" t="str">
        <f>IF(M79="","",IF(M79&lt;=$AR$1,"O","X"))</f>
        <v>O</v>
      </c>
      <c r="AS79" s="80" t="s">
        <v>2</v>
      </c>
      <c r="AT79" s="80" t="str">
        <f>IF(OR(F79="",AI79=""),"",IF(AND((F79&lt;=85),(AI79&gt;=15)),"O","X"))</f>
        <v>O</v>
      </c>
      <c r="AU79" s="80" t="str">
        <f>IF(C79="","",IF(C79&gt;=$AU$1,"O","X"))</f>
        <v>O</v>
      </c>
      <c r="AV79" s="80" t="str">
        <f>IF(AO79="","",IF(AND(AO79="O",AP79="O",AR79="O",AT79="O",AU79="O"),"후보","X"))</f>
        <v/>
      </c>
    </row>
    <row r="80" spans="1:48" x14ac:dyDescent="0.3">
      <c r="A80" s="9"/>
      <c r="B80" s="80"/>
      <c r="C80" s="6"/>
      <c r="D80" s="9"/>
      <c r="E80" s="14"/>
      <c r="F80" s="87"/>
      <c r="G80" s="9"/>
      <c r="H80" s="9"/>
      <c r="I80" s="9"/>
      <c r="J80" s="9"/>
      <c r="K80" s="9"/>
      <c r="L80" s="9"/>
      <c r="M80" s="9"/>
      <c r="N80" s="9"/>
      <c r="O80" s="92"/>
      <c r="P80" s="92"/>
      <c r="Q80" s="88"/>
      <c r="R80" s="88"/>
      <c r="S80" s="9"/>
      <c r="T80" s="47"/>
      <c r="U80" s="9"/>
      <c r="W80" s="68" t="str">
        <f>$A$4&amp;" "&amp;A81&amp;"("&amp;B81&amp;","&amp;C81&amp;"^)"</f>
        <v>율량동 율량7단지선광로즈웰1차('14.05.,321^)</v>
      </c>
      <c r="X80" s="69"/>
      <c r="Y80" s="69"/>
      <c r="Z80" s="69"/>
      <c r="AA80" s="69"/>
      <c r="AB80" s="69"/>
      <c r="AC80" s="69"/>
      <c r="AD80" s="69"/>
      <c r="AE80" s="69"/>
      <c r="AF80" s="70"/>
      <c r="AH80" s="20" t="str">
        <f t="shared" si="54"/>
        <v/>
      </c>
      <c r="AI80" s="112" t="str">
        <f t="shared" si="50"/>
        <v/>
      </c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</row>
    <row r="81" spans="1:48" x14ac:dyDescent="0.3">
      <c r="A81" s="9" t="s">
        <v>821</v>
      </c>
      <c r="B81" s="10" t="s">
        <v>947</v>
      </c>
      <c r="C81" s="89">
        <v>321</v>
      </c>
      <c r="D81" s="87">
        <v>129.5</v>
      </c>
      <c r="E81" s="88">
        <v>39</v>
      </c>
      <c r="F81" s="87">
        <v>103.7</v>
      </c>
      <c r="G81" s="17">
        <v>31</v>
      </c>
      <c r="H81" s="89">
        <v>321</v>
      </c>
      <c r="I81" s="90">
        <v>51000</v>
      </c>
      <c r="J81" s="90" t="s">
        <v>79</v>
      </c>
      <c r="K81" s="90">
        <v>45000</v>
      </c>
      <c r="L81" s="90" t="s">
        <v>70</v>
      </c>
      <c r="M81" s="91">
        <f>I81-K81</f>
        <v>6000</v>
      </c>
      <c r="N81" s="4">
        <f>IF(ISERROR(K81/I81),"",K81/I81)</f>
        <v>0.88235294117647056</v>
      </c>
      <c r="O81" s="92">
        <f>I81/E81</f>
        <v>1307.6923076923076</v>
      </c>
      <c r="P81" s="92">
        <f>K81/E81</f>
        <v>1153.8461538461538</v>
      </c>
      <c r="Q81" s="80">
        <v>4</v>
      </c>
      <c r="R81" s="80">
        <v>2</v>
      </c>
      <c r="S81" s="80" t="s">
        <v>61</v>
      </c>
      <c r="T81" s="5">
        <v>129</v>
      </c>
      <c r="U81" s="9"/>
      <c r="W81" s="87">
        <f>D81</f>
        <v>129.5</v>
      </c>
      <c r="X81" s="88">
        <f>E81</f>
        <v>39</v>
      </c>
      <c r="Y81" s="93">
        <f>H81</f>
        <v>321</v>
      </c>
      <c r="Z81" s="91">
        <f>I81</f>
        <v>51000</v>
      </c>
      <c r="AA81" s="91">
        <f>K81</f>
        <v>45000</v>
      </c>
      <c r="AB81" s="91">
        <f>M81</f>
        <v>6000</v>
      </c>
      <c r="AC81" s="4">
        <f>N81</f>
        <v>0.88235294117647056</v>
      </c>
      <c r="AD81" s="92">
        <f>O81</f>
        <v>1307.6923076923076</v>
      </c>
      <c r="AE81" s="80" t="str">
        <f>S81</f>
        <v>계</v>
      </c>
      <c r="AF81" s="80" t="str">
        <f>Q81&amp;"/"&amp;R81</f>
        <v>4/2</v>
      </c>
      <c r="AH81" s="20" t="str">
        <f t="shared" si="54"/>
        <v>율량7단지선광로즈웰1차</v>
      </c>
      <c r="AI81" s="88">
        <f t="shared" si="50"/>
        <v>39</v>
      </c>
      <c r="AJ81" s="80" t="str">
        <f>IF(AI81="","",$AJ$2)</f>
        <v>A-</v>
      </c>
      <c r="AK81" s="80" t="s">
        <v>13</v>
      </c>
      <c r="AL81" s="80" t="s">
        <v>62</v>
      </c>
      <c r="AM81" s="80" t="s">
        <v>63</v>
      </c>
      <c r="AN81" s="80" t="str">
        <f>IF(AI81="","",$AN$2)</f>
        <v>C</v>
      </c>
      <c r="AO81" s="80" t="str">
        <f>IF(N81="","",IF(N81&gt;=$AO$1/100,"O","X"))</f>
        <v>O</v>
      </c>
      <c r="AP81" s="80" t="str">
        <f>IF(I81="","",IF(I81&lt;=$AP$1,"O","X"))</f>
        <v>X</v>
      </c>
      <c r="AQ81" s="80" t="str">
        <f>IF(O81="","",IF(O81&lt;=$AQ$1,"O","X"))</f>
        <v>X</v>
      </c>
      <c r="AR81" s="80" t="str">
        <f>IF(M81="","",IF(M81&lt;=$AR$1,"O","X"))</f>
        <v>O</v>
      </c>
      <c r="AS81" s="80" t="s">
        <v>2</v>
      </c>
      <c r="AT81" s="80" t="str">
        <f>IF(OR(F81="",AI81=""),"",IF(AND((F81&lt;=85),(AI81&gt;=15)),"O","X"))</f>
        <v>X</v>
      </c>
      <c r="AU81" s="80" t="str">
        <f>IF(C81="","",IF(C81&gt;=$AU$1,"O","X"))</f>
        <v>O</v>
      </c>
      <c r="AV81" s="80" t="str">
        <f>IF(AO81="","",IF(AND(AO81="O",AP81="O",AR81="O",AT81="O",AU81="O"),"후보","X"))</f>
        <v>X</v>
      </c>
    </row>
    <row r="82" spans="1:48" x14ac:dyDescent="0.3">
      <c r="A82" s="9"/>
      <c r="B82" s="80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8" t="str">
        <f>$A$4&amp;" "&amp;A83&amp;"("&amp;B83&amp;","&amp;C83&amp;"^)"</f>
        <v>율량동 신라타운('94.10.,300^)</v>
      </c>
      <c r="X82" s="69"/>
      <c r="Y82" s="69"/>
      <c r="Z82" s="69"/>
      <c r="AA82" s="69"/>
      <c r="AB82" s="69"/>
      <c r="AC82" s="69"/>
      <c r="AD82" s="69"/>
      <c r="AE82" s="69"/>
      <c r="AF82" s="70"/>
      <c r="AH82" s="20" t="str">
        <f t="shared" si="54"/>
        <v/>
      </c>
      <c r="AI82" s="112" t="str">
        <f t="shared" si="50"/>
        <v/>
      </c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</row>
    <row r="83" spans="1:48" x14ac:dyDescent="0.3">
      <c r="A83" s="9" t="s">
        <v>830</v>
      </c>
      <c r="B83" s="10" t="s">
        <v>948</v>
      </c>
      <c r="C83" s="89">
        <v>300</v>
      </c>
      <c r="D83" s="87">
        <v>58.9</v>
      </c>
      <c r="E83" s="88">
        <v>18</v>
      </c>
      <c r="F83" s="87">
        <v>53.5</v>
      </c>
      <c r="G83" s="17">
        <v>16</v>
      </c>
      <c r="H83" s="89">
        <v>18</v>
      </c>
      <c r="I83" s="90"/>
      <c r="J83" s="90"/>
      <c r="K83" s="90"/>
      <c r="L83" s="90"/>
      <c r="M83" s="91">
        <f>I83-K83</f>
        <v>0</v>
      </c>
      <c r="N83" s="4" t="str">
        <f>IF(ISERROR(K83/I83),"",K83/I83)</f>
        <v/>
      </c>
      <c r="O83" s="92">
        <f>I83/E83</f>
        <v>0</v>
      </c>
      <c r="P83" s="92">
        <f>K83/E83</f>
        <v>0</v>
      </c>
      <c r="Q83" s="80">
        <v>3</v>
      </c>
      <c r="R83" s="80">
        <v>1</v>
      </c>
      <c r="S83" s="80" t="s">
        <v>61</v>
      </c>
      <c r="T83" s="5" t="s">
        <v>379</v>
      </c>
      <c r="U83" s="9"/>
      <c r="W83" s="87">
        <f t="shared" ref="W83:X85" si="59">D83</f>
        <v>58.9</v>
      </c>
      <c r="X83" s="88">
        <f t="shared" si="59"/>
        <v>18</v>
      </c>
      <c r="Y83" s="93">
        <f t="shared" ref="Y83:Z85" si="60">H83</f>
        <v>18</v>
      </c>
      <c r="Z83" s="91">
        <f t="shared" si="60"/>
        <v>0</v>
      </c>
      <c r="AA83" s="91">
        <f>K83</f>
        <v>0</v>
      </c>
      <c r="AB83" s="91">
        <f t="shared" ref="AB83:AD85" si="61">M83</f>
        <v>0</v>
      </c>
      <c r="AC83" s="4" t="str">
        <f t="shared" si="61"/>
        <v/>
      </c>
      <c r="AD83" s="92">
        <f t="shared" si="61"/>
        <v>0</v>
      </c>
      <c r="AE83" s="80" t="str">
        <f>S83</f>
        <v>계</v>
      </c>
      <c r="AF83" s="80" t="str">
        <f>Q83&amp;"/"&amp;R83</f>
        <v>3/1</v>
      </c>
      <c r="AH83" s="20" t="str">
        <f t="shared" si="54"/>
        <v>신라타운</v>
      </c>
      <c r="AI83" s="88">
        <f t="shared" si="50"/>
        <v>18</v>
      </c>
      <c r="AJ83" s="80" t="str">
        <f>IF(AI83="","",$AJ$2)</f>
        <v>A-</v>
      </c>
      <c r="AK83" s="80" t="s">
        <v>13</v>
      </c>
      <c r="AL83" s="80" t="s">
        <v>62</v>
      </c>
      <c r="AM83" s="80" t="s">
        <v>63</v>
      </c>
      <c r="AN83" s="80" t="str">
        <f>IF(AI83="","",$AN$2)</f>
        <v>C</v>
      </c>
      <c r="AO83" s="80" t="str">
        <f>IF(N83="","",IF(N83&gt;=$AO$1/100,"O","X"))</f>
        <v/>
      </c>
      <c r="AP83" s="80" t="str">
        <f>IF(I83="","",IF(I83&lt;=$AP$1,"O","X"))</f>
        <v/>
      </c>
      <c r="AQ83" s="80" t="str">
        <f>IF(O83="","",IF(O83&lt;=$AQ$1,"O","X"))</f>
        <v>O</v>
      </c>
      <c r="AR83" s="80" t="str">
        <f>IF(M83="","",IF(M83&lt;=$AR$1,"O","X"))</f>
        <v>O</v>
      </c>
      <c r="AS83" s="80" t="s">
        <v>2</v>
      </c>
      <c r="AT83" s="80" t="str">
        <f>IF(OR(F83="",AI83=""),"",IF(AND((F83&lt;=85),(AI83&gt;=15)),"O","X"))</f>
        <v>O</v>
      </c>
      <c r="AU83" s="80" t="str">
        <f>IF(C83="","",IF(C83&gt;=$AU$1,"O","X"))</f>
        <v>O</v>
      </c>
      <c r="AV83" s="80" t="str">
        <f>IF(AO83="","",IF(AND(AO83="O",AP83="O",AR83="O",AT83="O",AU83="O"),"후보","X"))</f>
        <v/>
      </c>
    </row>
    <row r="84" spans="1:48" x14ac:dyDescent="0.3">
      <c r="A84" s="9" t="s">
        <v>830</v>
      </c>
      <c r="B84" s="10" t="s">
        <v>948</v>
      </c>
      <c r="C84" s="89">
        <v>300</v>
      </c>
      <c r="D84" s="87">
        <v>59.1</v>
      </c>
      <c r="E84" s="88">
        <v>18</v>
      </c>
      <c r="F84" s="87">
        <v>53.9</v>
      </c>
      <c r="G84" s="17">
        <v>16</v>
      </c>
      <c r="H84" s="89">
        <v>81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80">
        <v>3</v>
      </c>
      <c r="R84" s="80">
        <v>1</v>
      </c>
      <c r="S84" s="80" t="s">
        <v>61</v>
      </c>
      <c r="T84" s="5" t="s">
        <v>125</v>
      </c>
      <c r="U84" s="9"/>
      <c r="W84" s="87">
        <f t="shared" si="59"/>
        <v>59.1</v>
      </c>
      <c r="X84" s="88">
        <f t="shared" si="59"/>
        <v>18</v>
      </c>
      <c r="Y84" s="93">
        <f t="shared" si="60"/>
        <v>81</v>
      </c>
      <c r="Z84" s="91">
        <f t="shared" si="60"/>
        <v>0</v>
      </c>
      <c r="AA84" s="91">
        <f>K84</f>
        <v>0</v>
      </c>
      <c r="AB84" s="91">
        <f t="shared" si="61"/>
        <v>0</v>
      </c>
      <c r="AC84" s="4" t="str">
        <f t="shared" si="61"/>
        <v/>
      </c>
      <c r="AD84" s="92">
        <f t="shared" si="61"/>
        <v>0</v>
      </c>
      <c r="AE84" s="80" t="str">
        <f>S84</f>
        <v>계</v>
      </c>
      <c r="AF84" s="80" t="str">
        <f>Q84&amp;"/"&amp;R84</f>
        <v>3/1</v>
      </c>
      <c r="AH84" s="20" t="str">
        <f t="shared" si="54"/>
        <v>신라타운</v>
      </c>
      <c r="AI84" s="88">
        <f t="shared" si="50"/>
        <v>18</v>
      </c>
      <c r="AJ84" s="80" t="str">
        <f>IF(AI84="","",$AJ$2)</f>
        <v>A-</v>
      </c>
      <c r="AK84" s="80" t="s">
        <v>13</v>
      </c>
      <c r="AL84" s="80" t="s">
        <v>62</v>
      </c>
      <c r="AM84" s="80" t="s">
        <v>63</v>
      </c>
      <c r="AN84" s="80" t="str">
        <f>IF(AI84="","",$AN$2)</f>
        <v>C</v>
      </c>
      <c r="AO84" s="80" t="str">
        <f>IF(N84="","",IF(N84&gt;=$AO$1/100,"O","X"))</f>
        <v/>
      </c>
      <c r="AP84" s="80" t="str">
        <f>IF(I84="","",IF(I84&lt;=$AP$1,"O","X"))</f>
        <v/>
      </c>
      <c r="AQ84" s="80" t="str">
        <f>IF(O84="","",IF(O84&lt;=$AQ$1,"O","X"))</f>
        <v>O</v>
      </c>
      <c r="AR84" s="80" t="str">
        <f>IF(M84="","",IF(M84&lt;=$AR$1,"O","X"))</f>
        <v>O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/>
      </c>
    </row>
    <row r="85" spans="1:48" x14ac:dyDescent="0.3">
      <c r="A85" s="9" t="s">
        <v>830</v>
      </c>
      <c r="B85" s="10" t="s">
        <v>948</v>
      </c>
      <c r="C85" s="89">
        <v>300</v>
      </c>
      <c r="D85" s="87">
        <v>64.400000000000006</v>
      </c>
      <c r="E85" s="88">
        <v>19</v>
      </c>
      <c r="F85" s="87">
        <v>59</v>
      </c>
      <c r="G85" s="17">
        <v>18</v>
      </c>
      <c r="H85" s="89">
        <v>201</v>
      </c>
      <c r="I85" s="90"/>
      <c r="J85" s="90"/>
      <c r="K85" s="90"/>
      <c r="L85" s="90"/>
      <c r="M85" s="91">
        <f>I85-K85</f>
        <v>0</v>
      </c>
      <c r="N85" s="4" t="str">
        <f>IF(ISERROR(K85/I85),"",K85/I85)</f>
        <v/>
      </c>
      <c r="O85" s="92">
        <f>I85/E85</f>
        <v>0</v>
      </c>
      <c r="P85" s="92">
        <f>K85/E85</f>
        <v>0</v>
      </c>
      <c r="Q85" s="80">
        <v>3</v>
      </c>
      <c r="R85" s="80">
        <v>1</v>
      </c>
      <c r="S85" s="80" t="s">
        <v>61</v>
      </c>
      <c r="T85" s="5">
        <v>64</v>
      </c>
      <c r="U85" s="9"/>
      <c r="W85" s="87">
        <f t="shared" si="59"/>
        <v>64.400000000000006</v>
      </c>
      <c r="X85" s="88">
        <f t="shared" si="59"/>
        <v>19</v>
      </c>
      <c r="Y85" s="93">
        <f t="shared" si="60"/>
        <v>201</v>
      </c>
      <c r="Z85" s="91">
        <f t="shared" si="60"/>
        <v>0</v>
      </c>
      <c r="AA85" s="91">
        <f>K85</f>
        <v>0</v>
      </c>
      <c r="AB85" s="91">
        <f t="shared" si="61"/>
        <v>0</v>
      </c>
      <c r="AC85" s="4" t="str">
        <f t="shared" si="61"/>
        <v/>
      </c>
      <c r="AD85" s="92">
        <f t="shared" si="61"/>
        <v>0</v>
      </c>
      <c r="AE85" s="80" t="str">
        <f>S85</f>
        <v>계</v>
      </c>
      <c r="AF85" s="80" t="str">
        <f>Q85&amp;"/"&amp;R85</f>
        <v>3/1</v>
      </c>
      <c r="AH85" s="20" t="str">
        <f t="shared" si="54"/>
        <v>신라타운</v>
      </c>
      <c r="AI85" s="88">
        <f t="shared" si="50"/>
        <v>19</v>
      </c>
      <c r="AJ85" s="80" t="str">
        <f>IF(AI85="","",$AJ$2)</f>
        <v>A-</v>
      </c>
      <c r="AK85" s="80" t="s">
        <v>13</v>
      </c>
      <c r="AL85" s="80" t="s">
        <v>62</v>
      </c>
      <c r="AM85" s="80" t="s">
        <v>63</v>
      </c>
      <c r="AN85" s="80" t="str">
        <f>IF(AI85="","",$AN$2)</f>
        <v>C</v>
      </c>
      <c r="AO85" s="80" t="str">
        <f>IF(N85="","",IF(N85&gt;=$AO$1/100,"O","X"))</f>
        <v/>
      </c>
      <c r="AP85" s="80" t="str">
        <f>IF(I85="","",IF(I85&lt;=$AP$1,"O","X"))</f>
        <v/>
      </c>
      <c r="AQ85" s="80" t="str">
        <f>IF(O85="","",IF(O85&lt;=$AQ$1,"O","X"))</f>
        <v>O</v>
      </c>
      <c r="AR85" s="80" t="str">
        <f>IF(M85="","",IF(M85&lt;=$AR$1,"O","X"))</f>
        <v>O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/>
      </c>
    </row>
  </sheetData>
  <mergeCells count="1">
    <mergeCell ref="AJ1:AN1"/>
  </mergeCells>
  <phoneticPr fontId="2" type="noConversion"/>
  <conditionalFormatting sqref="AV4:AV6">
    <cfRule type="expression" dxfId="1463" priority="1255">
      <formula>AV4="X"</formula>
    </cfRule>
    <cfRule type="expression" dxfId="1462" priority="1256">
      <formula>AV4="후보"</formula>
    </cfRule>
  </conditionalFormatting>
  <conditionalFormatting sqref="AC1:AC2 AC4:AC6 N4:N5">
    <cfRule type="cellIs" dxfId="1461" priority="1252" operator="greaterThan">
      <formula>0.9</formula>
    </cfRule>
    <cfRule type="cellIs" dxfId="1460" priority="1253" operator="greaterThan">
      <formula>0.85</formula>
    </cfRule>
  </conditionalFormatting>
  <conditionalFormatting sqref="N1:N2">
    <cfRule type="cellIs" dxfId="1459" priority="1250" operator="greaterThan">
      <formula>0.9</formula>
    </cfRule>
    <cfRule type="cellIs" dxfId="1458" priority="1251" operator="greaterThan">
      <formula>0.85</formula>
    </cfRule>
  </conditionalFormatting>
  <conditionalFormatting sqref="N6">
    <cfRule type="cellIs" dxfId="1457" priority="1248" operator="greaterThan">
      <formula>0.9</formula>
    </cfRule>
    <cfRule type="cellIs" dxfId="1456" priority="1249" operator="greaterThan">
      <formula>0.85</formula>
    </cfRule>
  </conditionalFormatting>
  <conditionalFormatting sqref="E6">
    <cfRule type="expression" dxfId="1455" priority="1244">
      <formula>AND(IF(OR($Q6=1,$Q6=2),1,0),IF($X6&lt;=20,1,0))</formula>
    </cfRule>
    <cfRule type="expression" dxfId="1454" priority="1245">
      <formula>AND(IF($Q6=2,1,0),IF($X6&lt;30,1,0))</formula>
    </cfRule>
    <cfRule type="expression" dxfId="1453" priority="1246">
      <formula>AND(IF($Q6=3,1,0),IF($X6&lt;30,1,0))</formula>
    </cfRule>
    <cfRule type="expression" dxfId="1452" priority="1247">
      <formula>AND(IF($Q6=3,1,IF($Q6=4,1,0)),IF($F6&lt;=85,1,0))</formula>
    </cfRule>
  </conditionalFormatting>
  <conditionalFormatting sqref="X6">
    <cfRule type="expression" dxfId="1451" priority="1240">
      <formula>AND(IF(OR($Q6=1,$Q6=2),1,0),IF($X6&lt;=20,1,0))</formula>
    </cfRule>
    <cfRule type="expression" dxfId="1450" priority="1241">
      <formula>AND(IF($Q6=2,1,0),IF($X6&lt;30,1,0))</formula>
    </cfRule>
    <cfRule type="expression" dxfId="1449" priority="1242">
      <formula>AND(IF($Q6=3,1,0),IF($X6&lt;30,1,0))</formula>
    </cfRule>
    <cfRule type="expression" dxfId="1448" priority="1243">
      <formula>AND(IF($Q6=3,1,IF($Q6=4,1,0)),IF($F6&lt;=85,1,0))</formula>
    </cfRule>
  </conditionalFormatting>
  <conditionalFormatting sqref="AI6">
    <cfRule type="expression" dxfId="1447" priority="1236">
      <formula>AND(IF(OR($Q6=1,$Q6=2),1,0),IF($X6&lt;=20,1,0))</formula>
    </cfRule>
    <cfRule type="expression" dxfId="1446" priority="1237">
      <formula>AND(IF($Q6=2,1,0),IF($X6&lt;30,1,0))</formula>
    </cfRule>
    <cfRule type="expression" dxfId="1445" priority="1238">
      <formula>AND(IF($Q6=3,1,0),IF($X6&lt;30,1,0))</formula>
    </cfRule>
    <cfRule type="expression" dxfId="1444" priority="1239">
      <formula>AND(IF($Q6=3,1,IF($Q6=4,1,0)),IF($F6&lt;=85,1,0))</formula>
    </cfRule>
  </conditionalFormatting>
  <conditionalFormatting sqref="AV7">
    <cfRule type="expression" dxfId="1443" priority="1234">
      <formula>AV7="X"</formula>
    </cfRule>
    <cfRule type="expression" dxfId="1442" priority="1235">
      <formula>AV7="후보"</formula>
    </cfRule>
  </conditionalFormatting>
  <conditionalFormatting sqref="AC7">
    <cfRule type="cellIs" dxfId="1441" priority="1231" operator="greaterThan">
      <formula>0.9</formula>
    </cfRule>
    <cfRule type="cellIs" dxfId="1440" priority="1232" operator="greaterThan">
      <formula>0.85</formula>
    </cfRule>
  </conditionalFormatting>
  <conditionalFormatting sqref="N7">
    <cfRule type="cellIs" dxfId="1439" priority="1229" operator="greaterThan">
      <formula>0.9</formula>
    </cfRule>
    <cfRule type="cellIs" dxfId="1438" priority="1230" operator="greaterThan">
      <formula>0.85</formula>
    </cfRule>
  </conditionalFormatting>
  <conditionalFormatting sqref="E7">
    <cfRule type="expression" dxfId="1437" priority="1225">
      <formula>AND(IF(OR($Q7=1,$Q7=2),1,0),IF($X7&lt;=20,1,0))</formula>
    </cfRule>
    <cfRule type="expression" dxfId="1436" priority="1226">
      <formula>AND(IF($Q7=2,1,0),IF($X7&lt;30,1,0))</formula>
    </cfRule>
    <cfRule type="expression" dxfId="1435" priority="1227">
      <formula>AND(IF($Q7=3,1,0),IF($X7&lt;30,1,0))</formula>
    </cfRule>
    <cfRule type="expression" dxfId="1434" priority="1228">
      <formula>AND(IF($Q7=3,1,IF($Q7=4,1,0)),IF($F7&lt;=85,1,0))</formula>
    </cfRule>
  </conditionalFormatting>
  <conditionalFormatting sqref="X7">
    <cfRule type="expression" dxfId="1433" priority="1221">
      <formula>AND(IF(OR($Q7=1,$Q7=2),1,0),IF($X7&lt;=20,1,0))</formula>
    </cfRule>
    <cfRule type="expression" dxfId="1432" priority="1222">
      <formula>AND(IF($Q7=2,1,0),IF($X7&lt;30,1,0))</formula>
    </cfRule>
    <cfRule type="expression" dxfId="1431" priority="1223">
      <formula>AND(IF($Q7=3,1,0),IF($X7&lt;30,1,0))</formula>
    </cfRule>
    <cfRule type="expression" dxfId="1430" priority="1224">
      <formula>AND(IF($Q7=3,1,IF($Q7=4,1,0)),IF($F7&lt;=85,1,0))</formula>
    </cfRule>
  </conditionalFormatting>
  <conditionalFormatting sqref="AI7">
    <cfRule type="expression" dxfId="1429" priority="1217">
      <formula>AND(IF(OR($Q7=1,$Q7=2),1,0),IF($X7&lt;=20,1,0))</formula>
    </cfRule>
    <cfRule type="expression" dxfId="1428" priority="1218">
      <formula>AND(IF($Q7=2,1,0),IF($X7&lt;30,1,0))</formula>
    </cfRule>
    <cfRule type="expression" dxfId="1427" priority="1219">
      <formula>AND(IF($Q7=3,1,0),IF($X7&lt;30,1,0))</formula>
    </cfRule>
    <cfRule type="expression" dxfId="1426" priority="1220">
      <formula>AND(IF($Q7=3,1,IF($Q7=4,1,0)),IF($F7&lt;=85,1,0))</formula>
    </cfRule>
  </conditionalFormatting>
  <conditionalFormatting sqref="AV8">
    <cfRule type="expression" dxfId="1425" priority="1215">
      <formula>AV8="X"</formula>
    </cfRule>
    <cfRule type="expression" dxfId="1424" priority="1216">
      <formula>AV8="후보"</formula>
    </cfRule>
  </conditionalFormatting>
  <conditionalFormatting sqref="AC8 N8">
    <cfRule type="cellIs" dxfId="1423" priority="1212" operator="greaterThan">
      <formula>0.9</formula>
    </cfRule>
    <cfRule type="cellIs" dxfId="1422" priority="1213" operator="greaterThan">
      <formula>0.85</formula>
    </cfRule>
  </conditionalFormatting>
  <conditionalFormatting sqref="AV9">
    <cfRule type="expression" dxfId="1421" priority="1210">
      <formula>AV9="X"</formula>
    </cfRule>
    <cfRule type="expression" dxfId="1420" priority="1211">
      <formula>AV9="후보"</formula>
    </cfRule>
  </conditionalFormatting>
  <conditionalFormatting sqref="AC9">
    <cfRule type="cellIs" dxfId="1419" priority="1207" operator="greaterThan">
      <formula>0.9</formula>
    </cfRule>
    <cfRule type="cellIs" dxfId="1418" priority="1208" operator="greaterThan">
      <formula>0.85</formula>
    </cfRule>
  </conditionalFormatting>
  <conditionalFormatting sqref="N9">
    <cfRule type="cellIs" dxfId="1417" priority="1205" operator="greaterThan">
      <formula>0.9</formula>
    </cfRule>
    <cfRule type="cellIs" dxfId="1416" priority="1206" operator="greaterThan">
      <formula>0.85</formula>
    </cfRule>
  </conditionalFormatting>
  <conditionalFormatting sqref="E9">
    <cfRule type="expression" dxfId="1415" priority="1201">
      <formula>AND(IF(OR($Q9=1,$Q9=2),1,0),IF($X9&lt;=20,1,0))</formula>
    </cfRule>
    <cfRule type="expression" dxfId="1414" priority="1202">
      <formula>AND(IF($Q9=2,1,0),IF($X9&lt;30,1,0))</formula>
    </cfRule>
    <cfRule type="expression" dxfId="1413" priority="1203">
      <formula>AND(IF($Q9=3,1,0),IF($X9&lt;30,1,0))</formula>
    </cfRule>
    <cfRule type="expression" dxfId="1412" priority="1204">
      <formula>AND(IF($Q9=3,1,IF($Q9=4,1,0)),IF($F9&lt;=85,1,0))</formula>
    </cfRule>
  </conditionalFormatting>
  <conditionalFormatting sqref="X9">
    <cfRule type="expression" dxfId="1411" priority="1197">
      <formula>AND(IF(OR($Q9=1,$Q9=2),1,0),IF($X9&lt;=20,1,0))</formula>
    </cfRule>
    <cfRule type="expression" dxfId="1410" priority="1198">
      <formula>AND(IF($Q9=2,1,0),IF($X9&lt;30,1,0))</formula>
    </cfRule>
    <cfRule type="expression" dxfId="1409" priority="1199">
      <formula>AND(IF($Q9=3,1,0),IF($X9&lt;30,1,0))</formula>
    </cfRule>
    <cfRule type="expression" dxfId="1408" priority="1200">
      <formula>AND(IF($Q9=3,1,IF($Q9=4,1,0)),IF($F9&lt;=85,1,0))</formula>
    </cfRule>
  </conditionalFormatting>
  <conditionalFormatting sqref="AI9">
    <cfRule type="expression" dxfId="1407" priority="1193">
      <formula>AND(IF(OR($Q9=1,$Q9=2),1,0),IF($X9&lt;=20,1,0))</formula>
    </cfRule>
    <cfRule type="expression" dxfId="1406" priority="1194">
      <formula>AND(IF($Q9=2,1,0),IF($X9&lt;30,1,0))</formula>
    </cfRule>
    <cfRule type="expression" dxfId="1405" priority="1195">
      <formula>AND(IF($Q9=3,1,0),IF($X9&lt;30,1,0))</formula>
    </cfRule>
    <cfRule type="expression" dxfId="1404" priority="1196">
      <formula>AND(IF($Q9=3,1,IF($Q9=4,1,0)),IF($F9&lt;=85,1,0))</formula>
    </cfRule>
  </conditionalFormatting>
  <conditionalFormatting sqref="AV10">
    <cfRule type="expression" dxfId="1403" priority="1191">
      <formula>AV10="X"</formula>
    </cfRule>
    <cfRule type="expression" dxfId="1402" priority="1192">
      <formula>AV10="후보"</formula>
    </cfRule>
  </conditionalFormatting>
  <conditionalFormatting sqref="AC10">
    <cfRule type="cellIs" dxfId="1401" priority="1188" operator="greaterThan">
      <formula>0.9</formula>
    </cfRule>
    <cfRule type="cellIs" dxfId="1400" priority="1189" operator="greaterThan">
      <formula>0.85</formula>
    </cfRule>
  </conditionalFormatting>
  <conditionalFormatting sqref="N10">
    <cfRule type="cellIs" dxfId="1399" priority="1186" operator="greaterThan">
      <formula>0.9</formula>
    </cfRule>
    <cfRule type="cellIs" dxfId="1398" priority="1187" operator="greaterThan">
      <formula>0.85</formula>
    </cfRule>
  </conditionalFormatting>
  <conditionalFormatting sqref="E10">
    <cfRule type="expression" dxfId="1397" priority="1182">
      <formula>AND(IF(OR($Q10=1,$Q10=2),1,0),IF($X10&lt;=20,1,0))</formula>
    </cfRule>
    <cfRule type="expression" dxfId="1396" priority="1183">
      <formula>AND(IF($Q10=2,1,0),IF($X10&lt;30,1,0))</formula>
    </cfRule>
    <cfRule type="expression" dxfId="1395" priority="1184">
      <formula>AND(IF($Q10=3,1,0),IF($X10&lt;30,1,0))</formula>
    </cfRule>
    <cfRule type="expression" dxfId="1394" priority="1185">
      <formula>AND(IF($Q10=3,1,IF($Q10=4,1,0)),IF($F10&lt;=85,1,0))</formula>
    </cfRule>
  </conditionalFormatting>
  <conditionalFormatting sqref="X10">
    <cfRule type="expression" dxfId="1393" priority="1178">
      <formula>AND(IF(OR($Q10=1,$Q10=2),1,0),IF($X10&lt;=20,1,0))</formula>
    </cfRule>
    <cfRule type="expression" dxfId="1392" priority="1179">
      <formula>AND(IF($Q10=2,1,0),IF($X10&lt;30,1,0))</formula>
    </cfRule>
    <cfRule type="expression" dxfId="1391" priority="1180">
      <formula>AND(IF($Q10=3,1,0),IF($X10&lt;30,1,0))</formula>
    </cfRule>
    <cfRule type="expression" dxfId="1390" priority="1181">
      <formula>AND(IF($Q10=3,1,IF($Q10=4,1,0)),IF($F10&lt;=85,1,0))</formula>
    </cfRule>
  </conditionalFormatting>
  <conditionalFormatting sqref="AI10">
    <cfRule type="expression" dxfId="1389" priority="1174">
      <formula>AND(IF(OR($Q10=1,$Q10=2),1,0),IF($X10&lt;=20,1,0))</formula>
    </cfRule>
    <cfRule type="expression" dxfId="1388" priority="1175">
      <formula>AND(IF($Q10=2,1,0),IF($X10&lt;30,1,0))</formula>
    </cfRule>
    <cfRule type="expression" dxfId="1387" priority="1176">
      <formula>AND(IF($Q10=3,1,0),IF($X10&lt;30,1,0))</formula>
    </cfRule>
    <cfRule type="expression" dxfId="1386" priority="1177">
      <formula>AND(IF($Q10=3,1,IF($Q10=4,1,0)),IF($F10&lt;=85,1,0))</formula>
    </cfRule>
  </conditionalFormatting>
  <conditionalFormatting sqref="AV11">
    <cfRule type="expression" dxfId="1385" priority="1172">
      <formula>AV11="X"</formula>
    </cfRule>
    <cfRule type="expression" dxfId="1384" priority="1173">
      <formula>AV11="후보"</formula>
    </cfRule>
  </conditionalFormatting>
  <conditionalFormatting sqref="AC11">
    <cfRule type="cellIs" dxfId="1383" priority="1169" operator="greaterThan">
      <formula>0.9</formula>
    </cfRule>
    <cfRule type="cellIs" dxfId="1382" priority="1170" operator="greaterThan">
      <formula>0.85</formula>
    </cfRule>
  </conditionalFormatting>
  <conditionalFormatting sqref="N11">
    <cfRule type="cellIs" dxfId="1381" priority="1167" operator="greaterThan">
      <formula>0.9</formula>
    </cfRule>
    <cfRule type="cellIs" dxfId="1380" priority="1168" operator="greaterThan">
      <formula>0.85</formula>
    </cfRule>
  </conditionalFormatting>
  <conditionalFormatting sqref="E11">
    <cfRule type="expression" dxfId="1379" priority="1163">
      <formula>AND(IF(OR($Q11=1,$Q11=2),1,0),IF($X11&lt;=20,1,0))</formula>
    </cfRule>
    <cfRule type="expression" dxfId="1378" priority="1164">
      <formula>AND(IF($Q11=2,1,0),IF($X11&lt;30,1,0))</formula>
    </cfRule>
    <cfRule type="expression" dxfId="1377" priority="1165">
      <formula>AND(IF($Q11=3,1,0),IF($X11&lt;30,1,0))</formula>
    </cfRule>
    <cfRule type="expression" dxfId="1376" priority="1166">
      <formula>AND(IF($Q11=3,1,IF($Q11=4,1,0)),IF($F11&lt;=85,1,0))</formula>
    </cfRule>
  </conditionalFormatting>
  <conditionalFormatting sqref="X11">
    <cfRule type="expression" dxfId="1375" priority="1159">
      <formula>AND(IF(OR($Q11=1,$Q11=2),1,0),IF($X11&lt;=20,1,0))</formula>
    </cfRule>
    <cfRule type="expression" dxfId="1374" priority="1160">
      <formula>AND(IF($Q11=2,1,0),IF($X11&lt;30,1,0))</formula>
    </cfRule>
    <cfRule type="expression" dxfId="1373" priority="1161">
      <formula>AND(IF($Q11=3,1,0),IF($X11&lt;30,1,0))</formula>
    </cfRule>
    <cfRule type="expression" dxfId="1372" priority="1162">
      <formula>AND(IF($Q11=3,1,IF($Q11=4,1,0)),IF($F11&lt;=85,1,0))</formula>
    </cfRule>
  </conditionalFormatting>
  <conditionalFormatting sqref="AI11">
    <cfRule type="expression" dxfId="1371" priority="1155">
      <formula>AND(IF(OR($Q11=1,$Q11=2),1,0),IF($X11&lt;=20,1,0))</formula>
    </cfRule>
    <cfRule type="expression" dxfId="1370" priority="1156">
      <formula>AND(IF($Q11=2,1,0),IF($X11&lt;30,1,0))</formula>
    </cfRule>
    <cfRule type="expression" dxfId="1369" priority="1157">
      <formula>AND(IF($Q11=3,1,0),IF($X11&lt;30,1,0))</formula>
    </cfRule>
    <cfRule type="expression" dxfId="1368" priority="1158">
      <formula>AND(IF($Q11=3,1,IF($Q11=4,1,0)),IF($F11&lt;=85,1,0))</formula>
    </cfRule>
  </conditionalFormatting>
  <conditionalFormatting sqref="AV12">
    <cfRule type="expression" dxfId="1367" priority="1153">
      <formula>AV12="X"</formula>
    </cfRule>
    <cfRule type="expression" dxfId="1366" priority="1154">
      <formula>AV12="후보"</formula>
    </cfRule>
  </conditionalFormatting>
  <conditionalFormatting sqref="AC12">
    <cfRule type="cellIs" dxfId="1365" priority="1150" operator="greaterThan">
      <formula>0.9</formula>
    </cfRule>
    <cfRule type="cellIs" dxfId="1364" priority="1151" operator="greaterThan">
      <formula>0.85</formula>
    </cfRule>
  </conditionalFormatting>
  <conditionalFormatting sqref="N12">
    <cfRule type="cellIs" dxfId="1363" priority="1148" operator="greaterThan">
      <formula>0.9</formula>
    </cfRule>
    <cfRule type="cellIs" dxfId="1362" priority="1149" operator="greaterThan">
      <formula>0.85</formula>
    </cfRule>
  </conditionalFormatting>
  <conditionalFormatting sqref="E12">
    <cfRule type="expression" dxfId="1361" priority="1144">
      <formula>AND(IF(OR($Q12=1,$Q12=2),1,0),IF($X12&lt;=20,1,0))</formula>
    </cfRule>
    <cfRule type="expression" dxfId="1360" priority="1145">
      <formula>AND(IF($Q12=2,1,0),IF($X12&lt;30,1,0))</formula>
    </cfRule>
    <cfRule type="expression" dxfId="1359" priority="1146">
      <formula>AND(IF($Q12=3,1,0),IF($X12&lt;30,1,0))</formula>
    </cfRule>
    <cfRule type="expression" dxfId="1358" priority="1147">
      <formula>AND(IF($Q12=3,1,IF($Q12=4,1,0)),IF($F12&lt;=85,1,0))</formula>
    </cfRule>
  </conditionalFormatting>
  <conditionalFormatting sqref="X12">
    <cfRule type="expression" dxfId="1357" priority="1140">
      <formula>AND(IF(OR($Q12=1,$Q12=2),1,0),IF($X12&lt;=20,1,0))</formula>
    </cfRule>
    <cfRule type="expression" dxfId="1356" priority="1141">
      <formula>AND(IF($Q12=2,1,0),IF($X12&lt;30,1,0))</formula>
    </cfRule>
    <cfRule type="expression" dxfId="1355" priority="1142">
      <formula>AND(IF($Q12=3,1,0),IF($X12&lt;30,1,0))</formula>
    </cfRule>
    <cfRule type="expression" dxfId="1354" priority="1143">
      <formula>AND(IF($Q12=3,1,IF($Q12=4,1,0)),IF($F12&lt;=85,1,0))</formula>
    </cfRule>
  </conditionalFormatting>
  <conditionalFormatting sqref="AI12">
    <cfRule type="expression" dxfId="1353" priority="1136">
      <formula>AND(IF(OR($Q12=1,$Q12=2),1,0),IF($X12&lt;=20,1,0))</formula>
    </cfRule>
    <cfRule type="expression" dxfId="1352" priority="1137">
      <formula>AND(IF($Q12=2,1,0),IF($X12&lt;30,1,0))</formula>
    </cfRule>
    <cfRule type="expression" dxfId="1351" priority="1138">
      <formula>AND(IF($Q12=3,1,0),IF($X12&lt;30,1,0))</formula>
    </cfRule>
    <cfRule type="expression" dxfId="1350" priority="1139">
      <formula>AND(IF($Q12=3,1,IF($Q12=4,1,0)),IF($F12&lt;=85,1,0))</formula>
    </cfRule>
  </conditionalFormatting>
  <conditionalFormatting sqref="AV13">
    <cfRule type="expression" dxfId="1349" priority="1134">
      <formula>AV13="X"</formula>
    </cfRule>
    <cfRule type="expression" dxfId="1348" priority="1135">
      <formula>AV13="후보"</formula>
    </cfRule>
  </conditionalFormatting>
  <conditionalFormatting sqref="AC13">
    <cfRule type="cellIs" dxfId="1347" priority="1131" operator="greaterThan">
      <formula>0.9</formula>
    </cfRule>
    <cfRule type="cellIs" dxfId="1346" priority="1132" operator="greaterThan">
      <formula>0.85</formula>
    </cfRule>
  </conditionalFormatting>
  <conditionalFormatting sqref="N13">
    <cfRule type="cellIs" dxfId="1345" priority="1129" operator="greaterThan">
      <formula>0.9</formula>
    </cfRule>
    <cfRule type="cellIs" dxfId="1344" priority="1130" operator="greaterThan">
      <formula>0.85</formula>
    </cfRule>
  </conditionalFormatting>
  <conditionalFormatting sqref="E13">
    <cfRule type="expression" dxfId="1343" priority="1125">
      <formula>AND(IF(OR($Q13=1,$Q13=2),1,0),IF($X13&lt;=20,1,0))</formula>
    </cfRule>
    <cfRule type="expression" dxfId="1342" priority="1126">
      <formula>AND(IF($Q13=2,1,0),IF($X13&lt;30,1,0))</formula>
    </cfRule>
    <cfRule type="expression" dxfId="1341" priority="1127">
      <formula>AND(IF($Q13=3,1,0),IF($X13&lt;30,1,0))</formula>
    </cfRule>
    <cfRule type="expression" dxfId="1340" priority="1128">
      <formula>AND(IF($Q13=3,1,IF($Q13=4,1,0)),IF($F13&lt;=85,1,0))</formula>
    </cfRule>
  </conditionalFormatting>
  <conditionalFormatting sqref="X13">
    <cfRule type="expression" dxfId="1339" priority="1121">
      <formula>AND(IF(OR($Q13=1,$Q13=2),1,0),IF($X13&lt;=20,1,0))</formula>
    </cfRule>
    <cfRule type="expression" dxfId="1338" priority="1122">
      <formula>AND(IF($Q13=2,1,0),IF($X13&lt;30,1,0))</formula>
    </cfRule>
    <cfRule type="expression" dxfId="1337" priority="1123">
      <formula>AND(IF($Q13=3,1,0),IF($X13&lt;30,1,0))</formula>
    </cfRule>
    <cfRule type="expression" dxfId="1336" priority="1124">
      <formula>AND(IF($Q13=3,1,IF($Q13=4,1,0)),IF($F13&lt;=85,1,0))</formula>
    </cfRule>
  </conditionalFormatting>
  <conditionalFormatting sqref="AI13">
    <cfRule type="expression" dxfId="1335" priority="1117">
      <formula>AND(IF(OR($Q13=1,$Q13=2),1,0),IF($X13&lt;=20,1,0))</formula>
    </cfRule>
    <cfRule type="expression" dxfId="1334" priority="1118">
      <formula>AND(IF($Q13=2,1,0),IF($X13&lt;30,1,0))</formula>
    </cfRule>
    <cfRule type="expression" dxfId="1333" priority="1119">
      <formula>AND(IF($Q13=3,1,0),IF($X13&lt;30,1,0))</formula>
    </cfRule>
    <cfRule type="expression" dxfId="1332" priority="1120">
      <formula>AND(IF($Q13=3,1,IF($Q13=4,1,0)),IF($F13&lt;=85,1,0))</formula>
    </cfRule>
  </conditionalFormatting>
  <conditionalFormatting sqref="AV14">
    <cfRule type="expression" dxfId="1331" priority="1115">
      <formula>AV14="X"</formula>
    </cfRule>
    <cfRule type="expression" dxfId="1330" priority="1116">
      <formula>AV14="후보"</formula>
    </cfRule>
  </conditionalFormatting>
  <conditionalFormatting sqref="AC14 N14">
    <cfRule type="cellIs" dxfId="1329" priority="1112" operator="greaterThan">
      <formula>0.9</formula>
    </cfRule>
    <cfRule type="cellIs" dxfId="1328" priority="1113" operator="greaterThan">
      <formula>0.85</formula>
    </cfRule>
  </conditionalFormatting>
  <conditionalFormatting sqref="AV15">
    <cfRule type="expression" dxfId="1327" priority="1110">
      <formula>AV15="X"</formula>
    </cfRule>
    <cfRule type="expression" dxfId="1326" priority="1111">
      <formula>AV15="후보"</formula>
    </cfRule>
  </conditionalFormatting>
  <conditionalFormatting sqref="AC15">
    <cfRule type="cellIs" dxfId="1325" priority="1107" operator="greaterThan">
      <formula>0.9</formula>
    </cfRule>
    <cfRule type="cellIs" dxfId="1324" priority="1108" operator="greaterThan">
      <formula>0.85</formula>
    </cfRule>
  </conditionalFormatting>
  <conditionalFormatting sqref="N15">
    <cfRule type="cellIs" dxfId="1323" priority="1105" operator="greaterThan">
      <formula>0.9</formula>
    </cfRule>
    <cfRule type="cellIs" dxfId="1322" priority="1106" operator="greaterThan">
      <formula>0.85</formula>
    </cfRule>
  </conditionalFormatting>
  <conditionalFormatting sqref="E15">
    <cfRule type="expression" dxfId="1321" priority="1101">
      <formula>AND(IF(OR($Q15=1,$Q15=2),1,0),IF($X15&lt;=20,1,0))</formula>
    </cfRule>
    <cfRule type="expression" dxfId="1320" priority="1102">
      <formula>AND(IF($Q15=2,1,0),IF($X15&lt;30,1,0))</formula>
    </cfRule>
    <cfRule type="expression" dxfId="1319" priority="1103">
      <formula>AND(IF($Q15=3,1,0),IF($X15&lt;30,1,0))</formula>
    </cfRule>
    <cfRule type="expression" dxfId="1318" priority="1104">
      <formula>AND(IF($Q15=3,1,IF($Q15=4,1,0)),IF($F15&lt;=85,1,0))</formula>
    </cfRule>
  </conditionalFormatting>
  <conditionalFormatting sqref="X15">
    <cfRule type="expression" dxfId="1317" priority="1097">
      <formula>AND(IF(OR($Q15=1,$Q15=2),1,0),IF($X15&lt;=20,1,0))</formula>
    </cfRule>
    <cfRule type="expression" dxfId="1316" priority="1098">
      <formula>AND(IF($Q15=2,1,0),IF($X15&lt;30,1,0))</formula>
    </cfRule>
    <cfRule type="expression" dxfId="1315" priority="1099">
      <formula>AND(IF($Q15=3,1,0),IF($X15&lt;30,1,0))</formula>
    </cfRule>
    <cfRule type="expression" dxfId="1314" priority="1100">
      <formula>AND(IF($Q15=3,1,IF($Q15=4,1,0)),IF($F15&lt;=85,1,0))</formula>
    </cfRule>
  </conditionalFormatting>
  <conditionalFormatting sqref="AI15">
    <cfRule type="expression" dxfId="1313" priority="1093">
      <formula>AND(IF(OR($Q15=1,$Q15=2),1,0),IF($X15&lt;=20,1,0))</formula>
    </cfRule>
    <cfRule type="expression" dxfId="1312" priority="1094">
      <formula>AND(IF($Q15=2,1,0),IF($X15&lt;30,1,0))</formula>
    </cfRule>
    <cfRule type="expression" dxfId="1311" priority="1095">
      <formula>AND(IF($Q15=3,1,0),IF($X15&lt;30,1,0))</formula>
    </cfRule>
    <cfRule type="expression" dxfId="1310" priority="1096">
      <formula>AND(IF($Q15=3,1,IF($Q15=4,1,0)),IF($F15&lt;=85,1,0))</formula>
    </cfRule>
  </conditionalFormatting>
  <conditionalFormatting sqref="AV16">
    <cfRule type="expression" dxfId="1309" priority="1091">
      <formula>AV16="X"</formula>
    </cfRule>
    <cfRule type="expression" dxfId="1308" priority="1092">
      <formula>AV16="후보"</formula>
    </cfRule>
  </conditionalFormatting>
  <conditionalFormatting sqref="AC16">
    <cfRule type="cellIs" dxfId="1307" priority="1088" operator="greaterThan">
      <formula>0.9</formula>
    </cfRule>
    <cfRule type="cellIs" dxfId="1306" priority="1089" operator="greaterThan">
      <formula>0.85</formula>
    </cfRule>
  </conditionalFormatting>
  <conditionalFormatting sqref="N16">
    <cfRule type="cellIs" dxfId="1305" priority="1086" operator="greaterThan">
      <formula>0.9</formula>
    </cfRule>
    <cfRule type="cellIs" dxfId="1304" priority="1087" operator="greaterThan">
      <formula>0.85</formula>
    </cfRule>
  </conditionalFormatting>
  <conditionalFormatting sqref="E16">
    <cfRule type="expression" dxfId="1303" priority="1082">
      <formula>AND(IF(OR($Q16=1,$Q16=2),1,0),IF($X16&lt;=20,1,0))</formula>
    </cfRule>
    <cfRule type="expression" dxfId="1302" priority="1083">
      <formula>AND(IF($Q16=2,1,0),IF($X16&lt;30,1,0))</formula>
    </cfRule>
    <cfRule type="expression" dxfId="1301" priority="1084">
      <formula>AND(IF($Q16=3,1,0),IF($X16&lt;30,1,0))</formula>
    </cfRule>
    <cfRule type="expression" dxfId="1300" priority="1085">
      <formula>AND(IF($Q16=3,1,IF($Q16=4,1,0)),IF($F16&lt;=85,1,0))</formula>
    </cfRule>
  </conditionalFormatting>
  <conditionalFormatting sqref="X16">
    <cfRule type="expression" dxfId="1299" priority="1078">
      <formula>AND(IF(OR($Q16=1,$Q16=2),1,0),IF($X16&lt;=20,1,0))</formula>
    </cfRule>
    <cfRule type="expression" dxfId="1298" priority="1079">
      <formula>AND(IF($Q16=2,1,0),IF($X16&lt;30,1,0))</formula>
    </cfRule>
    <cfRule type="expression" dxfId="1297" priority="1080">
      <formula>AND(IF($Q16=3,1,0),IF($X16&lt;30,1,0))</formula>
    </cfRule>
    <cfRule type="expression" dxfId="1296" priority="1081">
      <formula>AND(IF($Q16=3,1,IF($Q16=4,1,0)),IF($F16&lt;=85,1,0))</formula>
    </cfRule>
  </conditionalFormatting>
  <conditionalFormatting sqref="AI16">
    <cfRule type="expression" dxfId="1295" priority="1074">
      <formula>AND(IF(OR($Q16=1,$Q16=2),1,0),IF($X16&lt;=20,1,0))</formula>
    </cfRule>
    <cfRule type="expression" dxfId="1294" priority="1075">
      <formula>AND(IF($Q16=2,1,0),IF($X16&lt;30,1,0))</formula>
    </cfRule>
    <cfRule type="expression" dxfId="1293" priority="1076">
      <formula>AND(IF($Q16=3,1,0),IF($X16&lt;30,1,0))</formula>
    </cfRule>
    <cfRule type="expression" dxfId="1292" priority="1077">
      <formula>AND(IF($Q16=3,1,IF($Q16=4,1,0)),IF($F16&lt;=85,1,0))</formula>
    </cfRule>
  </conditionalFormatting>
  <conditionalFormatting sqref="AV17">
    <cfRule type="expression" dxfId="1291" priority="1072">
      <formula>AV17="X"</formula>
    </cfRule>
    <cfRule type="expression" dxfId="1290" priority="1073">
      <formula>AV17="후보"</formula>
    </cfRule>
  </conditionalFormatting>
  <conditionalFormatting sqref="AC17 N17">
    <cfRule type="cellIs" dxfId="1289" priority="1069" operator="greaterThan">
      <formula>0.9</formula>
    </cfRule>
    <cfRule type="cellIs" dxfId="1288" priority="1070" operator="greaterThan">
      <formula>0.85</formula>
    </cfRule>
  </conditionalFormatting>
  <conditionalFormatting sqref="AV18">
    <cfRule type="expression" dxfId="1287" priority="1067">
      <formula>AV18="X"</formula>
    </cfRule>
    <cfRule type="expression" dxfId="1286" priority="1068">
      <formula>AV18="후보"</formula>
    </cfRule>
  </conditionalFormatting>
  <conditionalFormatting sqref="AC18">
    <cfRule type="cellIs" dxfId="1285" priority="1064" operator="greaterThan">
      <formula>0.9</formula>
    </cfRule>
    <cfRule type="cellIs" dxfId="1284" priority="1065" operator="greaterThan">
      <formula>0.85</formula>
    </cfRule>
  </conditionalFormatting>
  <conditionalFormatting sqref="N18">
    <cfRule type="cellIs" dxfId="1283" priority="1062" operator="greaterThan">
      <formula>0.9</formula>
    </cfRule>
    <cfRule type="cellIs" dxfId="1282" priority="1063" operator="greaterThan">
      <formula>0.85</formula>
    </cfRule>
  </conditionalFormatting>
  <conditionalFormatting sqref="E18">
    <cfRule type="expression" dxfId="1281" priority="1058">
      <formula>AND(IF(OR($Q18=1,$Q18=2),1,0),IF($X18&lt;=20,1,0))</formula>
    </cfRule>
    <cfRule type="expression" dxfId="1280" priority="1059">
      <formula>AND(IF($Q18=2,1,0),IF($X18&lt;30,1,0))</formula>
    </cfRule>
    <cfRule type="expression" dxfId="1279" priority="1060">
      <formula>AND(IF($Q18=3,1,0),IF($X18&lt;30,1,0))</formula>
    </cfRule>
    <cfRule type="expression" dxfId="1278" priority="1061">
      <formula>AND(IF($Q18=3,1,IF($Q18=4,1,0)),IF($F18&lt;=85,1,0))</formula>
    </cfRule>
  </conditionalFormatting>
  <conditionalFormatting sqref="X18">
    <cfRule type="expression" dxfId="1277" priority="1054">
      <formula>AND(IF(OR($Q18=1,$Q18=2),1,0),IF($X18&lt;=20,1,0))</formula>
    </cfRule>
    <cfRule type="expression" dxfId="1276" priority="1055">
      <formula>AND(IF($Q18=2,1,0),IF($X18&lt;30,1,0))</formula>
    </cfRule>
    <cfRule type="expression" dxfId="1275" priority="1056">
      <formula>AND(IF($Q18=3,1,0),IF($X18&lt;30,1,0))</formula>
    </cfRule>
    <cfRule type="expression" dxfId="1274" priority="1057">
      <formula>AND(IF($Q18=3,1,IF($Q18=4,1,0)),IF($F18&lt;=85,1,0))</formula>
    </cfRule>
  </conditionalFormatting>
  <conditionalFormatting sqref="AI18">
    <cfRule type="expression" dxfId="1273" priority="1050">
      <formula>AND(IF(OR($Q18=1,$Q18=2),1,0),IF($X18&lt;=20,1,0))</formula>
    </cfRule>
    <cfRule type="expression" dxfId="1272" priority="1051">
      <formula>AND(IF($Q18=2,1,0),IF($X18&lt;30,1,0))</formula>
    </cfRule>
    <cfRule type="expression" dxfId="1271" priority="1052">
      <formula>AND(IF($Q18=3,1,0),IF($X18&lt;30,1,0))</formula>
    </cfRule>
    <cfRule type="expression" dxfId="1270" priority="1053">
      <formula>AND(IF($Q18=3,1,IF($Q18=4,1,0)),IF($F18&lt;=85,1,0))</formula>
    </cfRule>
  </conditionalFormatting>
  <conditionalFormatting sqref="AV19">
    <cfRule type="expression" dxfId="1269" priority="1048">
      <formula>AV19="X"</formula>
    </cfRule>
    <cfRule type="expression" dxfId="1268" priority="1049">
      <formula>AV19="후보"</formula>
    </cfRule>
  </conditionalFormatting>
  <conditionalFormatting sqref="AC19">
    <cfRule type="cellIs" dxfId="1267" priority="1045" operator="greaterThan">
      <formula>0.9</formula>
    </cfRule>
    <cfRule type="cellIs" dxfId="1266" priority="1046" operator="greaterThan">
      <formula>0.85</formula>
    </cfRule>
  </conditionalFormatting>
  <conditionalFormatting sqref="N19">
    <cfRule type="cellIs" dxfId="1265" priority="1043" operator="greaterThan">
      <formula>0.9</formula>
    </cfRule>
    <cfRule type="cellIs" dxfId="1264" priority="1044" operator="greaterThan">
      <formula>0.85</formula>
    </cfRule>
  </conditionalFormatting>
  <conditionalFormatting sqref="E19">
    <cfRule type="expression" dxfId="1263" priority="1039">
      <formula>AND(IF(OR($Q19=1,$Q19=2),1,0),IF($X19&lt;=20,1,0))</formula>
    </cfRule>
    <cfRule type="expression" dxfId="1262" priority="1040">
      <formula>AND(IF($Q19=2,1,0),IF($X19&lt;30,1,0))</formula>
    </cfRule>
    <cfRule type="expression" dxfId="1261" priority="1041">
      <formula>AND(IF($Q19=3,1,0),IF($X19&lt;30,1,0))</formula>
    </cfRule>
    <cfRule type="expression" dxfId="1260" priority="1042">
      <formula>AND(IF($Q19=3,1,IF($Q19=4,1,0)),IF($F19&lt;=85,1,0))</formula>
    </cfRule>
  </conditionalFormatting>
  <conditionalFormatting sqref="X19">
    <cfRule type="expression" dxfId="1259" priority="1035">
      <formula>AND(IF(OR($Q19=1,$Q19=2),1,0),IF($X19&lt;=20,1,0))</formula>
    </cfRule>
    <cfRule type="expression" dxfId="1258" priority="1036">
      <formula>AND(IF($Q19=2,1,0),IF($X19&lt;30,1,0))</formula>
    </cfRule>
    <cfRule type="expression" dxfId="1257" priority="1037">
      <formula>AND(IF($Q19=3,1,0),IF($X19&lt;30,1,0))</formula>
    </cfRule>
    <cfRule type="expression" dxfId="1256" priority="1038">
      <formula>AND(IF($Q19=3,1,IF($Q19=4,1,0)),IF($F19&lt;=85,1,0))</formula>
    </cfRule>
  </conditionalFormatting>
  <conditionalFormatting sqref="AI19">
    <cfRule type="expression" dxfId="1255" priority="1031">
      <formula>AND(IF(OR($Q19=1,$Q19=2),1,0),IF($X19&lt;=20,1,0))</formula>
    </cfRule>
    <cfRule type="expression" dxfId="1254" priority="1032">
      <formula>AND(IF($Q19=2,1,0),IF($X19&lt;30,1,0))</formula>
    </cfRule>
    <cfRule type="expression" dxfId="1253" priority="1033">
      <formula>AND(IF($Q19=3,1,0),IF($X19&lt;30,1,0))</formula>
    </cfRule>
    <cfRule type="expression" dxfId="1252" priority="1034">
      <formula>AND(IF($Q19=3,1,IF($Q19=4,1,0)),IF($F19&lt;=85,1,0))</formula>
    </cfRule>
  </conditionalFormatting>
  <conditionalFormatting sqref="AV20">
    <cfRule type="expression" dxfId="1251" priority="1029">
      <formula>AV20="X"</formula>
    </cfRule>
    <cfRule type="expression" dxfId="1250" priority="1030">
      <formula>AV20="후보"</formula>
    </cfRule>
  </conditionalFormatting>
  <conditionalFormatting sqref="AC20">
    <cfRule type="cellIs" dxfId="1249" priority="1026" operator="greaterThan">
      <formula>0.9</formula>
    </cfRule>
    <cfRule type="cellIs" dxfId="1248" priority="1027" operator="greaterThan">
      <formula>0.85</formula>
    </cfRule>
  </conditionalFormatting>
  <conditionalFormatting sqref="N20">
    <cfRule type="cellIs" dxfId="1247" priority="1024" operator="greaterThan">
      <formula>0.9</formula>
    </cfRule>
    <cfRule type="cellIs" dxfId="1246" priority="1025" operator="greaterThan">
      <formula>0.85</formula>
    </cfRule>
  </conditionalFormatting>
  <conditionalFormatting sqref="E20">
    <cfRule type="expression" dxfId="1245" priority="1020">
      <formula>AND(IF(OR($Q20=1,$Q20=2),1,0),IF($X20&lt;=20,1,0))</formula>
    </cfRule>
    <cfRule type="expression" dxfId="1244" priority="1021">
      <formula>AND(IF($Q20=2,1,0),IF($X20&lt;30,1,0))</formula>
    </cfRule>
    <cfRule type="expression" dxfId="1243" priority="1022">
      <formula>AND(IF($Q20=3,1,0),IF($X20&lt;30,1,0))</formula>
    </cfRule>
    <cfRule type="expression" dxfId="1242" priority="1023">
      <formula>AND(IF($Q20=3,1,IF($Q20=4,1,0)),IF($F20&lt;=85,1,0))</formula>
    </cfRule>
  </conditionalFormatting>
  <conditionalFormatting sqref="X20">
    <cfRule type="expression" dxfId="1241" priority="1016">
      <formula>AND(IF(OR($Q20=1,$Q20=2),1,0),IF($X20&lt;=20,1,0))</formula>
    </cfRule>
    <cfRule type="expression" dxfId="1240" priority="1017">
      <formula>AND(IF($Q20=2,1,0),IF($X20&lt;30,1,0))</formula>
    </cfRule>
    <cfRule type="expression" dxfId="1239" priority="1018">
      <formula>AND(IF($Q20=3,1,0),IF($X20&lt;30,1,0))</formula>
    </cfRule>
    <cfRule type="expression" dxfId="1238" priority="1019">
      <formula>AND(IF($Q20=3,1,IF($Q20=4,1,0)),IF($F20&lt;=85,1,0))</formula>
    </cfRule>
  </conditionalFormatting>
  <conditionalFormatting sqref="AI20">
    <cfRule type="expression" dxfId="1237" priority="1012">
      <formula>AND(IF(OR($Q20=1,$Q20=2),1,0),IF($X20&lt;=20,1,0))</formula>
    </cfRule>
    <cfRule type="expression" dxfId="1236" priority="1013">
      <formula>AND(IF($Q20=2,1,0),IF($X20&lt;30,1,0))</formula>
    </cfRule>
    <cfRule type="expression" dxfId="1235" priority="1014">
      <formula>AND(IF($Q20=3,1,0),IF($X20&lt;30,1,0))</formula>
    </cfRule>
    <cfRule type="expression" dxfId="1234" priority="1015">
      <formula>AND(IF($Q20=3,1,IF($Q20=4,1,0)),IF($F20&lt;=85,1,0))</formula>
    </cfRule>
  </conditionalFormatting>
  <conditionalFormatting sqref="AV21">
    <cfRule type="expression" dxfId="1233" priority="1010">
      <formula>AV21="X"</formula>
    </cfRule>
    <cfRule type="expression" dxfId="1232" priority="1011">
      <formula>AV21="후보"</formula>
    </cfRule>
  </conditionalFormatting>
  <conditionalFormatting sqref="AC21 N21">
    <cfRule type="cellIs" dxfId="1231" priority="1007" operator="greaterThan">
      <formula>0.9</formula>
    </cfRule>
    <cfRule type="cellIs" dxfId="1230" priority="1008" operator="greaterThan">
      <formula>0.85</formula>
    </cfRule>
  </conditionalFormatting>
  <conditionalFormatting sqref="AV22">
    <cfRule type="expression" dxfId="1229" priority="1005">
      <formula>AV22="X"</formula>
    </cfRule>
    <cfRule type="expression" dxfId="1228" priority="1006">
      <formula>AV22="후보"</formula>
    </cfRule>
  </conditionalFormatting>
  <conditionalFormatting sqref="AC22">
    <cfRule type="cellIs" dxfId="1227" priority="1002" operator="greaterThan">
      <formula>0.9</formula>
    </cfRule>
    <cfRule type="cellIs" dxfId="1226" priority="1003" operator="greaterThan">
      <formula>0.85</formula>
    </cfRule>
  </conditionalFormatting>
  <conditionalFormatting sqref="N22">
    <cfRule type="cellIs" dxfId="1225" priority="1000" operator="greaterThan">
      <formula>0.9</formula>
    </cfRule>
    <cfRule type="cellIs" dxfId="1224" priority="1001" operator="greaterThan">
      <formula>0.85</formula>
    </cfRule>
  </conditionalFormatting>
  <conditionalFormatting sqref="E22">
    <cfRule type="expression" dxfId="1223" priority="996">
      <formula>AND(IF(OR($Q22=1,$Q22=2),1,0),IF($X22&lt;=20,1,0))</formula>
    </cfRule>
    <cfRule type="expression" dxfId="1222" priority="997">
      <formula>AND(IF($Q22=2,1,0),IF($X22&lt;30,1,0))</formula>
    </cfRule>
    <cfRule type="expression" dxfId="1221" priority="998">
      <formula>AND(IF($Q22=3,1,0),IF($X22&lt;30,1,0))</formula>
    </cfRule>
    <cfRule type="expression" dxfId="1220" priority="999">
      <formula>AND(IF($Q22=3,1,IF($Q22=4,1,0)),IF($F22&lt;=85,1,0))</formula>
    </cfRule>
  </conditionalFormatting>
  <conditionalFormatting sqref="X22">
    <cfRule type="expression" dxfId="1219" priority="992">
      <formula>AND(IF(OR($Q22=1,$Q22=2),1,0),IF($X22&lt;=20,1,0))</formula>
    </cfRule>
    <cfRule type="expression" dxfId="1218" priority="993">
      <formula>AND(IF($Q22=2,1,0),IF($X22&lt;30,1,0))</formula>
    </cfRule>
    <cfRule type="expression" dxfId="1217" priority="994">
      <formula>AND(IF($Q22=3,1,0),IF($X22&lt;30,1,0))</formula>
    </cfRule>
    <cfRule type="expression" dxfId="1216" priority="995">
      <formula>AND(IF($Q22=3,1,IF($Q22=4,1,0)),IF($F22&lt;=85,1,0))</formula>
    </cfRule>
  </conditionalFormatting>
  <conditionalFormatting sqref="AI22">
    <cfRule type="expression" dxfId="1215" priority="988">
      <formula>AND(IF(OR($Q22=1,$Q22=2),1,0),IF($X22&lt;=20,1,0))</formula>
    </cfRule>
    <cfRule type="expression" dxfId="1214" priority="989">
      <formula>AND(IF($Q22=2,1,0),IF($X22&lt;30,1,0))</formula>
    </cfRule>
    <cfRule type="expression" dxfId="1213" priority="990">
      <formula>AND(IF($Q22=3,1,0),IF($X22&lt;30,1,0))</formula>
    </cfRule>
    <cfRule type="expression" dxfId="1212" priority="991">
      <formula>AND(IF($Q22=3,1,IF($Q22=4,1,0)),IF($F22&lt;=85,1,0))</formula>
    </cfRule>
  </conditionalFormatting>
  <conditionalFormatting sqref="AV23">
    <cfRule type="expression" dxfId="1211" priority="986">
      <formula>AV23="X"</formula>
    </cfRule>
    <cfRule type="expression" dxfId="1210" priority="987">
      <formula>AV23="후보"</formula>
    </cfRule>
  </conditionalFormatting>
  <conditionalFormatting sqref="AC23">
    <cfRule type="cellIs" dxfId="1209" priority="983" operator="greaterThan">
      <formula>0.9</formula>
    </cfRule>
    <cfRule type="cellIs" dxfId="1208" priority="984" operator="greaterThan">
      <formula>0.85</formula>
    </cfRule>
  </conditionalFormatting>
  <conditionalFormatting sqref="N23">
    <cfRule type="cellIs" dxfId="1207" priority="981" operator="greaterThan">
      <formula>0.9</formula>
    </cfRule>
    <cfRule type="cellIs" dxfId="1206" priority="982" operator="greaterThan">
      <formula>0.85</formula>
    </cfRule>
  </conditionalFormatting>
  <conditionalFormatting sqref="E23">
    <cfRule type="expression" dxfId="1205" priority="977">
      <formula>AND(IF(OR($Q23=1,$Q23=2),1,0),IF($X23&lt;=20,1,0))</formula>
    </cfRule>
    <cfRule type="expression" dxfId="1204" priority="978">
      <formula>AND(IF($Q23=2,1,0),IF($X23&lt;30,1,0))</formula>
    </cfRule>
    <cfRule type="expression" dxfId="1203" priority="979">
      <formula>AND(IF($Q23=3,1,0),IF($X23&lt;30,1,0))</formula>
    </cfRule>
    <cfRule type="expression" dxfId="1202" priority="980">
      <formula>AND(IF($Q23=3,1,IF($Q23=4,1,0)),IF($F23&lt;=85,1,0))</formula>
    </cfRule>
  </conditionalFormatting>
  <conditionalFormatting sqref="X23">
    <cfRule type="expression" dxfId="1201" priority="973">
      <formula>AND(IF(OR($Q23=1,$Q23=2),1,0),IF($X23&lt;=20,1,0))</formula>
    </cfRule>
    <cfRule type="expression" dxfId="1200" priority="974">
      <formula>AND(IF($Q23=2,1,0),IF($X23&lt;30,1,0))</formula>
    </cfRule>
    <cfRule type="expression" dxfId="1199" priority="975">
      <formula>AND(IF($Q23=3,1,0),IF($X23&lt;30,1,0))</formula>
    </cfRule>
    <cfRule type="expression" dxfId="1198" priority="976">
      <formula>AND(IF($Q23=3,1,IF($Q23=4,1,0)),IF($F23&lt;=85,1,0))</formula>
    </cfRule>
  </conditionalFormatting>
  <conditionalFormatting sqref="AI23">
    <cfRule type="expression" dxfId="1197" priority="969">
      <formula>AND(IF(OR($Q23=1,$Q23=2),1,0),IF($X23&lt;=20,1,0))</formula>
    </cfRule>
    <cfRule type="expression" dxfId="1196" priority="970">
      <formula>AND(IF($Q23=2,1,0),IF($X23&lt;30,1,0))</formula>
    </cfRule>
    <cfRule type="expression" dxfId="1195" priority="971">
      <formula>AND(IF($Q23=3,1,0),IF($X23&lt;30,1,0))</formula>
    </cfRule>
    <cfRule type="expression" dxfId="1194" priority="972">
      <formula>AND(IF($Q23=3,1,IF($Q23=4,1,0)),IF($F23&lt;=85,1,0))</formula>
    </cfRule>
  </conditionalFormatting>
  <conditionalFormatting sqref="AV24">
    <cfRule type="expression" dxfId="1193" priority="967">
      <formula>AV24="X"</formula>
    </cfRule>
    <cfRule type="expression" dxfId="1192" priority="968">
      <formula>AV24="후보"</formula>
    </cfRule>
  </conditionalFormatting>
  <conditionalFormatting sqref="AC24">
    <cfRule type="cellIs" dxfId="1191" priority="964" operator="greaterThan">
      <formula>0.9</formula>
    </cfRule>
    <cfRule type="cellIs" dxfId="1190" priority="965" operator="greaterThan">
      <formula>0.85</formula>
    </cfRule>
  </conditionalFormatting>
  <conditionalFormatting sqref="N24">
    <cfRule type="cellIs" dxfId="1189" priority="962" operator="greaterThan">
      <formula>0.9</formula>
    </cfRule>
    <cfRule type="cellIs" dxfId="1188" priority="963" operator="greaterThan">
      <formula>0.85</formula>
    </cfRule>
  </conditionalFormatting>
  <conditionalFormatting sqref="E24">
    <cfRule type="expression" dxfId="1187" priority="958">
      <formula>AND(IF(OR($Q24=1,$Q24=2),1,0),IF($X24&lt;=20,1,0))</formula>
    </cfRule>
    <cfRule type="expression" dxfId="1186" priority="959">
      <formula>AND(IF($Q24=2,1,0),IF($X24&lt;30,1,0))</formula>
    </cfRule>
    <cfRule type="expression" dxfId="1185" priority="960">
      <formula>AND(IF($Q24=3,1,0),IF($X24&lt;30,1,0))</formula>
    </cfRule>
    <cfRule type="expression" dxfId="1184" priority="961">
      <formula>AND(IF($Q24=3,1,IF($Q24=4,1,0)),IF($F24&lt;=85,1,0))</formula>
    </cfRule>
  </conditionalFormatting>
  <conditionalFormatting sqref="X24">
    <cfRule type="expression" dxfId="1183" priority="954">
      <formula>AND(IF(OR($Q24=1,$Q24=2),1,0),IF($X24&lt;=20,1,0))</formula>
    </cfRule>
    <cfRule type="expression" dxfId="1182" priority="955">
      <formula>AND(IF($Q24=2,1,0),IF($X24&lt;30,1,0))</formula>
    </cfRule>
    <cfRule type="expression" dxfId="1181" priority="956">
      <formula>AND(IF($Q24=3,1,0),IF($X24&lt;30,1,0))</formula>
    </cfRule>
    <cfRule type="expression" dxfId="1180" priority="957">
      <formula>AND(IF($Q24=3,1,IF($Q24=4,1,0)),IF($F24&lt;=85,1,0))</formula>
    </cfRule>
  </conditionalFormatting>
  <conditionalFormatting sqref="AI24">
    <cfRule type="expression" dxfId="1179" priority="950">
      <formula>AND(IF(OR($Q24=1,$Q24=2),1,0),IF($X24&lt;=20,1,0))</formula>
    </cfRule>
    <cfRule type="expression" dxfId="1178" priority="951">
      <formula>AND(IF($Q24=2,1,0),IF($X24&lt;30,1,0))</formula>
    </cfRule>
    <cfRule type="expression" dxfId="1177" priority="952">
      <formula>AND(IF($Q24=3,1,0),IF($X24&lt;30,1,0))</formula>
    </cfRule>
    <cfRule type="expression" dxfId="1176" priority="953">
      <formula>AND(IF($Q24=3,1,IF($Q24=4,1,0)),IF($F24&lt;=85,1,0))</formula>
    </cfRule>
  </conditionalFormatting>
  <conditionalFormatting sqref="AV25">
    <cfRule type="expression" dxfId="1175" priority="948">
      <formula>AV25="X"</formula>
    </cfRule>
    <cfRule type="expression" dxfId="1174" priority="949">
      <formula>AV25="후보"</formula>
    </cfRule>
  </conditionalFormatting>
  <conditionalFormatting sqref="AC25">
    <cfRule type="cellIs" dxfId="1173" priority="945" operator="greaterThan">
      <formula>0.9</formula>
    </cfRule>
    <cfRule type="cellIs" dxfId="1172" priority="946" operator="greaterThan">
      <formula>0.85</formula>
    </cfRule>
  </conditionalFormatting>
  <conditionalFormatting sqref="N25">
    <cfRule type="cellIs" dxfId="1171" priority="943" operator="greaterThan">
      <formula>0.9</formula>
    </cfRule>
    <cfRule type="cellIs" dxfId="1170" priority="944" operator="greaterThan">
      <formula>0.85</formula>
    </cfRule>
  </conditionalFormatting>
  <conditionalFormatting sqref="E25">
    <cfRule type="expression" dxfId="1169" priority="939">
      <formula>AND(IF(OR($Q25=1,$Q25=2),1,0),IF($X25&lt;=20,1,0))</formula>
    </cfRule>
    <cfRule type="expression" dxfId="1168" priority="940">
      <formula>AND(IF($Q25=2,1,0),IF($X25&lt;30,1,0))</formula>
    </cfRule>
    <cfRule type="expression" dxfId="1167" priority="941">
      <formula>AND(IF($Q25=3,1,0),IF($X25&lt;30,1,0))</formula>
    </cfRule>
    <cfRule type="expression" dxfId="1166" priority="942">
      <formula>AND(IF($Q25=3,1,IF($Q25=4,1,0)),IF($F25&lt;=85,1,0))</formula>
    </cfRule>
  </conditionalFormatting>
  <conditionalFormatting sqref="X25">
    <cfRule type="expression" dxfId="1165" priority="935">
      <formula>AND(IF(OR($Q25=1,$Q25=2),1,0),IF($X25&lt;=20,1,0))</formula>
    </cfRule>
    <cfRule type="expression" dxfId="1164" priority="936">
      <formula>AND(IF($Q25=2,1,0),IF($X25&lt;30,1,0))</formula>
    </cfRule>
    <cfRule type="expression" dxfId="1163" priority="937">
      <formula>AND(IF($Q25=3,1,0),IF($X25&lt;30,1,0))</formula>
    </cfRule>
    <cfRule type="expression" dxfId="1162" priority="938">
      <formula>AND(IF($Q25=3,1,IF($Q25=4,1,0)),IF($F25&lt;=85,1,0))</formula>
    </cfRule>
  </conditionalFormatting>
  <conditionalFormatting sqref="AI25">
    <cfRule type="expression" dxfId="1161" priority="931">
      <formula>AND(IF(OR($Q25=1,$Q25=2),1,0),IF($X25&lt;=20,1,0))</formula>
    </cfRule>
    <cfRule type="expression" dxfId="1160" priority="932">
      <formula>AND(IF($Q25=2,1,0),IF($X25&lt;30,1,0))</formula>
    </cfRule>
    <cfRule type="expression" dxfId="1159" priority="933">
      <formula>AND(IF($Q25=3,1,0),IF($X25&lt;30,1,0))</formula>
    </cfRule>
    <cfRule type="expression" dxfId="1158" priority="934">
      <formula>AND(IF($Q25=3,1,IF($Q25=4,1,0)),IF($F25&lt;=85,1,0))</formula>
    </cfRule>
  </conditionalFormatting>
  <conditionalFormatting sqref="AV26">
    <cfRule type="expression" dxfId="1157" priority="929">
      <formula>AV26="X"</formula>
    </cfRule>
    <cfRule type="expression" dxfId="1156" priority="930">
      <formula>AV26="후보"</formula>
    </cfRule>
  </conditionalFormatting>
  <conditionalFormatting sqref="AC26 N26">
    <cfRule type="cellIs" dxfId="1155" priority="926" operator="greaterThan">
      <formula>0.9</formula>
    </cfRule>
    <cfRule type="cellIs" dxfId="1154" priority="927" operator="greaterThan">
      <formula>0.85</formula>
    </cfRule>
  </conditionalFormatting>
  <conditionalFormatting sqref="AV27">
    <cfRule type="expression" dxfId="1153" priority="924">
      <formula>AV27="X"</formula>
    </cfRule>
    <cfRule type="expression" dxfId="1152" priority="925">
      <formula>AV27="후보"</formula>
    </cfRule>
  </conditionalFormatting>
  <conditionalFormatting sqref="AC27">
    <cfRule type="cellIs" dxfId="1151" priority="921" operator="greaterThan">
      <formula>0.9</formula>
    </cfRule>
    <cfRule type="cellIs" dxfId="1150" priority="922" operator="greaterThan">
      <formula>0.85</formula>
    </cfRule>
  </conditionalFormatting>
  <conditionalFormatting sqref="N27">
    <cfRule type="cellIs" dxfId="1149" priority="919" operator="greaterThan">
      <formula>0.9</formula>
    </cfRule>
    <cfRule type="cellIs" dxfId="1148" priority="920" operator="greaterThan">
      <formula>0.85</formula>
    </cfRule>
  </conditionalFormatting>
  <conditionalFormatting sqref="E27">
    <cfRule type="expression" dxfId="1147" priority="915">
      <formula>AND(IF(OR($Q27=1,$Q27=2),1,0),IF($X27&lt;=20,1,0))</formula>
    </cfRule>
    <cfRule type="expression" dxfId="1146" priority="916">
      <formula>AND(IF($Q27=2,1,0),IF($X27&lt;30,1,0))</formula>
    </cfRule>
    <cfRule type="expression" dxfId="1145" priority="917">
      <formula>AND(IF($Q27=3,1,0),IF($X27&lt;30,1,0))</formula>
    </cfRule>
    <cfRule type="expression" dxfId="1144" priority="918">
      <formula>AND(IF($Q27=3,1,IF($Q27=4,1,0)),IF($F27&lt;=85,1,0))</formula>
    </cfRule>
  </conditionalFormatting>
  <conditionalFormatting sqref="X27">
    <cfRule type="expression" dxfId="1143" priority="911">
      <formula>AND(IF(OR($Q27=1,$Q27=2),1,0),IF($X27&lt;=20,1,0))</formula>
    </cfRule>
    <cfRule type="expression" dxfId="1142" priority="912">
      <formula>AND(IF($Q27=2,1,0),IF($X27&lt;30,1,0))</formula>
    </cfRule>
    <cfRule type="expression" dxfId="1141" priority="913">
      <formula>AND(IF($Q27=3,1,0),IF($X27&lt;30,1,0))</formula>
    </cfRule>
    <cfRule type="expression" dxfId="1140" priority="914">
      <formula>AND(IF($Q27=3,1,IF($Q27=4,1,0)),IF($F27&lt;=85,1,0))</formula>
    </cfRule>
  </conditionalFormatting>
  <conditionalFormatting sqref="AI27">
    <cfRule type="expression" dxfId="1139" priority="907">
      <formula>AND(IF(OR($Q27=1,$Q27=2),1,0),IF($X27&lt;=20,1,0))</formula>
    </cfRule>
    <cfRule type="expression" dxfId="1138" priority="908">
      <formula>AND(IF($Q27=2,1,0),IF($X27&lt;30,1,0))</formula>
    </cfRule>
    <cfRule type="expression" dxfId="1137" priority="909">
      <formula>AND(IF($Q27=3,1,0),IF($X27&lt;30,1,0))</formula>
    </cfRule>
    <cfRule type="expression" dxfId="1136" priority="910">
      <formula>AND(IF($Q27=3,1,IF($Q27=4,1,0)),IF($F27&lt;=85,1,0))</formula>
    </cfRule>
  </conditionalFormatting>
  <conditionalFormatting sqref="AV28">
    <cfRule type="expression" dxfId="1135" priority="905">
      <formula>AV28="X"</formula>
    </cfRule>
    <cfRule type="expression" dxfId="1134" priority="906">
      <formula>AV28="후보"</formula>
    </cfRule>
  </conditionalFormatting>
  <conditionalFormatting sqref="AC28">
    <cfRule type="cellIs" dxfId="1133" priority="902" operator="greaterThan">
      <formula>0.9</formula>
    </cfRule>
    <cfRule type="cellIs" dxfId="1132" priority="903" operator="greaterThan">
      <formula>0.85</formula>
    </cfRule>
  </conditionalFormatting>
  <conditionalFormatting sqref="N28">
    <cfRule type="cellIs" dxfId="1131" priority="900" operator="greaterThan">
      <formula>0.9</formula>
    </cfRule>
    <cfRule type="cellIs" dxfId="1130" priority="901" operator="greaterThan">
      <formula>0.85</formula>
    </cfRule>
  </conditionalFormatting>
  <conditionalFormatting sqref="E28">
    <cfRule type="expression" dxfId="1129" priority="896">
      <formula>AND(IF(OR($Q28=1,$Q28=2),1,0),IF($X28&lt;=20,1,0))</formula>
    </cfRule>
    <cfRule type="expression" dxfId="1128" priority="897">
      <formula>AND(IF($Q28=2,1,0),IF($X28&lt;30,1,0))</formula>
    </cfRule>
    <cfRule type="expression" dxfId="1127" priority="898">
      <formula>AND(IF($Q28=3,1,0),IF($X28&lt;30,1,0))</formula>
    </cfRule>
    <cfRule type="expression" dxfId="1126" priority="899">
      <formula>AND(IF($Q28=3,1,IF($Q28=4,1,0)),IF($F28&lt;=85,1,0))</formula>
    </cfRule>
  </conditionalFormatting>
  <conditionalFormatting sqref="X28">
    <cfRule type="expression" dxfId="1125" priority="892">
      <formula>AND(IF(OR($Q28=1,$Q28=2),1,0),IF($X28&lt;=20,1,0))</formula>
    </cfRule>
    <cfRule type="expression" dxfId="1124" priority="893">
      <formula>AND(IF($Q28=2,1,0),IF($X28&lt;30,1,0))</formula>
    </cfRule>
    <cfRule type="expression" dxfId="1123" priority="894">
      <formula>AND(IF($Q28=3,1,0),IF($X28&lt;30,1,0))</formula>
    </cfRule>
    <cfRule type="expression" dxfId="1122" priority="895">
      <formula>AND(IF($Q28=3,1,IF($Q28=4,1,0)),IF($F28&lt;=85,1,0))</formula>
    </cfRule>
  </conditionalFormatting>
  <conditionalFormatting sqref="AI28">
    <cfRule type="expression" dxfId="1121" priority="888">
      <formula>AND(IF(OR($Q28=1,$Q28=2),1,0),IF($X28&lt;=20,1,0))</formula>
    </cfRule>
    <cfRule type="expression" dxfId="1120" priority="889">
      <formula>AND(IF($Q28=2,1,0),IF($X28&lt;30,1,0))</formula>
    </cfRule>
    <cfRule type="expression" dxfId="1119" priority="890">
      <formula>AND(IF($Q28=3,1,0),IF($X28&lt;30,1,0))</formula>
    </cfRule>
    <cfRule type="expression" dxfId="1118" priority="891">
      <formula>AND(IF($Q28=3,1,IF($Q28=4,1,0)),IF($F28&lt;=85,1,0))</formula>
    </cfRule>
  </conditionalFormatting>
  <conditionalFormatting sqref="AV29">
    <cfRule type="expression" dxfId="1117" priority="886">
      <formula>AV29="X"</formula>
    </cfRule>
    <cfRule type="expression" dxfId="1116" priority="887">
      <formula>AV29="후보"</formula>
    </cfRule>
  </conditionalFormatting>
  <conditionalFormatting sqref="AC29">
    <cfRule type="cellIs" dxfId="1115" priority="883" operator="greaterThan">
      <formula>0.9</formula>
    </cfRule>
    <cfRule type="cellIs" dxfId="1114" priority="884" operator="greaterThan">
      <formula>0.85</formula>
    </cfRule>
  </conditionalFormatting>
  <conditionalFormatting sqref="N29">
    <cfRule type="cellIs" dxfId="1113" priority="881" operator="greaterThan">
      <formula>0.9</formula>
    </cfRule>
    <cfRule type="cellIs" dxfId="1112" priority="882" operator="greaterThan">
      <formula>0.85</formula>
    </cfRule>
  </conditionalFormatting>
  <conditionalFormatting sqref="E29">
    <cfRule type="expression" dxfId="1111" priority="877">
      <formula>AND(IF(OR($Q29=1,$Q29=2),1,0),IF($X29&lt;=20,1,0))</formula>
    </cfRule>
    <cfRule type="expression" dxfId="1110" priority="878">
      <formula>AND(IF($Q29=2,1,0),IF($X29&lt;30,1,0))</formula>
    </cfRule>
    <cfRule type="expression" dxfId="1109" priority="879">
      <formula>AND(IF($Q29=3,1,0),IF($X29&lt;30,1,0))</formula>
    </cfRule>
    <cfRule type="expression" dxfId="1108" priority="880">
      <formula>AND(IF($Q29=3,1,IF($Q29=4,1,0)),IF($F29&lt;=85,1,0))</formula>
    </cfRule>
  </conditionalFormatting>
  <conditionalFormatting sqref="X29">
    <cfRule type="expression" dxfId="1107" priority="873">
      <formula>AND(IF(OR($Q29=1,$Q29=2),1,0),IF($X29&lt;=20,1,0))</formula>
    </cfRule>
    <cfRule type="expression" dxfId="1106" priority="874">
      <formula>AND(IF($Q29=2,1,0),IF($X29&lt;30,1,0))</formula>
    </cfRule>
    <cfRule type="expression" dxfId="1105" priority="875">
      <formula>AND(IF($Q29=3,1,0),IF($X29&lt;30,1,0))</formula>
    </cfRule>
    <cfRule type="expression" dxfId="1104" priority="876">
      <formula>AND(IF($Q29=3,1,IF($Q29=4,1,0)),IF($F29&lt;=85,1,0))</formula>
    </cfRule>
  </conditionalFormatting>
  <conditionalFormatting sqref="AI29">
    <cfRule type="expression" dxfId="1103" priority="869">
      <formula>AND(IF(OR($Q29=1,$Q29=2),1,0),IF($X29&lt;=20,1,0))</formula>
    </cfRule>
    <cfRule type="expression" dxfId="1102" priority="870">
      <formula>AND(IF($Q29=2,1,0),IF($X29&lt;30,1,0))</formula>
    </cfRule>
    <cfRule type="expression" dxfId="1101" priority="871">
      <formula>AND(IF($Q29=3,1,0),IF($X29&lt;30,1,0))</formula>
    </cfRule>
    <cfRule type="expression" dxfId="1100" priority="872">
      <formula>AND(IF($Q29=3,1,IF($Q29=4,1,0)),IF($F29&lt;=85,1,0))</formula>
    </cfRule>
  </conditionalFormatting>
  <conditionalFormatting sqref="AV30">
    <cfRule type="expression" dxfId="1099" priority="867">
      <formula>AV30="X"</formula>
    </cfRule>
    <cfRule type="expression" dxfId="1098" priority="868">
      <formula>AV30="후보"</formula>
    </cfRule>
  </conditionalFormatting>
  <conditionalFormatting sqref="AC30 N30">
    <cfRule type="cellIs" dxfId="1097" priority="864" operator="greaterThan">
      <formula>0.9</formula>
    </cfRule>
    <cfRule type="cellIs" dxfId="1096" priority="865" operator="greaterThan">
      <formula>0.85</formula>
    </cfRule>
  </conditionalFormatting>
  <conditionalFormatting sqref="AV31">
    <cfRule type="expression" dxfId="1095" priority="862">
      <formula>AV31="X"</formula>
    </cfRule>
    <cfRule type="expression" dxfId="1094" priority="863">
      <formula>AV31="후보"</formula>
    </cfRule>
  </conditionalFormatting>
  <conditionalFormatting sqref="AC31">
    <cfRule type="cellIs" dxfId="1093" priority="859" operator="greaterThan">
      <formula>0.9</formula>
    </cfRule>
    <cfRule type="cellIs" dxfId="1092" priority="860" operator="greaterThan">
      <formula>0.85</formula>
    </cfRule>
  </conditionalFormatting>
  <conditionalFormatting sqref="N31">
    <cfRule type="cellIs" dxfId="1091" priority="857" operator="greaterThan">
      <formula>0.9</formula>
    </cfRule>
    <cfRule type="cellIs" dxfId="1090" priority="858" operator="greaterThan">
      <formula>0.85</formula>
    </cfRule>
  </conditionalFormatting>
  <conditionalFormatting sqref="E31">
    <cfRule type="expression" dxfId="1089" priority="853">
      <formula>AND(IF(OR($Q31=1,$Q31=2),1,0),IF($X31&lt;=20,1,0))</formula>
    </cfRule>
    <cfRule type="expression" dxfId="1088" priority="854">
      <formula>AND(IF($Q31=2,1,0),IF($X31&lt;30,1,0))</formula>
    </cfRule>
    <cfRule type="expression" dxfId="1087" priority="855">
      <formula>AND(IF($Q31=3,1,0),IF($X31&lt;30,1,0))</formula>
    </cfRule>
    <cfRule type="expression" dxfId="1086" priority="856">
      <formula>AND(IF($Q31=3,1,IF($Q31=4,1,0)),IF($F31&lt;=85,1,0))</formula>
    </cfRule>
  </conditionalFormatting>
  <conditionalFormatting sqref="X31">
    <cfRule type="expression" dxfId="1085" priority="849">
      <formula>AND(IF(OR($Q31=1,$Q31=2),1,0),IF($X31&lt;=20,1,0))</formula>
    </cfRule>
    <cfRule type="expression" dxfId="1084" priority="850">
      <formula>AND(IF($Q31=2,1,0),IF($X31&lt;30,1,0))</formula>
    </cfRule>
    <cfRule type="expression" dxfId="1083" priority="851">
      <formula>AND(IF($Q31=3,1,0),IF($X31&lt;30,1,0))</formula>
    </cfRule>
    <cfRule type="expression" dxfId="1082" priority="852">
      <formula>AND(IF($Q31=3,1,IF($Q31=4,1,0)),IF($F31&lt;=85,1,0))</formula>
    </cfRule>
  </conditionalFormatting>
  <conditionalFormatting sqref="AI31">
    <cfRule type="expression" dxfId="1081" priority="845">
      <formula>AND(IF(OR($Q31=1,$Q31=2),1,0),IF($X31&lt;=20,1,0))</formula>
    </cfRule>
    <cfRule type="expression" dxfId="1080" priority="846">
      <formula>AND(IF($Q31=2,1,0),IF($X31&lt;30,1,0))</formula>
    </cfRule>
    <cfRule type="expression" dxfId="1079" priority="847">
      <formula>AND(IF($Q31=3,1,0),IF($X31&lt;30,1,0))</formula>
    </cfRule>
    <cfRule type="expression" dxfId="1078" priority="848">
      <formula>AND(IF($Q31=3,1,IF($Q31=4,1,0)),IF($F31&lt;=85,1,0))</formula>
    </cfRule>
  </conditionalFormatting>
  <conditionalFormatting sqref="AV32">
    <cfRule type="expression" dxfId="1077" priority="843">
      <formula>AV32="X"</formula>
    </cfRule>
    <cfRule type="expression" dxfId="1076" priority="844">
      <formula>AV32="후보"</formula>
    </cfRule>
  </conditionalFormatting>
  <conditionalFormatting sqref="AC32">
    <cfRule type="cellIs" dxfId="1075" priority="840" operator="greaterThan">
      <formula>0.9</formula>
    </cfRule>
    <cfRule type="cellIs" dxfId="1074" priority="841" operator="greaterThan">
      <formula>0.85</formula>
    </cfRule>
  </conditionalFormatting>
  <conditionalFormatting sqref="N32">
    <cfRule type="cellIs" dxfId="1073" priority="838" operator="greaterThan">
      <formula>0.9</formula>
    </cfRule>
    <cfRule type="cellIs" dxfId="1072" priority="839" operator="greaterThan">
      <formula>0.85</formula>
    </cfRule>
  </conditionalFormatting>
  <conditionalFormatting sqref="E32">
    <cfRule type="expression" dxfId="1071" priority="834">
      <formula>AND(IF(OR($Q32=1,$Q32=2),1,0),IF($X32&lt;=20,1,0))</formula>
    </cfRule>
    <cfRule type="expression" dxfId="1070" priority="835">
      <formula>AND(IF($Q32=2,1,0),IF($X32&lt;30,1,0))</formula>
    </cfRule>
    <cfRule type="expression" dxfId="1069" priority="836">
      <formula>AND(IF($Q32=3,1,0),IF($X32&lt;30,1,0))</formula>
    </cfRule>
    <cfRule type="expression" dxfId="1068" priority="837">
      <formula>AND(IF($Q32=3,1,IF($Q32=4,1,0)),IF($F32&lt;=85,1,0))</formula>
    </cfRule>
  </conditionalFormatting>
  <conditionalFormatting sqref="X32">
    <cfRule type="expression" dxfId="1067" priority="830">
      <formula>AND(IF(OR($Q32=1,$Q32=2),1,0),IF($X32&lt;=20,1,0))</formula>
    </cfRule>
    <cfRule type="expression" dxfId="1066" priority="831">
      <formula>AND(IF($Q32=2,1,0),IF($X32&lt;30,1,0))</formula>
    </cfRule>
    <cfRule type="expression" dxfId="1065" priority="832">
      <formula>AND(IF($Q32=3,1,0),IF($X32&lt;30,1,0))</formula>
    </cfRule>
    <cfRule type="expression" dxfId="1064" priority="833">
      <formula>AND(IF($Q32=3,1,IF($Q32=4,1,0)),IF($F32&lt;=85,1,0))</formula>
    </cfRule>
  </conditionalFormatting>
  <conditionalFormatting sqref="AI32">
    <cfRule type="expression" dxfId="1063" priority="826">
      <formula>AND(IF(OR($Q32=1,$Q32=2),1,0),IF($X32&lt;=20,1,0))</formula>
    </cfRule>
    <cfRule type="expression" dxfId="1062" priority="827">
      <formula>AND(IF($Q32=2,1,0),IF($X32&lt;30,1,0))</formula>
    </cfRule>
    <cfRule type="expression" dxfId="1061" priority="828">
      <formula>AND(IF($Q32=3,1,0),IF($X32&lt;30,1,0))</formula>
    </cfRule>
    <cfRule type="expression" dxfId="1060" priority="829">
      <formula>AND(IF($Q32=3,1,IF($Q32=4,1,0)),IF($F32&lt;=85,1,0))</formula>
    </cfRule>
  </conditionalFormatting>
  <conditionalFormatting sqref="AV33">
    <cfRule type="expression" dxfId="1059" priority="824">
      <formula>AV33="X"</formula>
    </cfRule>
    <cfRule type="expression" dxfId="1058" priority="825">
      <formula>AV33="후보"</formula>
    </cfRule>
  </conditionalFormatting>
  <conditionalFormatting sqref="AC33 N33">
    <cfRule type="cellIs" dxfId="1057" priority="821" operator="greaterThan">
      <formula>0.9</formula>
    </cfRule>
    <cfRule type="cellIs" dxfId="1056" priority="822" operator="greaterThan">
      <formula>0.85</formula>
    </cfRule>
  </conditionalFormatting>
  <conditionalFormatting sqref="AV34">
    <cfRule type="expression" dxfId="1055" priority="819">
      <formula>AV34="X"</formula>
    </cfRule>
    <cfRule type="expression" dxfId="1054" priority="820">
      <formula>AV34="후보"</formula>
    </cfRule>
  </conditionalFormatting>
  <conditionalFormatting sqref="AC34">
    <cfRule type="cellIs" dxfId="1053" priority="816" operator="greaterThan">
      <formula>0.9</formula>
    </cfRule>
    <cfRule type="cellIs" dxfId="1052" priority="817" operator="greaterThan">
      <formula>0.85</formula>
    </cfRule>
  </conditionalFormatting>
  <conditionalFormatting sqref="N34">
    <cfRule type="cellIs" dxfId="1051" priority="814" operator="greaterThan">
      <formula>0.9</formula>
    </cfRule>
    <cfRule type="cellIs" dxfId="1050" priority="815" operator="greaterThan">
      <formula>0.85</formula>
    </cfRule>
  </conditionalFormatting>
  <conditionalFormatting sqref="E34">
    <cfRule type="expression" dxfId="1049" priority="810">
      <formula>AND(IF(OR($Q34=1,$Q34=2),1,0),IF($X34&lt;=20,1,0))</formula>
    </cfRule>
    <cfRule type="expression" dxfId="1048" priority="811">
      <formula>AND(IF($Q34=2,1,0),IF($X34&lt;30,1,0))</formula>
    </cfRule>
    <cfRule type="expression" dxfId="1047" priority="812">
      <formula>AND(IF($Q34=3,1,0),IF($X34&lt;30,1,0))</formula>
    </cfRule>
    <cfRule type="expression" dxfId="1046" priority="813">
      <formula>AND(IF($Q34=3,1,IF($Q34=4,1,0)),IF($F34&lt;=85,1,0))</formula>
    </cfRule>
  </conditionalFormatting>
  <conditionalFormatting sqref="X34">
    <cfRule type="expression" dxfId="1045" priority="806">
      <formula>AND(IF(OR($Q34=1,$Q34=2),1,0),IF($X34&lt;=20,1,0))</formula>
    </cfRule>
    <cfRule type="expression" dxfId="1044" priority="807">
      <formula>AND(IF($Q34=2,1,0),IF($X34&lt;30,1,0))</formula>
    </cfRule>
    <cfRule type="expression" dxfId="1043" priority="808">
      <formula>AND(IF($Q34=3,1,0),IF($X34&lt;30,1,0))</formula>
    </cfRule>
    <cfRule type="expression" dxfId="1042" priority="809">
      <formula>AND(IF($Q34=3,1,IF($Q34=4,1,0)),IF($F34&lt;=85,1,0))</formula>
    </cfRule>
  </conditionalFormatting>
  <conditionalFormatting sqref="AI34">
    <cfRule type="expression" dxfId="1041" priority="802">
      <formula>AND(IF(OR($Q34=1,$Q34=2),1,0),IF($X34&lt;=20,1,0))</formula>
    </cfRule>
    <cfRule type="expression" dxfId="1040" priority="803">
      <formula>AND(IF($Q34=2,1,0),IF($X34&lt;30,1,0))</formula>
    </cfRule>
    <cfRule type="expression" dxfId="1039" priority="804">
      <formula>AND(IF($Q34=3,1,0),IF($X34&lt;30,1,0))</formula>
    </cfRule>
    <cfRule type="expression" dxfId="1038" priority="805">
      <formula>AND(IF($Q34=3,1,IF($Q34=4,1,0)),IF($F34&lt;=85,1,0))</formula>
    </cfRule>
  </conditionalFormatting>
  <conditionalFormatting sqref="AV35">
    <cfRule type="expression" dxfId="1037" priority="800">
      <formula>AV35="X"</formula>
    </cfRule>
    <cfRule type="expression" dxfId="1036" priority="801">
      <formula>AV35="후보"</formula>
    </cfRule>
  </conditionalFormatting>
  <conditionalFormatting sqref="AC35">
    <cfRule type="cellIs" dxfId="1035" priority="797" operator="greaterThan">
      <formula>0.9</formula>
    </cfRule>
    <cfRule type="cellIs" dxfId="1034" priority="798" operator="greaterThan">
      <formula>0.85</formula>
    </cfRule>
  </conditionalFormatting>
  <conditionalFormatting sqref="N35">
    <cfRule type="cellIs" dxfId="1033" priority="795" operator="greaterThan">
      <formula>0.9</formula>
    </cfRule>
    <cfRule type="cellIs" dxfId="1032" priority="796" operator="greaterThan">
      <formula>0.85</formula>
    </cfRule>
  </conditionalFormatting>
  <conditionalFormatting sqref="E35">
    <cfRule type="expression" dxfId="1031" priority="791">
      <formula>AND(IF(OR($Q35=1,$Q35=2),1,0),IF($X35&lt;=20,1,0))</formula>
    </cfRule>
    <cfRule type="expression" dxfId="1030" priority="792">
      <formula>AND(IF($Q35=2,1,0),IF($X35&lt;30,1,0))</formula>
    </cfRule>
    <cfRule type="expression" dxfId="1029" priority="793">
      <formula>AND(IF($Q35=3,1,0),IF($X35&lt;30,1,0))</formula>
    </cfRule>
    <cfRule type="expression" dxfId="1028" priority="794">
      <formula>AND(IF($Q35=3,1,IF($Q35=4,1,0)),IF($F35&lt;=85,1,0))</formula>
    </cfRule>
  </conditionalFormatting>
  <conditionalFormatting sqref="X35">
    <cfRule type="expression" dxfId="1027" priority="787">
      <formula>AND(IF(OR($Q35=1,$Q35=2),1,0),IF($X35&lt;=20,1,0))</formula>
    </cfRule>
    <cfRule type="expression" dxfId="1026" priority="788">
      <formula>AND(IF($Q35=2,1,0),IF($X35&lt;30,1,0))</formula>
    </cfRule>
    <cfRule type="expression" dxfId="1025" priority="789">
      <formula>AND(IF($Q35=3,1,0),IF($X35&lt;30,1,0))</formula>
    </cfRule>
    <cfRule type="expression" dxfId="1024" priority="790">
      <formula>AND(IF($Q35=3,1,IF($Q35=4,1,0)),IF($F35&lt;=85,1,0))</formula>
    </cfRule>
  </conditionalFormatting>
  <conditionalFormatting sqref="AI35">
    <cfRule type="expression" dxfId="1023" priority="783">
      <formula>AND(IF(OR($Q35=1,$Q35=2),1,0),IF($X35&lt;=20,1,0))</formula>
    </cfRule>
    <cfRule type="expression" dxfId="1022" priority="784">
      <formula>AND(IF($Q35=2,1,0),IF($X35&lt;30,1,0))</formula>
    </cfRule>
    <cfRule type="expression" dxfId="1021" priority="785">
      <formula>AND(IF($Q35=3,1,0),IF($X35&lt;30,1,0))</formula>
    </cfRule>
    <cfRule type="expression" dxfId="1020" priority="786">
      <formula>AND(IF($Q35=3,1,IF($Q35=4,1,0)),IF($F35&lt;=85,1,0))</formula>
    </cfRule>
  </conditionalFormatting>
  <conditionalFormatting sqref="AV36">
    <cfRule type="expression" dxfId="1019" priority="781">
      <formula>AV36="X"</formula>
    </cfRule>
    <cfRule type="expression" dxfId="1018" priority="782">
      <formula>AV36="후보"</formula>
    </cfRule>
  </conditionalFormatting>
  <conditionalFormatting sqref="AC36 N36">
    <cfRule type="cellIs" dxfId="1017" priority="778" operator="greaterThan">
      <formula>0.9</formula>
    </cfRule>
    <cfRule type="cellIs" dxfId="1016" priority="779" operator="greaterThan">
      <formula>0.85</formula>
    </cfRule>
  </conditionalFormatting>
  <conditionalFormatting sqref="AV37">
    <cfRule type="expression" dxfId="1015" priority="776">
      <formula>AV37="X"</formula>
    </cfRule>
    <cfRule type="expression" dxfId="1014" priority="777">
      <formula>AV37="후보"</formula>
    </cfRule>
  </conditionalFormatting>
  <conditionalFormatting sqref="AC37">
    <cfRule type="cellIs" dxfId="1013" priority="773" operator="greaterThan">
      <formula>0.9</formula>
    </cfRule>
    <cfRule type="cellIs" dxfId="1012" priority="774" operator="greaterThan">
      <formula>0.85</formula>
    </cfRule>
  </conditionalFormatting>
  <conditionalFormatting sqref="N37">
    <cfRule type="cellIs" dxfId="1011" priority="771" operator="greaterThan">
      <formula>0.9</formula>
    </cfRule>
    <cfRule type="cellIs" dxfId="1010" priority="772" operator="greaterThan">
      <formula>0.85</formula>
    </cfRule>
  </conditionalFormatting>
  <conditionalFormatting sqref="E37">
    <cfRule type="expression" dxfId="1009" priority="767">
      <formula>AND(IF(OR($Q37=1,$Q37=2),1,0),IF($X37&lt;=20,1,0))</formula>
    </cfRule>
    <cfRule type="expression" dxfId="1008" priority="768">
      <formula>AND(IF($Q37=2,1,0),IF($X37&lt;30,1,0))</formula>
    </cfRule>
    <cfRule type="expression" dxfId="1007" priority="769">
      <formula>AND(IF($Q37=3,1,0),IF($X37&lt;30,1,0))</formula>
    </cfRule>
    <cfRule type="expression" dxfId="1006" priority="770">
      <formula>AND(IF($Q37=3,1,IF($Q37=4,1,0)),IF($F37&lt;=85,1,0))</formula>
    </cfRule>
  </conditionalFormatting>
  <conditionalFormatting sqref="X37">
    <cfRule type="expression" dxfId="1005" priority="763">
      <formula>AND(IF(OR($Q37=1,$Q37=2),1,0),IF($X37&lt;=20,1,0))</formula>
    </cfRule>
    <cfRule type="expression" dxfId="1004" priority="764">
      <formula>AND(IF($Q37=2,1,0),IF($X37&lt;30,1,0))</formula>
    </cfRule>
    <cfRule type="expression" dxfId="1003" priority="765">
      <formula>AND(IF($Q37=3,1,0),IF($X37&lt;30,1,0))</formula>
    </cfRule>
    <cfRule type="expression" dxfId="1002" priority="766">
      <formula>AND(IF($Q37=3,1,IF($Q37=4,1,0)),IF($F37&lt;=85,1,0))</formula>
    </cfRule>
  </conditionalFormatting>
  <conditionalFormatting sqref="AI37">
    <cfRule type="expression" dxfId="1001" priority="759">
      <formula>AND(IF(OR($Q37=1,$Q37=2),1,0),IF($X37&lt;=20,1,0))</formula>
    </cfRule>
    <cfRule type="expression" dxfId="1000" priority="760">
      <formula>AND(IF($Q37=2,1,0),IF($X37&lt;30,1,0))</formula>
    </cfRule>
    <cfRule type="expression" dxfId="999" priority="761">
      <formula>AND(IF($Q37=3,1,0),IF($X37&lt;30,1,0))</formula>
    </cfRule>
    <cfRule type="expression" dxfId="998" priority="762">
      <formula>AND(IF($Q37=3,1,IF($Q37=4,1,0)),IF($F37&lt;=85,1,0))</formula>
    </cfRule>
  </conditionalFormatting>
  <conditionalFormatting sqref="AV38">
    <cfRule type="expression" dxfId="997" priority="757">
      <formula>AV38="X"</formula>
    </cfRule>
    <cfRule type="expression" dxfId="996" priority="758">
      <formula>AV38="후보"</formula>
    </cfRule>
  </conditionalFormatting>
  <conditionalFormatting sqref="AC38">
    <cfRule type="cellIs" dxfId="995" priority="754" operator="greaterThan">
      <formula>0.9</formula>
    </cfRule>
    <cfRule type="cellIs" dxfId="994" priority="755" operator="greaterThan">
      <formula>0.85</formula>
    </cfRule>
  </conditionalFormatting>
  <conditionalFormatting sqref="N38">
    <cfRule type="cellIs" dxfId="993" priority="752" operator="greaterThan">
      <formula>0.9</formula>
    </cfRule>
    <cfRule type="cellIs" dxfId="992" priority="753" operator="greaterThan">
      <formula>0.85</formula>
    </cfRule>
  </conditionalFormatting>
  <conditionalFormatting sqref="E38">
    <cfRule type="expression" dxfId="991" priority="748">
      <formula>AND(IF(OR($Q38=1,$Q38=2),1,0),IF($X38&lt;=20,1,0))</formula>
    </cfRule>
    <cfRule type="expression" dxfId="990" priority="749">
      <formula>AND(IF($Q38=2,1,0),IF($X38&lt;30,1,0))</formula>
    </cfRule>
    <cfRule type="expression" dxfId="989" priority="750">
      <formula>AND(IF($Q38=3,1,0),IF($X38&lt;30,1,0))</formula>
    </cfRule>
    <cfRule type="expression" dxfId="988" priority="751">
      <formula>AND(IF($Q38=3,1,IF($Q38=4,1,0)),IF($F38&lt;=85,1,0))</formula>
    </cfRule>
  </conditionalFormatting>
  <conditionalFormatting sqref="X38">
    <cfRule type="expression" dxfId="987" priority="744">
      <formula>AND(IF(OR($Q38=1,$Q38=2),1,0),IF($X38&lt;=20,1,0))</formula>
    </cfRule>
    <cfRule type="expression" dxfId="986" priority="745">
      <formula>AND(IF($Q38=2,1,0),IF($X38&lt;30,1,0))</formula>
    </cfRule>
    <cfRule type="expression" dxfId="985" priority="746">
      <formula>AND(IF($Q38=3,1,0),IF($X38&lt;30,1,0))</formula>
    </cfRule>
    <cfRule type="expression" dxfId="984" priority="747">
      <formula>AND(IF($Q38=3,1,IF($Q38=4,1,0)),IF($F38&lt;=85,1,0))</formula>
    </cfRule>
  </conditionalFormatting>
  <conditionalFormatting sqref="AI38">
    <cfRule type="expression" dxfId="983" priority="740">
      <formula>AND(IF(OR($Q38=1,$Q38=2),1,0),IF($X38&lt;=20,1,0))</formula>
    </cfRule>
    <cfRule type="expression" dxfId="982" priority="741">
      <formula>AND(IF($Q38=2,1,0),IF($X38&lt;30,1,0))</formula>
    </cfRule>
    <cfRule type="expression" dxfId="981" priority="742">
      <formula>AND(IF($Q38=3,1,0),IF($X38&lt;30,1,0))</formula>
    </cfRule>
    <cfRule type="expression" dxfId="980" priority="743">
      <formula>AND(IF($Q38=3,1,IF($Q38=4,1,0)),IF($F38&lt;=85,1,0))</formula>
    </cfRule>
  </conditionalFormatting>
  <conditionalFormatting sqref="AV39">
    <cfRule type="expression" dxfId="979" priority="738">
      <formula>AV39="X"</formula>
    </cfRule>
    <cfRule type="expression" dxfId="978" priority="739">
      <formula>AV39="후보"</formula>
    </cfRule>
  </conditionalFormatting>
  <conditionalFormatting sqref="AC39 N39">
    <cfRule type="cellIs" dxfId="977" priority="735" operator="greaterThan">
      <formula>0.9</formula>
    </cfRule>
    <cfRule type="cellIs" dxfId="976" priority="736" operator="greaterThan">
      <formula>0.85</formula>
    </cfRule>
  </conditionalFormatting>
  <conditionalFormatting sqref="AV40">
    <cfRule type="expression" dxfId="975" priority="733">
      <formula>AV40="X"</formula>
    </cfRule>
    <cfRule type="expression" dxfId="974" priority="734">
      <formula>AV40="후보"</formula>
    </cfRule>
  </conditionalFormatting>
  <conditionalFormatting sqref="AC40">
    <cfRule type="cellIs" dxfId="973" priority="730" operator="greaterThan">
      <formula>0.9</formula>
    </cfRule>
    <cfRule type="cellIs" dxfId="972" priority="731" operator="greaterThan">
      <formula>0.85</formula>
    </cfRule>
  </conditionalFormatting>
  <conditionalFormatting sqref="N40">
    <cfRule type="cellIs" dxfId="971" priority="728" operator="greaterThan">
      <formula>0.9</formula>
    </cfRule>
    <cfRule type="cellIs" dxfId="970" priority="729" operator="greaterThan">
      <formula>0.85</formula>
    </cfRule>
  </conditionalFormatting>
  <conditionalFormatting sqref="E40">
    <cfRule type="expression" dxfId="969" priority="724">
      <formula>AND(IF(OR($Q40=1,$Q40=2),1,0),IF($X40&lt;=20,1,0))</formula>
    </cfRule>
    <cfRule type="expression" dxfId="968" priority="725">
      <formula>AND(IF($Q40=2,1,0),IF($X40&lt;30,1,0))</formula>
    </cfRule>
    <cfRule type="expression" dxfId="967" priority="726">
      <formula>AND(IF($Q40=3,1,0),IF($X40&lt;30,1,0))</formula>
    </cfRule>
    <cfRule type="expression" dxfId="966" priority="727">
      <formula>AND(IF($Q40=3,1,IF($Q40=4,1,0)),IF($F40&lt;=85,1,0))</formula>
    </cfRule>
  </conditionalFormatting>
  <conditionalFormatting sqref="X40">
    <cfRule type="expression" dxfId="965" priority="720">
      <formula>AND(IF(OR($Q40=1,$Q40=2),1,0),IF($X40&lt;=20,1,0))</formula>
    </cfRule>
    <cfRule type="expression" dxfId="964" priority="721">
      <formula>AND(IF($Q40=2,1,0),IF($X40&lt;30,1,0))</formula>
    </cfRule>
    <cfRule type="expression" dxfId="963" priority="722">
      <formula>AND(IF($Q40=3,1,0),IF($X40&lt;30,1,0))</formula>
    </cfRule>
    <cfRule type="expression" dxfId="962" priority="723">
      <formula>AND(IF($Q40=3,1,IF($Q40=4,1,0)),IF($F40&lt;=85,1,0))</formula>
    </cfRule>
  </conditionalFormatting>
  <conditionalFormatting sqref="AI40">
    <cfRule type="expression" dxfId="961" priority="716">
      <formula>AND(IF(OR($Q40=1,$Q40=2),1,0),IF($X40&lt;=20,1,0))</formula>
    </cfRule>
    <cfRule type="expression" dxfId="960" priority="717">
      <formula>AND(IF($Q40=2,1,0),IF($X40&lt;30,1,0))</formula>
    </cfRule>
    <cfRule type="expression" dxfId="959" priority="718">
      <formula>AND(IF($Q40=3,1,0),IF($X40&lt;30,1,0))</formula>
    </cfRule>
    <cfRule type="expression" dxfId="958" priority="719">
      <formula>AND(IF($Q40=3,1,IF($Q40=4,1,0)),IF($F40&lt;=85,1,0))</formula>
    </cfRule>
  </conditionalFormatting>
  <conditionalFormatting sqref="AV41">
    <cfRule type="expression" dxfId="957" priority="714">
      <formula>AV41="X"</formula>
    </cfRule>
    <cfRule type="expression" dxfId="956" priority="715">
      <formula>AV41="후보"</formula>
    </cfRule>
  </conditionalFormatting>
  <conditionalFormatting sqref="AC41">
    <cfRule type="cellIs" dxfId="955" priority="711" operator="greaterThan">
      <formula>0.9</formula>
    </cfRule>
    <cfRule type="cellIs" dxfId="954" priority="712" operator="greaterThan">
      <formula>0.85</formula>
    </cfRule>
  </conditionalFormatting>
  <conditionalFormatting sqref="N41">
    <cfRule type="cellIs" dxfId="953" priority="709" operator="greaterThan">
      <formula>0.9</formula>
    </cfRule>
    <cfRule type="cellIs" dxfId="952" priority="710" operator="greaterThan">
      <formula>0.85</formula>
    </cfRule>
  </conditionalFormatting>
  <conditionalFormatting sqref="E41">
    <cfRule type="expression" dxfId="951" priority="705">
      <formula>AND(IF(OR($Q41=1,$Q41=2),1,0),IF($X41&lt;=20,1,0))</formula>
    </cfRule>
    <cfRule type="expression" dxfId="950" priority="706">
      <formula>AND(IF($Q41=2,1,0),IF($X41&lt;30,1,0))</formula>
    </cfRule>
    <cfRule type="expression" dxfId="949" priority="707">
      <formula>AND(IF($Q41=3,1,0),IF($X41&lt;30,1,0))</formula>
    </cfRule>
    <cfRule type="expression" dxfId="948" priority="708">
      <formula>AND(IF($Q41=3,1,IF($Q41=4,1,0)),IF($F41&lt;=85,1,0))</formula>
    </cfRule>
  </conditionalFormatting>
  <conditionalFormatting sqref="X41">
    <cfRule type="expression" dxfId="947" priority="701">
      <formula>AND(IF(OR($Q41=1,$Q41=2),1,0),IF($X41&lt;=20,1,0))</formula>
    </cfRule>
    <cfRule type="expression" dxfId="946" priority="702">
      <formula>AND(IF($Q41=2,1,0),IF($X41&lt;30,1,0))</formula>
    </cfRule>
    <cfRule type="expression" dxfId="945" priority="703">
      <formula>AND(IF($Q41=3,1,0),IF($X41&lt;30,1,0))</formula>
    </cfRule>
    <cfRule type="expression" dxfId="944" priority="704">
      <formula>AND(IF($Q41=3,1,IF($Q41=4,1,0)),IF($F41&lt;=85,1,0))</formula>
    </cfRule>
  </conditionalFormatting>
  <conditionalFormatting sqref="AI41">
    <cfRule type="expression" dxfId="943" priority="697">
      <formula>AND(IF(OR($Q41=1,$Q41=2),1,0),IF($X41&lt;=20,1,0))</formula>
    </cfRule>
    <cfRule type="expression" dxfId="942" priority="698">
      <formula>AND(IF($Q41=2,1,0),IF($X41&lt;30,1,0))</formula>
    </cfRule>
    <cfRule type="expression" dxfId="941" priority="699">
      <formula>AND(IF($Q41=3,1,0),IF($X41&lt;30,1,0))</formula>
    </cfRule>
    <cfRule type="expression" dxfId="940" priority="700">
      <formula>AND(IF($Q41=3,1,IF($Q41=4,1,0)),IF($F41&lt;=85,1,0))</formula>
    </cfRule>
  </conditionalFormatting>
  <conditionalFormatting sqref="AV42">
    <cfRule type="expression" dxfId="939" priority="695">
      <formula>AV42="X"</formula>
    </cfRule>
    <cfRule type="expression" dxfId="938" priority="696">
      <formula>AV42="후보"</formula>
    </cfRule>
  </conditionalFormatting>
  <conditionalFormatting sqref="AC42">
    <cfRule type="cellIs" dxfId="937" priority="692" operator="greaterThan">
      <formula>0.9</formula>
    </cfRule>
    <cfRule type="cellIs" dxfId="936" priority="693" operator="greaterThan">
      <formula>0.85</formula>
    </cfRule>
  </conditionalFormatting>
  <conditionalFormatting sqref="N42">
    <cfRule type="cellIs" dxfId="935" priority="690" operator="greaterThan">
      <formula>0.9</formula>
    </cfRule>
    <cfRule type="cellIs" dxfId="934" priority="691" operator="greaterThan">
      <formula>0.85</formula>
    </cfRule>
  </conditionalFormatting>
  <conditionalFormatting sqref="E42">
    <cfRule type="expression" dxfId="933" priority="686">
      <formula>AND(IF(OR($Q42=1,$Q42=2),1,0),IF($X42&lt;=20,1,0))</formula>
    </cfRule>
    <cfRule type="expression" dxfId="932" priority="687">
      <formula>AND(IF($Q42=2,1,0),IF($X42&lt;30,1,0))</formula>
    </cfRule>
    <cfRule type="expression" dxfId="931" priority="688">
      <formula>AND(IF($Q42=3,1,0),IF($X42&lt;30,1,0))</formula>
    </cfRule>
    <cfRule type="expression" dxfId="930" priority="689">
      <formula>AND(IF($Q42=3,1,IF($Q42=4,1,0)),IF($F42&lt;=85,1,0))</formula>
    </cfRule>
  </conditionalFormatting>
  <conditionalFormatting sqref="X42">
    <cfRule type="expression" dxfId="929" priority="682">
      <formula>AND(IF(OR($Q42=1,$Q42=2),1,0),IF($X42&lt;=20,1,0))</formula>
    </cfRule>
    <cfRule type="expression" dxfId="928" priority="683">
      <formula>AND(IF($Q42=2,1,0),IF($X42&lt;30,1,0))</formula>
    </cfRule>
    <cfRule type="expression" dxfId="927" priority="684">
      <formula>AND(IF($Q42=3,1,0),IF($X42&lt;30,1,0))</formula>
    </cfRule>
    <cfRule type="expression" dxfId="926" priority="685">
      <formula>AND(IF($Q42=3,1,IF($Q42=4,1,0)),IF($F42&lt;=85,1,0))</formula>
    </cfRule>
  </conditionalFormatting>
  <conditionalFormatting sqref="AI42">
    <cfRule type="expression" dxfId="925" priority="678">
      <formula>AND(IF(OR($Q42=1,$Q42=2),1,0),IF($X42&lt;=20,1,0))</formula>
    </cfRule>
    <cfRule type="expression" dxfId="924" priority="679">
      <formula>AND(IF($Q42=2,1,0),IF($X42&lt;30,1,0))</formula>
    </cfRule>
    <cfRule type="expression" dxfId="923" priority="680">
      <formula>AND(IF($Q42=3,1,0),IF($X42&lt;30,1,0))</formula>
    </cfRule>
    <cfRule type="expression" dxfId="922" priority="681">
      <formula>AND(IF($Q42=3,1,IF($Q42=4,1,0)),IF($F42&lt;=85,1,0))</formula>
    </cfRule>
  </conditionalFormatting>
  <conditionalFormatting sqref="AV43">
    <cfRule type="expression" dxfId="921" priority="676">
      <formula>AV43="X"</formula>
    </cfRule>
    <cfRule type="expression" dxfId="920" priority="677">
      <formula>AV43="후보"</formula>
    </cfRule>
  </conditionalFormatting>
  <conditionalFormatting sqref="AC43 N43">
    <cfRule type="cellIs" dxfId="919" priority="673" operator="greaterThan">
      <formula>0.9</formula>
    </cfRule>
    <cfRule type="cellIs" dxfId="918" priority="674" operator="greaterThan">
      <formula>0.85</formula>
    </cfRule>
  </conditionalFormatting>
  <conditionalFormatting sqref="AV44">
    <cfRule type="expression" dxfId="917" priority="671">
      <formula>AV44="X"</formula>
    </cfRule>
    <cfRule type="expression" dxfId="916" priority="672">
      <formula>AV44="후보"</formula>
    </cfRule>
  </conditionalFormatting>
  <conditionalFormatting sqref="AC44">
    <cfRule type="cellIs" dxfId="915" priority="668" operator="greaterThan">
      <formula>0.9</formula>
    </cfRule>
    <cfRule type="cellIs" dxfId="914" priority="669" operator="greaterThan">
      <formula>0.85</formula>
    </cfRule>
  </conditionalFormatting>
  <conditionalFormatting sqref="N44">
    <cfRule type="cellIs" dxfId="913" priority="666" operator="greaterThan">
      <formula>0.9</formula>
    </cfRule>
    <cfRule type="cellIs" dxfId="912" priority="667" operator="greaterThan">
      <formula>0.85</formula>
    </cfRule>
  </conditionalFormatting>
  <conditionalFormatting sqref="E44">
    <cfRule type="expression" dxfId="911" priority="662">
      <formula>AND(IF(OR($Q44=1,$Q44=2),1,0),IF($X44&lt;=20,1,0))</formula>
    </cfRule>
    <cfRule type="expression" dxfId="910" priority="663">
      <formula>AND(IF($Q44=2,1,0),IF($X44&lt;30,1,0))</formula>
    </cfRule>
    <cfRule type="expression" dxfId="909" priority="664">
      <formula>AND(IF($Q44=3,1,0),IF($X44&lt;30,1,0))</formula>
    </cfRule>
    <cfRule type="expression" dxfId="908" priority="665">
      <formula>AND(IF($Q44=3,1,IF($Q44=4,1,0)),IF($F44&lt;=85,1,0))</formula>
    </cfRule>
  </conditionalFormatting>
  <conditionalFormatting sqref="X44">
    <cfRule type="expression" dxfId="907" priority="658">
      <formula>AND(IF(OR($Q44=1,$Q44=2),1,0),IF($X44&lt;=20,1,0))</formula>
    </cfRule>
    <cfRule type="expression" dxfId="906" priority="659">
      <formula>AND(IF($Q44=2,1,0),IF($X44&lt;30,1,0))</formula>
    </cfRule>
    <cfRule type="expression" dxfId="905" priority="660">
      <formula>AND(IF($Q44=3,1,0),IF($X44&lt;30,1,0))</formula>
    </cfRule>
    <cfRule type="expression" dxfId="904" priority="661">
      <formula>AND(IF($Q44=3,1,IF($Q44=4,1,0)),IF($F44&lt;=85,1,0))</formula>
    </cfRule>
  </conditionalFormatting>
  <conditionalFormatting sqref="AI44">
    <cfRule type="expression" dxfId="903" priority="654">
      <formula>AND(IF(OR($Q44=1,$Q44=2),1,0),IF($X44&lt;=20,1,0))</formula>
    </cfRule>
    <cfRule type="expression" dxfId="902" priority="655">
      <formula>AND(IF($Q44=2,1,0),IF($X44&lt;30,1,0))</formula>
    </cfRule>
    <cfRule type="expression" dxfId="901" priority="656">
      <formula>AND(IF($Q44=3,1,0),IF($X44&lt;30,1,0))</formula>
    </cfRule>
    <cfRule type="expression" dxfId="900" priority="657">
      <formula>AND(IF($Q44=3,1,IF($Q44=4,1,0)),IF($F44&lt;=85,1,0))</formula>
    </cfRule>
  </conditionalFormatting>
  <conditionalFormatting sqref="AV45">
    <cfRule type="expression" dxfId="899" priority="652">
      <formula>AV45="X"</formula>
    </cfRule>
    <cfRule type="expression" dxfId="898" priority="653">
      <formula>AV45="후보"</formula>
    </cfRule>
  </conditionalFormatting>
  <conditionalFormatting sqref="AC45">
    <cfRule type="cellIs" dxfId="897" priority="649" operator="greaterThan">
      <formula>0.9</formula>
    </cfRule>
    <cfRule type="cellIs" dxfId="896" priority="650" operator="greaterThan">
      <formula>0.85</formula>
    </cfRule>
  </conditionalFormatting>
  <conditionalFormatting sqref="N45">
    <cfRule type="cellIs" dxfId="895" priority="647" operator="greaterThan">
      <formula>0.9</formula>
    </cfRule>
    <cfRule type="cellIs" dxfId="894" priority="648" operator="greaterThan">
      <formula>0.85</formula>
    </cfRule>
  </conditionalFormatting>
  <conditionalFormatting sqref="E45">
    <cfRule type="expression" dxfId="893" priority="643">
      <formula>AND(IF(OR($Q45=1,$Q45=2),1,0),IF($X45&lt;=20,1,0))</formula>
    </cfRule>
    <cfRule type="expression" dxfId="892" priority="644">
      <formula>AND(IF($Q45=2,1,0),IF($X45&lt;30,1,0))</formula>
    </cfRule>
    <cfRule type="expression" dxfId="891" priority="645">
      <formula>AND(IF($Q45=3,1,0),IF($X45&lt;30,1,0))</formula>
    </cfRule>
    <cfRule type="expression" dxfId="890" priority="646">
      <formula>AND(IF($Q45=3,1,IF($Q45=4,1,0)),IF($F45&lt;=85,1,0))</formula>
    </cfRule>
  </conditionalFormatting>
  <conditionalFormatting sqref="X45">
    <cfRule type="expression" dxfId="889" priority="639">
      <formula>AND(IF(OR($Q45=1,$Q45=2),1,0),IF($X45&lt;=20,1,0))</formula>
    </cfRule>
    <cfRule type="expression" dxfId="888" priority="640">
      <formula>AND(IF($Q45=2,1,0),IF($X45&lt;30,1,0))</formula>
    </cfRule>
    <cfRule type="expression" dxfId="887" priority="641">
      <formula>AND(IF($Q45=3,1,0),IF($X45&lt;30,1,0))</formula>
    </cfRule>
    <cfRule type="expression" dxfId="886" priority="642">
      <formula>AND(IF($Q45=3,1,IF($Q45=4,1,0)),IF($F45&lt;=85,1,0))</formula>
    </cfRule>
  </conditionalFormatting>
  <conditionalFormatting sqref="AI45">
    <cfRule type="expression" dxfId="885" priority="635">
      <formula>AND(IF(OR($Q45=1,$Q45=2),1,0),IF($X45&lt;=20,1,0))</formula>
    </cfRule>
    <cfRule type="expression" dxfId="884" priority="636">
      <formula>AND(IF($Q45=2,1,0),IF($X45&lt;30,1,0))</formula>
    </cfRule>
    <cfRule type="expression" dxfId="883" priority="637">
      <formula>AND(IF($Q45=3,1,0),IF($X45&lt;30,1,0))</formula>
    </cfRule>
    <cfRule type="expression" dxfId="882" priority="638">
      <formula>AND(IF($Q45=3,1,IF($Q45=4,1,0)),IF($F45&lt;=85,1,0))</formula>
    </cfRule>
  </conditionalFormatting>
  <conditionalFormatting sqref="AV46">
    <cfRule type="expression" dxfId="881" priority="633">
      <formula>AV46="X"</formula>
    </cfRule>
    <cfRule type="expression" dxfId="880" priority="634">
      <formula>AV46="후보"</formula>
    </cfRule>
  </conditionalFormatting>
  <conditionalFormatting sqref="AC46">
    <cfRule type="cellIs" dxfId="879" priority="630" operator="greaterThan">
      <formula>0.9</formula>
    </cfRule>
    <cfRule type="cellIs" dxfId="878" priority="631" operator="greaterThan">
      <formula>0.85</formula>
    </cfRule>
  </conditionalFormatting>
  <conditionalFormatting sqref="N46">
    <cfRule type="cellIs" dxfId="877" priority="628" operator="greaterThan">
      <formula>0.9</formula>
    </cfRule>
    <cfRule type="cellIs" dxfId="876" priority="629" operator="greaterThan">
      <formula>0.85</formula>
    </cfRule>
  </conditionalFormatting>
  <conditionalFormatting sqref="E46">
    <cfRule type="expression" dxfId="875" priority="624">
      <formula>AND(IF(OR($Q46=1,$Q46=2),1,0),IF($X46&lt;=20,1,0))</formula>
    </cfRule>
    <cfRule type="expression" dxfId="874" priority="625">
      <formula>AND(IF($Q46=2,1,0),IF($X46&lt;30,1,0))</formula>
    </cfRule>
    <cfRule type="expression" dxfId="873" priority="626">
      <formula>AND(IF($Q46=3,1,0),IF($X46&lt;30,1,0))</formula>
    </cfRule>
    <cfRule type="expression" dxfId="872" priority="627">
      <formula>AND(IF($Q46=3,1,IF($Q46=4,1,0)),IF($F46&lt;=85,1,0))</formula>
    </cfRule>
  </conditionalFormatting>
  <conditionalFormatting sqref="X46">
    <cfRule type="expression" dxfId="871" priority="620">
      <formula>AND(IF(OR($Q46=1,$Q46=2),1,0),IF($X46&lt;=20,1,0))</formula>
    </cfRule>
    <cfRule type="expression" dxfId="870" priority="621">
      <formula>AND(IF($Q46=2,1,0),IF($X46&lt;30,1,0))</formula>
    </cfRule>
    <cfRule type="expression" dxfId="869" priority="622">
      <formula>AND(IF($Q46=3,1,0),IF($X46&lt;30,1,0))</formula>
    </cfRule>
    <cfRule type="expression" dxfId="868" priority="623">
      <formula>AND(IF($Q46=3,1,IF($Q46=4,1,0)),IF($F46&lt;=85,1,0))</formula>
    </cfRule>
  </conditionalFormatting>
  <conditionalFormatting sqref="AI46">
    <cfRule type="expression" dxfId="867" priority="616">
      <formula>AND(IF(OR($Q46=1,$Q46=2),1,0),IF($X46&lt;=20,1,0))</formula>
    </cfRule>
    <cfRule type="expression" dxfId="866" priority="617">
      <formula>AND(IF($Q46=2,1,0),IF($X46&lt;30,1,0))</formula>
    </cfRule>
    <cfRule type="expression" dxfId="865" priority="618">
      <formula>AND(IF($Q46=3,1,0),IF($X46&lt;30,1,0))</formula>
    </cfRule>
    <cfRule type="expression" dxfId="864" priority="619">
      <formula>AND(IF($Q46=3,1,IF($Q46=4,1,0)),IF($F46&lt;=85,1,0))</formula>
    </cfRule>
  </conditionalFormatting>
  <conditionalFormatting sqref="AV47">
    <cfRule type="expression" dxfId="863" priority="614">
      <formula>AV47="X"</formula>
    </cfRule>
    <cfRule type="expression" dxfId="862" priority="615">
      <formula>AV47="후보"</formula>
    </cfRule>
  </conditionalFormatting>
  <conditionalFormatting sqref="AC47">
    <cfRule type="cellIs" dxfId="861" priority="611" operator="greaterThan">
      <formula>0.9</formula>
    </cfRule>
    <cfRule type="cellIs" dxfId="860" priority="612" operator="greaterThan">
      <formula>0.85</formula>
    </cfRule>
  </conditionalFormatting>
  <conditionalFormatting sqref="N47">
    <cfRule type="cellIs" dxfId="859" priority="609" operator="greaterThan">
      <formula>0.9</formula>
    </cfRule>
    <cfRule type="cellIs" dxfId="858" priority="610" operator="greaterThan">
      <formula>0.85</formula>
    </cfRule>
  </conditionalFormatting>
  <conditionalFormatting sqref="E47">
    <cfRule type="expression" dxfId="857" priority="605">
      <formula>AND(IF(OR($Q47=1,$Q47=2),1,0),IF($X47&lt;=20,1,0))</formula>
    </cfRule>
    <cfRule type="expression" dxfId="856" priority="606">
      <formula>AND(IF($Q47=2,1,0),IF($X47&lt;30,1,0))</formula>
    </cfRule>
    <cfRule type="expression" dxfId="855" priority="607">
      <formula>AND(IF($Q47=3,1,0),IF($X47&lt;30,1,0))</formula>
    </cfRule>
    <cfRule type="expression" dxfId="854" priority="608">
      <formula>AND(IF($Q47=3,1,IF($Q47=4,1,0)),IF($F47&lt;=85,1,0))</formula>
    </cfRule>
  </conditionalFormatting>
  <conditionalFormatting sqref="X47">
    <cfRule type="expression" dxfId="853" priority="601">
      <formula>AND(IF(OR($Q47=1,$Q47=2),1,0),IF($X47&lt;=20,1,0))</formula>
    </cfRule>
    <cfRule type="expression" dxfId="852" priority="602">
      <formula>AND(IF($Q47=2,1,0),IF($X47&lt;30,1,0))</formula>
    </cfRule>
    <cfRule type="expression" dxfId="851" priority="603">
      <formula>AND(IF($Q47=3,1,0),IF($X47&lt;30,1,0))</formula>
    </cfRule>
    <cfRule type="expression" dxfId="850" priority="604">
      <formula>AND(IF($Q47=3,1,IF($Q47=4,1,0)),IF($F47&lt;=85,1,0))</formula>
    </cfRule>
  </conditionalFormatting>
  <conditionalFormatting sqref="AI47">
    <cfRule type="expression" dxfId="849" priority="597">
      <formula>AND(IF(OR($Q47=1,$Q47=2),1,0),IF($X47&lt;=20,1,0))</formula>
    </cfRule>
    <cfRule type="expression" dxfId="848" priority="598">
      <formula>AND(IF($Q47=2,1,0),IF($X47&lt;30,1,0))</formula>
    </cfRule>
    <cfRule type="expression" dxfId="847" priority="599">
      <formula>AND(IF($Q47=3,1,0),IF($X47&lt;30,1,0))</formula>
    </cfRule>
    <cfRule type="expression" dxfId="846" priority="600">
      <formula>AND(IF($Q47=3,1,IF($Q47=4,1,0)),IF($F47&lt;=85,1,0))</formula>
    </cfRule>
  </conditionalFormatting>
  <conditionalFormatting sqref="AV48">
    <cfRule type="expression" dxfId="845" priority="595">
      <formula>AV48="X"</formula>
    </cfRule>
    <cfRule type="expression" dxfId="844" priority="596">
      <formula>AV48="후보"</formula>
    </cfRule>
  </conditionalFormatting>
  <conditionalFormatting sqref="AC48">
    <cfRule type="cellIs" dxfId="843" priority="592" operator="greaterThan">
      <formula>0.9</formula>
    </cfRule>
    <cfRule type="cellIs" dxfId="842" priority="593" operator="greaterThan">
      <formula>0.85</formula>
    </cfRule>
  </conditionalFormatting>
  <conditionalFormatting sqref="N48">
    <cfRule type="cellIs" dxfId="841" priority="590" operator="greaterThan">
      <formula>0.9</formula>
    </cfRule>
    <cfRule type="cellIs" dxfId="840" priority="591" operator="greaterThan">
      <formula>0.85</formula>
    </cfRule>
  </conditionalFormatting>
  <conditionalFormatting sqref="E48">
    <cfRule type="expression" dxfId="839" priority="586">
      <formula>AND(IF(OR($Q48=1,$Q48=2),1,0),IF($X48&lt;=20,1,0))</formula>
    </cfRule>
    <cfRule type="expression" dxfId="838" priority="587">
      <formula>AND(IF($Q48=2,1,0),IF($X48&lt;30,1,0))</formula>
    </cfRule>
    <cfRule type="expression" dxfId="837" priority="588">
      <formula>AND(IF($Q48=3,1,0),IF($X48&lt;30,1,0))</formula>
    </cfRule>
    <cfRule type="expression" dxfId="836" priority="589">
      <formula>AND(IF($Q48=3,1,IF($Q48=4,1,0)),IF($F48&lt;=85,1,0))</formula>
    </cfRule>
  </conditionalFormatting>
  <conditionalFormatting sqref="X48">
    <cfRule type="expression" dxfId="835" priority="582">
      <formula>AND(IF(OR($Q48=1,$Q48=2),1,0),IF($X48&lt;=20,1,0))</formula>
    </cfRule>
    <cfRule type="expression" dxfId="834" priority="583">
      <formula>AND(IF($Q48=2,1,0),IF($X48&lt;30,1,0))</formula>
    </cfRule>
    <cfRule type="expression" dxfId="833" priority="584">
      <formula>AND(IF($Q48=3,1,0),IF($X48&lt;30,1,0))</formula>
    </cfRule>
    <cfRule type="expression" dxfId="832" priority="585">
      <formula>AND(IF($Q48=3,1,IF($Q48=4,1,0)),IF($F48&lt;=85,1,0))</formula>
    </cfRule>
  </conditionalFormatting>
  <conditionalFormatting sqref="AI48">
    <cfRule type="expression" dxfId="831" priority="578">
      <formula>AND(IF(OR($Q48=1,$Q48=2),1,0),IF($X48&lt;=20,1,0))</formula>
    </cfRule>
    <cfRule type="expression" dxfId="830" priority="579">
      <formula>AND(IF($Q48=2,1,0),IF($X48&lt;30,1,0))</formula>
    </cfRule>
    <cfRule type="expression" dxfId="829" priority="580">
      <formula>AND(IF($Q48=3,1,0),IF($X48&lt;30,1,0))</formula>
    </cfRule>
    <cfRule type="expression" dxfId="828" priority="581">
      <formula>AND(IF($Q48=3,1,IF($Q48=4,1,0)),IF($F48&lt;=85,1,0))</formula>
    </cfRule>
  </conditionalFormatting>
  <conditionalFormatting sqref="AV49">
    <cfRule type="expression" dxfId="827" priority="576">
      <formula>AV49="X"</formula>
    </cfRule>
    <cfRule type="expression" dxfId="826" priority="577">
      <formula>AV49="후보"</formula>
    </cfRule>
  </conditionalFormatting>
  <conditionalFormatting sqref="AC49">
    <cfRule type="cellIs" dxfId="825" priority="573" operator="greaterThan">
      <formula>0.9</formula>
    </cfRule>
    <cfRule type="cellIs" dxfId="824" priority="574" operator="greaterThan">
      <formula>0.85</formula>
    </cfRule>
  </conditionalFormatting>
  <conditionalFormatting sqref="N49">
    <cfRule type="cellIs" dxfId="823" priority="571" operator="greaterThan">
      <formula>0.9</formula>
    </cfRule>
    <cfRule type="cellIs" dxfId="822" priority="572" operator="greaterThan">
      <formula>0.85</formula>
    </cfRule>
  </conditionalFormatting>
  <conditionalFormatting sqref="E49">
    <cfRule type="expression" dxfId="821" priority="567">
      <formula>AND(IF(OR($Q49=1,$Q49=2),1,0),IF($X49&lt;=20,1,0))</formula>
    </cfRule>
    <cfRule type="expression" dxfId="820" priority="568">
      <formula>AND(IF($Q49=2,1,0),IF($X49&lt;30,1,0))</formula>
    </cfRule>
    <cfRule type="expression" dxfId="819" priority="569">
      <formula>AND(IF($Q49=3,1,0),IF($X49&lt;30,1,0))</formula>
    </cfRule>
    <cfRule type="expression" dxfId="818" priority="570">
      <formula>AND(IF($Q49=3,1,IF($Q49=4,1,0)),IF($F49&lt;=85,1,0))</formula>
    </cfRule>
  </conditionalFormatting>
  <conditionalFormatting sqref="X49">
    <cfRule type="expression" dxfId="817" priority="563">
      <formula>AND(IF(OR($Q49=1,$Q49=2),1,0),IF($X49&lt;=20,1,0))</formula>
    </cfRule>
    <cfRule type="expression" dxfId="816" priority="564">
      <formula>AND(IF($Q49=2,1,0),IF($X49&lt;30,1,0))</formula>
    </cfRule>
    <cfRule type="expression" dxfId="815" priority="565">
      <formula>AND(IF($Q49=3,1,0),IF($X49&lt;30,1,0))</formula>
    </cfRule>
    <cfRule type="expression" dxfId="814" priority="566">
      <formula>AND(IF($Q49=3,1,IF($Q49=4,1,0)),IF($F49&lt;=85,1,0))</formula>
    </cfRule>
  </conditionalFormatting>
  <conditionalFormatting sqref="AI49">
    <cfRule type="expression" dxfId="813" priority="559">
      <formula>AND(IF(OR($Q49=1,$Q49=2),1,0),IF($X49&lt;=20,1,0))</formula>
    </cfRule>
    <cfRule type="expression" dxfId="812" priority="560">
      <formula>AND(IF($Q49=2,1,0),IF($X49&lt;30,1,0))</formula>
    </cfRule>
    <cfRule type="expression" dxfId="811" priority="561">
      <formula>AND(IF($Q49=3,1,0),IF($X49&lt;30,1,0))</formula>
    </cfRule>
    <cfRule type="expression" dxfId="810" priority="562">
      <formula>AND(IF($Q49=3,1,IF($Q49=4,1,0)),IF($F49&lt;=85,1,0))</formula>
    </cfRule>
  </conditionalFormatting>
  <conditionalFormatting sqref="AV50">
    <cfRule type="expression" dxfId="809" priority="557">
      <formula>AV50="X"</formula>
    </cfRule>
    <cfRule type="expression" dxfId="808" priority="558">
      <formula>AV50="후보"</formula>
    </cfRule>
  </conditionalFormatting>
  <conditionalFormatting sqref="AC50">
    <cfRule type="cellIs" dxfId="807" priority="554" operator="greaterThan">
      <formula>0.9</formula>
    </cfRule>
    <cfRule type="cellIs" dxfId="806" priority="555" operator="greaterThan">
      <formula>0.85</formula>
    </cfRule>
  </conditionalFormatting>
  <conditionalFormatting sqref="N50">
    <cfRule type="cellIs" dxfId="805" priority="552" operator="greaterThan">
      <formula>0.9</formula>
    </cfRule>
    <cfRule type="cellIs" dxfId="804" priority="553" operator="greaterThan">
      <formula>0.85</formula>
    </cfRule>
  </conditionalFormatting>
  <conditionalFormatting sqref="E50">
    <cfRule type="expression" dxfId="803" priority="548">
      <formula>AND(IF(OR($Q50=1,$Q50=2),1,0),IF($X50&lt;=20,1,0))</formula>
    </cfRule>
    <cfRule type="expression" dxfId="802" priority="549">
      <formula>AND(IF($Q50=2,1,0),IF($X50&lt;30,1,0))</formula>
    </cfRule>
    <cfRule type="expression" dxfId="801" priority="550">
      <formula>AND(IF($Q50=3,1,0),IF($X50&lt;30,1,0))</formula>
    </cfRule>
    <cfRule type="expression" dxfId="800" priority="551">
      <formula>AND(IF($Q50=3,1,IF($Q50=4,1,0)),IF($F50&lt;=85,1,0))</formula>
    </cfRule>
  </conditionalFormatting>
  <conditionalFormatting sqref="X50">
    <cfRule type="expression" dxfId="799" priority="544">
      <formula>AND(IF(OR($Q50=1,$Q50=2),1,0),IF($X50&lt;=20,1,0))</formula>
    </cfRule>
    <cfRule type="expression" dxfId="798" priority="545">
      <formula>AND(IF($Q50=2,1,0),IF($X50&lt;30,1,0))</formula>
    </cfRule>
    <cfRule type="expression" dxfId="797" priority="546">
      <formula>AND(IF($Q50=3,1,0),IF($X50&lt;30,1,0))</formula>
    </cfRule>
    <cfRule type="expression" dxfId="796" priority="547">
      <formula>AND(IF($Q50=3,1,IF($Q50=4,1,0)),IF($F50&lt;=85,1,0))</formula>
    </cfRule>
  </conditionalFormatting>
  <conditionalFormatting sqref="AI50">
    <cfRule type="expression" dxfId="795" priority="540">
      <formula>AND(IF(OR($Q50=1,$Q50=2),1,0),IF($X50&lt;=20,1,0))</formula>
    </cfRule>
    <cfRule type="expression" dxfId="794" priority="541">
      <formula>AND(IF($Q50=2,1,0),IF($X50&lt;30,1,0))</formula>
    </cfRule>
    <cfRule type="expression" dxfId="793" priority="542">
      <formula>AND(IF($Q50=3,1,0),IF($X50&lt;30,1,0))</formula>
    </cfRule>
    <cfRule type="expression" dxfId="792" priority="543">
      <formula>AND(IF($Q50=3,1,IF($Q50=4,1,0)),IF($F50&lt;=85,1,0))</formula>
    </cfRule>
  </conditionalFormatting>
  <conditionalFormatting sqref="AV51">
    <cfRule type="expression" dxfId="791" priority="538">
      <formula>AV51="X"</formula>
    </cfRule>
    <cfRule type="expression" dxfId="790" priority="539">
      <formula>AV51="후보"</formula>
    </cfRule>
  </conditionalFormatting>
  <conditionalFormatting sqref="AC51">
    <cfRule type="cellIs" dxfId="789" priority="535" operator="greaterThan">
      <formula>0.9</formula>
    </cfRule>
    <cfRule type="cellIs" dxfId="788" priority="536" operator="greaterThan">
      <formula>0.85</formula>
    </cfRule>
  </conditionalFormatting>
  <conditionalFormatting sqref="N51">
    <cfRule type="cellIs" dxfId="787" priority="533" operator="greaterThan">
      <formula>0.9</formula>
    </cfRule>
    <cfRule type="cellIs" dxfId="786" priority="534" operator="greaterThan">
      <formula>0.85</formula>
    </cfRule>
  </conditionalFormatting>
  <conditionalFormatting sqref="E51">
    <cfRule type="expression" dxfId="785" priority="529">
      <formula>AND(IF(OR($Q51=1,$Q51=2),1,0),IF($X51&lt;=20,1,0))</formula>
    </cfRule>
    <cfRule type="expression" dxfId="784" priority="530">
      <formula>AND(IF($Q51=2,1,0),IF($X51&lt;30,1,0))</formula>
    </cfRule>
    <cfRule type="expression" dxfId="783" priority="531">
      <formula>AND(IF($Q51=3,1,0),IF($X51&lt;30,1,0))</formula>
    </cfRule>
    <cfRule type="expression" dxfId="782" priority="532">
      <formula>AND(IF($Q51=3,1,IF($Q51=4,1,0)),IF($F51&lt;=85,1,0))</formula>
    </cfRule>
  </conditionalFormatting>
  <conditionalFormatting sqref="X51">
    <cfRule type="expression" dxfId="781" priority="525">
      <formula>AND(IF(OR($Q51=1,$Q51=2),1,0),IF($X51&lt;=20,1,0))</formula>
    </cfRule>
    <cfRule type="expression" dxfId="780" priority="526">
      <formula>AND(IF($Q51=2,1,0),IF($X51&lt;30,1,0))</formula>
    </cfRule>
    <cfRule type="expression" dxfId="779" priority="527">
      <formula>AND(IF($Q51=3,1,0),IF($X51&lt;30,1,0))</formula>
    </cfRule>
    <cfRule type="expression" dxfId="778" priority="528">
      <formula>AND(IF($Q51=3,1,IF($Q51=4,1,0)),IF($F51&lt;=85,1,0))</formula>
    </cfRule>
  </conditionalFormatting>
  <conditionalFormatting sqref="AI51">
    <cfRule type="expression" dxfId="777" priority="521">
      <formula>AND(IF(OR($Q51=1,$Q51=2),1,0),IF($X51&lt;=20,1,0))</formula>
    </cfRule>
    <cfRule type="expression" dxfId="776" priority="522">
      <formula>AND(IF($Q51=2,1,0),IF($X51&lt;30,1,0))</formula>
    </cfRule>
    <cfRule type="expression" dxfId="775" priority="523">
      <formula>AND(IF($Q51=3,1,0),IF($X51&lt;30,1,0))</formula>
    </cfRule>
    <cfRule type="expression" dxfId="774" priority="524">
      <formula>AND(IF($Q51=3,1,IF($Q51=4,1,0)),IF($F51&lt;=85,1,0))</formula>
    </cfRule>
  </conditionalFormatting>
  <conditionalFormatting sqref="AV52">
    <cfRule type="expression" dxfId="773" priority="519">
      <formula>AV52="X"</formula>
    </cfRule>
    <cfRule type="expression" dxfId="772" priority="520">
      <formula>AV52="후보"</formula>
    </cfRule>
  </conditionalFormatting>
  <conditionalFormatting sqref="AC52 N52">
    <cfRule type="cellIs" dxfId="771" priority="516" operator="greaterThan">
      <formula>0.9</formula>
    </cfRule>
    <cfRule type="cellIs" dxfId="770" priority="517" operator="greaterThan">
      <formula>0.85</formula>
    </cfRule>
  </conditionalFormatting>
  <conditionalFormatting sqref="AV53">
    <cfRule type="expression" dxfId="769" priority="514">
      <formula>AV53="X"</formula>
    </cfRule>
    <cfRule type="expression" dxfId="768" priority="515">
      <formula>AV53="후보"</formula>
    </cfRule>
  </conditionalFormatting>
  <conditionalFormatting sqref="AC53">
    <cfRule type="cellIs" dxfId="767" priority="511" operator="greaterThan">
      <formula>0.9</formula>
    </cfRule>
    <cfRule type="cellIs" dxfId="766" priority="512" operator="greaterThan">
      <formula>0.85</formula>
    </cfRule>
  </conditionalFormatting>
  <conditionalFormatting sqref="N53">
    <cfRule type="cellIs" dxfId="765" priority="509" operator="greaterThan">
      <formula>0.9</formula>
    </cfRule>
    <cfRule type="cellIs" dxfId="764" priority="510" operator="greaterThan">
      <formula>0.85</formula>
    </cfRule>
  </conditionalFormatting>
  <conditionalFormatting sqref="E53">
    <cfRule type="expression" dxfId="763" priority="505">
      <formula>AND(IF(OR($Q53=1,$Q53=2),1,0),IF($X53&lt;=20,1,0))</formula>
    </cfRule>
    <cfRule type="expression" dxfId="762" priority="506">
      <formula>AND(IF($Q53=2,1,0),IF($X53&lt;30,1,0))</formula>
    </cfRule>
    <cfRule type="expression" dxfId="761" priority="507">
      <formula>AND(IF($Q53=3,1,0),IF($X53&lt;30,1,0))</formula>
    </cfRule>
    <cfRule type="expression" dxfId="760" priority="508">
      <formula>AND(IF($Q53=3,1,IF($Q53=4,1,0)),IF($F53&lt;=85,1,0))</formula>
    </cfRule>
  </conditionalFormatting>
  <conditionalFormatting sqref="X53">
    <cfRule type="expression" dxfId="759" priority="501">
      <formula>AND(IF(OR($Q53=1,$Q53=2),1,0),IF($X53&lt;=20,1,0))</formula>
    </cfRule>
    <cfRule type="expression" dxfId="758" priority="502">
      <formula>AND(IF($Q53=2,1,0),IF($X53&lt;30,1,0))</formula>
    </cfRule>
    <cfRule type="expression" dxfId="757" priority="503">
      <formula>AND(IF($Q53=3,1,0),IF($X53&lt;30,1,0))</formula>
    </cfRule>
    <cfRule type="expression" dxfId="756" priority="504">
      <formula>AND(IF($Q53=3,1,IF($Q53=4,1,0)),IF($F53&lt;=85,1,0))</formula>
    </cfRule>
  </conditionalFormatting>
  <conditionalFormatting sqref="AI53">
    <cfRule type="expression" dxfId="755" priority="497">
      <formula>AND(IF(OR($Q53=1,$Q53=2),1,0),IF($X53&lt;=20,1,0))</formula>
    </cfRule>
    <cfRule type="expression" dxfId="754" priority="498">
      <formula>AND(IF($Q53=2,1,0),IF($X53&lt;30,1,0))</formula>
    </cfRule>
    <cfRule type="expression" dxfId="753" priority="499">
      <formula>AND(IF($Q53=3,1,0),IF($X53&lt;30,1,0))</formula>
    </cfRule>
    <cfRule type="expression" dxfId="752" priority="500">
      <formula>AND(IF($Q53=3,1,IF($Q53=4,1,0)),IF($F53&lt;=85,1,0))</formula>
    </cfRule>
  </conditionalFormatting>
  <conditionalFormatting sqref="AV54">
    <cfRule type="expression" dxfId="751" priority="495">
      <formula>AV54="X"</formula>
    </cfRule>
    <cfRule type="expression" dxfId="750" priority="496">
      <formula>AV54="후보"</formula>
    </cfRule>
  </conditionalFormatting>
  <conditionalFormatting sqref="AC54 N54">
    <cfRule type="cellIs" dxfId="749" priority="492" operator="greaterThan">
      <formula>0.9</formula>
    </cfRule>
    <cfRule type="cellIs" dxfId="748" priority="493" operator="greaterThan">
      <formula>0.85</formula>
    </cfRule>
  </conditionalFormatting>
  <conditionalFormatting sqref="AV55">
    <cfRule type="expression" dxfId="747" priority="490">
      <formula>AV55="X"</formula>
    </cfRule>
    <cfRule type="expression" dxfId="746" priority="491">
      <formula>AV55="후보"</formula>
    </cfRule>
  </conditionalFormatting>
  <conditionalFormatting sqref="AC55">
    <cfRule type="cellIs" dxfId="745" priority="487" operator="greaterThan">
      <formula>0.9</formula>
    </cfRule>
    <cfRule type="cellIs" dxfId="744" priority="488" operator="greaterThan">
      <formula>0.85</formula>
    </cfRule>
  </conditionalFormatting>
  <conditionalFormatting sqref="N55">
    <cfRule type="cellIs" dxfId="743" priority="485" operator="greaterThan">
      <formula>0.9</formula>
    </cfRule>
    <cfRule type="cellIs" dxfId="742" priority="486" operator="greaterThan">
      <formula>0.85</formula>
    </cfRule>
  </conditionalFormatting>
  <conditionalFormatting sqref="E55">
    <cfRule type="expression" dxfId="741" priority="481">
      <formula>AND(IF(OR($Q55=1,$Q55=2),1,0),IF($X55&lt;=20,1,0))</formula>
    </cfRule>
    <cfRule type="expression" dxfId="740" priority="482">
      <formula>AND(IF($Q55=2,1,0),IF($X55&lt;30,1,0))</formula>
    </cfRule>
    <cfRule type="expression" dxfId="739" priority="483">
      <formula>AND(IF($Q55=3,1,0),IF($X55&lt;30,1,0))</formula>
    </cfRule>
    <cfRule type="expression" dxfId="738" priority="484">
      <formula>AND(IF($Q55=3,1,IF($Q55=4,1,0)),IF($F55&lt;=85,1,0))</formula>
    </cfRule>
  </conditionalFormatting>
  <conditionalFormatting sqref="X55">
    <cfRule type="expression" dxfId="737" priority="477">
      <formula>AND(IF(OR($Q55=1,$Q55=2),1,0),IF($X55&lt;=20,1,0))</formula>
    </cfRule>
    <cfRule type="expression" dxfId="736" priority="478">
      <formula>AND(IF($Q55=2,1,0),IF($X55&lt;30,1,0))</formula>
    </cfRule>
    <cfRule type="expression" dxfId="735" priority="479">
      <formula>AND(IF($Q55=3,1,0),IF($X55&lt;30,1,0))</formula>
    </cfRule>
    <cfRule type="expression" dxfId="734" priority="480">
      <formula>AND(IF($Q55=3,1,IF($Q55=4,1,0)),IF($F55&lt;=85,1,0))</formula>
    </cfRule>
  </conditionalFormatting>
  <conditionalFormatting sqref="AI55">
    <cfRule type="expression" dxfId="733" priority="473">
      <formula>AND(IF(OR($Q55=1,$Q55=2),1,0),IF($X55&lt;=20,1,0))</formula>
    </cfRule>
    <cfRule type="expression" dxfId="732" priority="474">
      <formula>AND(IF($Q55=2,1,0),IF($X55&lt;30,1,0))</formula>
    </cfRule>
    <cfRule type="expression" dxfId="731" priority="475">
      <formula>AND(IF($Q55=3,1,0),IF($X55&lt;30,1,0))</formula>
    </cfRule>
    <cfRule type="expression" dxfId="730" priority="476">
      <formula>AND(IF($Q55=3,1,IF($Q55=4,1,0)),IF($F55&lt;=85,1,0))</formula>
    </cfRule>
  </conditionalFormatting>
  <conditionalFormatting sqref="AV56">
    <cfRule type="expression" dxfId="729" priority="471">
      <formula>AV56="X"</formula>
    </cfRule>
    <cfRule type="expression" dxfId="728" priority="472">
      <formula>AV56="후보"</formula>
    </cfRule>
  </conditionalFormatting>
  <conditionalFormatting sqref="AC56">
    <cfRule type="cellIs" dxfId="727" priority="468" operator="greaterThan">
      <formula>0.9</formula>
    </cfRule>
    <cfRule type="cellIs" dxfId="726" priority="469" operator="greaterThan">
      <formula>0.85</formula>
    </cfRule>
  </conditionalFormatting>
  <conditionalFormatting sqref="N56">
    <cfRule type="cellIs" dxfId="725" priority="466" operator="greaterThan">
      <formula>0.9</formula>
    </cfRule>
    <cfRule type="cellIs" dxfId="724" priority="467" operator="greaterThan">
      <formula>0.85</formula>
    </cfRule>
  </conditionalFormatting>
  <conditionalFormatting sqref="E56">
    <cfRule type="expression" dxfId="723" priority="462">
      <formula>AND(IF(OR($Q56=1,$Q56=2),1,0),IF($X56&lt;=20,1,0))</formula>
    </cfRule>
    <cfRule type="expression" dxfId="722" priority="463">
      <formula>AND(IF($Q56=2,1,0),IF($X56&lt;30,1,0))</formula>
    </cfRule>
    <cfRule type="expression" dxfId="721" priority="464">
      <formula>AND(IF($Q56=3,1,0),IF($X56&lt;30,1,0))</formula>
    </cfRule>
    <cfRule type="expression" dxfId="720" priority="465">
      <formula>AND(IF($Q56=3,1,IF($Q56=4,1,0)),IF($F56&lt;=85,1,0))</formula>
    </cfRule>
  </conditionalFormatting>
  <conditionalFormatting sqref="X56">
    <cfRule type="expression" dxfId="719" priority="458">
      <formula>AND(IF(OR($Q56=1,$Q56=2),1,0),IF($X56&lt;=20,1,0))</formula>
    </cfRule>
    <cfRule type="expression" dxfId="718" priority="459">
      <formula>AND(IF($Q56=2,1,0),IF($X56&lt;30,1,0))</formula>
    </cfRule>
    <cfRule type="expression" dxfId="717" priority="460">
      <formula>AND(IF($Q56=3,1,0),IF($X56&lt;30,1,0))</formula>
    </cfRule>
    <cfRule type="expression" dxfId="716" priority="461">
      <formula>AND(IF($Q56=3,1,IF($Q56=4,1,0)),IF($F56&lt;=85,1,0))</formula>
    </cfRule>
  </conditionalFormatting>
  <conditionalFormatting sqref="AI56">
    <cfRule type="expression" dxfId="715" priority="454">
      <formula>AND(IF(OR($Q56=1,$Q56=2),1,0),IF($X56&lt;=20,1,0))</formula>
    </cfRule>
    <cfRule type="expression" dxfId="714" priority="455">
      <formula>AND(IF($Q56=2,1,0),IF($X56&lt;30,1,0))</formula>
    </cfRule>
    <cfRule type="expression" dxfId="713" priority="456">
      <formula>AND(IF($Q56=3,1,0),IF($X56&lt;30,1,0))</formula>
    </cfRule>
    <cfRule type="expression" dxfId="712" priority="457">
      <formula>AND(IF($Q56=3,1,IF($Q56=4,1,0)),IF($F56&lt;=85,1,0))</formula>
    </cfRule>
  </conditionalFormatting>
  <conditionalFormatting sqref="AV57">
    <cfRule type="expression" dxfId="711" priority="452">
      <formula>AV57="X"</formula>
    </cfRule>
    <cfRule type="expression" dxfId="710" priority="453">
      <formula>AV57="후보"</formula>
    </cfRule>
  </conditionalFormatting>
  <conditionalFormatting sqref="AC57">
    <cfRule type="cellIs" dxfId="709" priority="449" operator="greaterThan">
      <formula>0.9</formula>
    </cfRule>
    <cfRule type="cellIs" dxfId="708" priority="450" operator="greaterThan">
      <formula>0.85</formula>
    </cfRule>
  </conditionalFormatting>
  <conditionalFormatting sqref="N57">
    <cfRule type="cellIs" dxfId="707" priority="447" operator="greaterThan">
      <formula>0.9</formula>
    </cfRule>
    <cfRule type="cellIs" dxfId="706" priority="448" operator="greaterThan">
      <formula>0.85</formula>
    </cfRule>
  </conditionalFormatting>
  <conditionalFormatting sqref="E57">
    <cfRule type="expression" dxfId="705" priority="443">
      <formula>AND(IF(OR($Q57=1,$Q57=2),1,0),IF($X57&lt;=20,1,0))</formula>
    </cfRule>
    <cfRule type="expression" dxfId="704" priority="444">
      <formula>AND(IF($Q57=2,1,0),IF($X57&lt;30,1,0))</formula>
    </cfRule>
    <cfRule type="expression" dxfId="703" priority="445">
      <formula>AND(IF($Q57=3,1,0),IF($X57&lt;30,1,0))</formula>
    </cfRule>
    <cfRule type="expression" dxfId="702" priority="446">
      <formula>AND(IF($Q57=3,1,IF($Q57=4,1,0)),IF($F57&lt;=85,1,0))</formula>
    </cfRule>
  </conditionalFormatting>
  <conditionalFormatting sqref="X57">
    <cfRule type="expression" dxfId="701" priority="439">
      <formula>AND(IF(OR($Q57=1,$Q57=2),1,0),IF($X57&lt;=20,1,0))</formula>
    </cfRule>
    <cfRule type="expression" dxfId="700" priority="440">
      <formula>AND(IF($Q57=2,1,0),IF($X57&lt;30,1,0))</formula>
    </cfRule>
    <cfRule type="expression" dxfId="699" priority="441">
      <formula>AND(IF($Q57=3,1,0),IF($X57&lt;30,1,0))</formula>
    </cfRule>
    <cfRule type="expression" dxfId="698" priority="442">
      <formula>AND(IF($Q57=3,1,IF($Q57=4,1,0)),IF($F57&lt;=85,1,0))</formula>
    </cfRule>
  </conditionalFormatting>
  <conditionalFormatting sqref="AI57">
    <cfRule type="expression" dxfId="697" priority="435">
      <formula>AND(IF(OR($Q57=1,$Q57=2),1,0),IF($X57&lt;=20,1,0))</formula>
    </cfRule>
    <cfRule type="expression" dxfId="696" priority="436">
      <formula>AND(IF($Q57=2,1,0),IF($X57&lt;30,1,0))</formula>
    </cfRule>
    <cfRule type="expression" dxfId="695" priority="437">
      <formula>AND(IF($Q57=3,1,0),IF($X57&lt;30,1,0))</formula>
    </cfRule>
    <cfRule type="expression" dxfId="694" priority="438">
      <formula>AND(IF($Q57=3,1,IF($Q57=4,1,0)),IF($F57&lt;=85,1,0))</formula>
    </cfRule>
  </conditionalFormatting>
  <conditionalFormatting sqref="AV58">
    <cfRule type="expression" dxfId="693" priority="433">
      <formula>AV58="X"</formula>
    </cfRule>
    <cfRule type="expression" dxfId="692" priority="434">
      <formula>AV58="후보"</formula>
    </cfRule>
  </conditionalFormatting>
  <conditionalFormatting sqref="AC58">
    <cfRule type="cellIs" dxfId="691" priority="430" operator="greaterThan">
      <formula>0.9</formula>
    </cfRule>
    <cfRule type="cellIs" dxfId="690" priority="431" operator="greaterThan">
      <formula>0.85</formula>
    </cfRule>
  </conditionalFormatting>
  <conditionalFormatting sqref="N58">
    <cfRule type="cellIs" dxfId="689" priority="428" operator="greaterThan">
      <formula>0.9</formula>
    </cfRule>
    <cfRule type="cellIs" dxfId="688" priority="429" operator="greaterThan">
      <formula>0.85</formula>
    </cfRule>
  </conditionalFormatting>
  <conditionalFormatting sqref="E58">
    <cfRule type="expression" dxfId="687" priority="424">
      <formula>AND(IF(OR($Q58=1,$Q58=2),1,0),IF($X58&lt;=20,1,0))</formula>
    </cfRule>
    <cfRule type="expression" dxfId="686" priority="425">
      <formula>AND(IF($Q58=2,1,0),IF($X58&lt;30,1,0))</formula>
    </cfRule>
    <cfRule type="expression" dxfId="685" priority="426">
      <formula>AND(IF($Q58=3,1,0),IF($X58&lt;30,1,0))</formula>
    </cfRule>
    <cfRule type="expression" dxfId="684" priority="427">
      <formula>AND(IF($Q58=3,1,IF($Q58=4,1,0)),IF($F58&lt;=85,1,0))</formula>
    </cfRule>
  </conditionalFormatting>
  <conditionalFormatting sqref="X58">
    <cfRule type="expression" dxfId="683" priority="420">
      <formula>AND(IF(OR($Q58=1,$Q58=2),1,0),IF($X58&lt;=20,1,0))</formula>
    </cfRule>
    <cfRule type="expression" dxfId="682" priority="421">
      <formula>AND(IF($Q58=2,1,0),IF($X58&lt;30,1,0))</formula>
    </cfRule>
    <cfRule type="expression" dxfId="681" priority="422">
      <formula>AND(IF($Q58=3,1,0),IF($X58&lt;30,1,0))</formula>
    </cfRule>
    <cfRule type="expression" dxfId="680" priority="423">
      <formula>AND(IF($Q58=3,1,IF($Q58=4,1,0)),IF($F58&lt;=85,1,0))</formula>
    </cfRule>
  </conditionalFormatting>
  <conditionalFormatting sqref="AI58">
    <cfRule type="expression" dxfId="679" priority="416">
      <formula>AND(IF(OR($Q58=1,$Q58=2),1,0),IF($X58&lt;=20,1,0))</formula>
    </cfRule>
    <cfRule type="expression" dxfId="678" priority="417">
      <formula>AND(IF($Q58=2,1,0),IF($X58&lt;30,1,0))</formula>
    </cfRule>
    <cfRule type="expression" dxfId="677" priority="418">
      <formula>AND(IF($Q58=3,1,0),IF($X58&lt;30,1,0))</formula>
    </cfRule>
    <cfRule type="expression" dxfId="676" priority="419">
      <formula>AND(IF($Q58=3,1,IF($Q58=4,1,0)),IF($F58&lt;=85,1,0))</formula>
    </cfRule>
  </conditionalFormatting>
  <conditionalFormatting sqref="AV59">
    <cfRule type="expression" dxfId="675" priority="414">
      <formula>AV59="X"</formula>
    </cfRule>
    <cfRule type="expression" dxfId="674" priority="415">
      <formula>AV59="후보"</formula>
    </cfRule>
  </conditionalFormatting>
  <conditionalFormatting sqref="AC59">
    <cfRule type="cellIs" dxfId="673" priority="411" operator="greaterThan">
      <formula>0.9</formula>
    </cfRule>
    <cfRule type="cellIs" dxfId="672" priority="412" operator="greaterThan">
      <formula>0.85</formula>
    </cfRule>
  </conditionalFormatting>
  <conditionalFormatting sqref="N59">
    <cfRule type="cellIs" dxfId="671" priority="409" operator="greaterThan">
      <formula>0.9</formula>
    </cfRule>
    <cfRule type="cellIs" dxfId="670" priority="410" operator="greaterThan">
      <formula>0.85</formula>
    </cfRule>
  </conditionalFormatting>
  <conditionalFormatting sqref="E59">
    <cfRule type="expression" dxfId="669" priority="405">
      <formula>AND(IF(OR($Q59=1,$Q59=2),1,0),IF($X59&lt;=20,1,0))</formula>
    </cfRule>
    <cfRule type="expression" dxfId="668" priority="406">
      <formula>AND(IF($Q59=2,1,0),IF($X59&lt;30,1,0))</formula>
    </cfRule>
    <cfRule type="expression" dxfId="667" priority="407">
      <formula>AND(IF($Q59=3,1,0),IF($X59&lt;30,1,0))</formula>
    </cfRule>
    <cfRule type="expression" dxfId="666" priority="408">
      <formula>AND(IF($Q59=3,1,IF($Q59=4,1,0)),IF($F59&lt;=85,1,0))</formula>
    </cfRule>
  </conditionalFormatting>
  <conditionalFormatting sqref="X59">
    <cfRule type="expression" dxfId="665" priority="401">
      <formula>AND(IF(OR($Q59=1,$Q59=2),1,0),IF($X59&lt;=20,1,0))</formula>
    </cfRule>
    <cfRule type="expression" dxfId="664" priority="402">
      <formula>AND(IF($Q59=2,1,0),IF($X59&lt;30,1,0))</formula>
    </cfRule>
    <cfRule type="expression" dxfId="663" priority="403">
      <formula>AND(IF($Q59=3,1,0),IF($X59&lt;30,1,0))</formula>
    </cfRule>
    <cfRule type="expression" dxfId="662" priority="404">
      <formula>AND(IF($Q59=3,1,IF($Q59=4,1,0)),IF($F59&lt;=85,1,0))</formula>
    </cfRule>
  </conditionalFormatting>
  <conditionalFormatting sqref="AI59">
    <cfRule type="expression" dxfId="661" priority="397">
      <formula>AND(IF(OR($Q59=1,$Q59=2),1,0),IF($X59&lt;=20,1,0))</formula>
    </cfRule>
    <cfRule type="expression" dxfId="660" priority="398">
      <formula>AND(IF($Q59=2,1,0),IF($X59&lt;30,1,0))</formula>
    </cfRule>
    <cfRule type="expression" dxfId="659" priority="399">
      <formula>AND(IF($Q59=3,1,0),IF($X59&lt;30,1,0))</formula>
    </cfRule>
    <cfRule type="expression" dxfId="658" priority="400">
      <formula>AND(IF($Q59=3,1,IF($Q59=4,1,0)),IF($F59&lt;=85,1,0))</formula>
    </cfRule>
  </conditionalFormatting>
  <conditionalFormatting sqref="AV60">
    <cfRule type="expression" dxfId="657" priority="395">
      <formula>AV60="X"</formula>
    </cfRule>
    <cfRule type="expression" dxfId="656" priority="396">
      <formula>AV60="후보"</formula>
    </cfRule>
  </conditionalFormatting>
  <conditionalFormatting sqref="AC60 N60">
    <cfRule type="cellIs" dxfId="655" priority="392" operator="greaterThan">
      <formula>0.9</formula>
    </cfRule>
    <cfRule type="cellIs" dxfId="654" priority="393" operator="greaterThan">
      <formula>0.85</formula>
    </cfRule>
  </conditionalFormatting>
  <conditionalFormatting sqref="AV61">
    <cfRule type="expression" dxfId="653" priority="390">
      <formula>AV61="X"</formula>
    </cfRule>
    <cfRule type="expression" dxfId="652" priority="391">
      <formula>AV61="후보"</formula>
    </cfRule>
  </conditionalFormatting>
  <conditionalFormatting sqref="AC61">
    <cfRule type="cellIs" dxfId="651" priority="387" operator="greaterThan">
      <formula>0.9</formula>
    </cfRule>
    <cfRule type="cellIs" dxfId="650" priority="388" operator="greaterThan">
      <formula>0.85</formula>
    </cfRule>
  </conditionalFormatting>
  <conditionalFormatting sqref="N61">
    <cfRule type="cellIs" dxfId="649" priority="385" operator="greaterThan">
      <formula>0.9</formula>
    </cfRule>
    <cfRule type="cellIs" dxfId="648" priority="386" operator="greaterThan">
      <formula>0.85</formula>
    </cfRule>
  </conditionalFormatting>
  <conditionalFormatting sqref="E61">
    <cfRule type="expression" dxfId="647" priority="381">
      <formula>AND(IF(OR($Q61=1,$Q61=2),1,0),IF($X61&lt;=20,1,0))</formula>
    </cfRule>
    <cfRule type="expression" dxfId="646" priority="382">
      <formula>AND(IF($Q61=2,1,0),IF($X61&lt;30,1,0))</formula>
    </cfRule>
    <cfRule type="expression" dxfId="645" priority="383">
      <formula>AND(IF($Q61=3,1,0),IF($X61&lt;30,1,0))</formula>
    </cfRule>
    <cfRule type="expression" dxfId="644" priority="384">
      <formula>AND(IF($Q61=3,1,IF($Q61=4,1,0)),IF($F61&lt;=85,1,0))</formula>
    </cfRule>
  </conditionalFormatting>
  <conditionalFormatting sqref="X61">
    <cfRule type="expression" dxfId="643" priority="377">
      <formula>AND(IF(OR($Q61=1,$Q61=2),1,0),IF($X61&lt;=20,1,0))</formula>
    </cfRule>
    <cfRule type="expression" dxfId="642" priority="378">
      <formula>AND(IF($Q61=2,1,0),IF($X61&lt;30,1,0))</formula>
    </cfRule>
    <cfRule type="expression" dxfId="641" priority="379">
      <formula>AND(IF($Q61=3,1,0),IF($X61&lt;30,1,0))</formula>
    </cfRule>
    <cfRule type="expression" dxfId="640" priority="380">
      <formula>AND(IF($Q61=3,1,IF($Q61=4,1,0)),IF($F61&lt;=85,1,0))</formula>
    </cfRule>
  </conditionalFormatting>
  <conditionalFormatting sqref="AI61">
    <cfRule type="expression" dxfId="639" priority="373">
      <formula>AND(IF(OR($Q61=1,$Q61=2),1,0),IF($X61&lt;=20,1,0))</formula>
    </cfRule>
    <cfRule type="expression" dxfId="638" priority="374">
      <formula>AND(IF($Q61=2,1,0),IF($X61&lt;30,1,0))</formula>
    </cfRule>
    <cfRule type="expression" dxfId="637" priority="375">
      <formula>AND(IF($Q61=3,1,0),IF($X61&lt;30,1,0))</formula>
    </cfRule>
    <cfRule type="expression" dxfId="636" priority="376">
      <formula>AND(IF($Q61=3,1,IF($Q61=4,1,0)),IF($F61&lt;=85,1,0))</formula>
    </cfRule>
  </conditionalFormatting>
  <conditionalFormatting sqref="AV62">
    <cfRule type="expression" dxfId="635" priority="371">
      <formula>AV62="X"</formula>
    </cfRule>
    <cfRule type="expression" dxfId="634" priority="372">
      <formula>AV62="후보"</formula>
    </cfRule>
  </conditionalFormatting>
  <conditionalFormatting sqref="AC62">
    <cfRule type="cellIs" dxfId="633" priority="368" operator="greaterThan">
      <formula>0.9</formula>
    </cfRule>
    <cfRule type="cellIs" dxfId="632" priority="369" operator="greaterThan">
      <formula>0.85</formula>
    </cfRule>
  </conditionalFormatting>
  <conditionalFormatting sqref="N62">
    <cfRule type="cellIs" dxfId="631" priority="366" operator="greaterThan">
      <formula>0.9</formula>
    </cfRule>
    <cfRule type="cellIs" dxfId="630" priority="367" operator="greaterThan">
      <formula>0.85</formula>
    </cfRule>
  </conditionalFormatting>
  <conditionalFormatting sqref="E62">
    <cfRule type="expression" dxfId="629" priority="362">
      <formula>AND(IF(OR($Q62=1,$Q62=2),1,0),IF($X62&lt;=20,1,0))</formula>
    </cfRule>
    <cfRule type="expression" dxfId="628" priority="363">
      <formula>AND(IF($Q62=2,1,0),IF($X62&lt;30,1,0))</formula>
    </cfRule>
    <cfRule type="expression" dxfId="627" priority="364">
      <formula>AND(IF($Q62=3,1,0),IF($X62&lt;30,1,0))</formula>
    </cfRule>
    <cfRule type="expression" dxfId="626" priority="365">
      <formula>AND(IF($Q62=3,1,IF($Q62=4,1,0)),IF($F62&lt;=85,1,0))</formula>
    </cfRule>
  </conditionalFormatting>
  <conditionalFormatting sqref="X62">
    <cfRule type="expression" dxfId="625" priority="358">
      <formula>AND(IF(OR($Q62=1,$Q62=2),1,0),IF($X62&lt;=20,1,0))</formula>
    </cfRule>
    <cfRule type="expression" dxfId="624" priority="359">
      <formula>AND(IF($Q62=2,1,0),IF($X62&lt;30,1,0))</formula>
    </cfRule>
    <cfRule type="expression" dxfId="623" priority="360">
      <formula>AND(IF($Q62=3,1,0),IF($X62&lt;30,1,0))</formula>
    </cfRule>
    <cfRule type="expression" dxfId="622" priority="361">
      <formula>AND(IF($Q62=3,1,IF($Q62=4,1,0)),IF($F62&lt;=85,1,0))</formula>
    </cfRule>
  </conditionalFormatting>
  <conditionalFormatting sqref="AI62">
    <cfRule type="expression" dxfId="621" priority="354">
      <formula>AND(IF(OR($Q62=1,$Q62=2),1,0),IF($X62&lt;=20,1,0))</formula>
    </cfRule>
    <cfRule type="expression" dxfId="620" priority="355">
      <formula>AND(IF($Q62=2,1,0),IF($X62&lt;30,1,0))</formula>
    </cfRule>
    <cfRule type="expression" dxfId="619" priority="356">
      <formula>AND(IF($Q62=3,1,0),IF($X62&lt;30,1,0))</formula>
    </cfRule>
    <cfRule type="expression" dxfId="618" priority="357">
      <formula>AND(IF($Q62=3,1,IF($Q62=4,1,0)),IF($F62&lt;=85,1,0))</formula>
    </cfRule>
  </conditionalFormatting>
  <conditionalFormatting sqref="AV63">
    <cfRule type="expression" dxfId="617" priority="352">
      <formula>AV63="X"</formula>
    </cfRule>
    <cfRule type="expression" dxfId="616" priority="353">
      <formula>AV63="후보"</formula>
    </cfRule>
  </conditionalFormatting>
  <conditionalFormatting sqref="AC63">
    <cfRule type="cellIs" dxfId="615" priority="349" operator="greaterThan">
      <formula>0.9</formula>
    </cfRule>
    <cfRule type="cellIs" dxfId="614" priority="350" operator="greaterThan">
      <formula>0.85</formula>
    </cfRule>
  </conditionalFormatting>
  <conditionalFormatting sqref="N63">
    <cfRule type="cellIs" dxfId="613" priority="347" operator="greaterThan">
      <formula>0.9</formula>
    </cfRule>
    <cfRule type="cellIs" dxfId="612" priority="348" operator="greaterThan">
      <formula>0.85</formula>
    </cfRule>
  </conditionalFormatting>
  <conditionalFormatting sqref="E63">
    <cfRule type="expression" dxfId="611" priority="343">
      <formula>AND(IF(OR($Q63=1,$Q63=2),1,0),IF($X63&lt;=20,1,0))</formula>
    </cfRule>
    <cfRule type="expression" dxfId="610" priority="344">
      <formula>AND(IF($Q63=2,1,0),IF($X63&lt;30,1,0))</formula>
    </cfRule>
    <cfRule type="expression" dxfId="609" priority="345">
      <formula>AND(IF($Q63=3,1,0),IF($X63&lt;30,1,0))</formula>
    </cfRule>
    <cfRule type="expression" dxfId="608" priority="346">
      <formula>AND(IF($Q63=3,1,IF($Q63=4,1,0)),IF($F63&lt;=85,1,0))</formula>
    </cfRule>
  </conditionalFormatting>
  <conditionalFormatting sqref="X63">
    <cfRule type="expression" dxfId="607" priority="339">
      <formula>AND(IF(OR($Q63=1,$Q63=2),1,0),IF($X63&lt;=20,1,0))</formula>
    </cfRule>
    <cfRule type="expression" dxfId="606" priority="340">
      <formula>AND(IF($Q63=2,1,0),IF($X63&lt;30,1,0))</formula>
    </cfRule>
    <cfRule type="expression" dxfId="605" priority="341">
      <formula>AND(IF($Q63=3,1,0),IF($X63&lt;30,1,0))</formula>
    </cfRule>
    <cfRule type="expression" dxfId="604" priority="342">
      <formula>AND(IF($Q63=3,1,IF($Q63=4,1,0)),IF($F63&lt;=85,1,0))</formula>
    </cfRule>
  </conditionalFormatting>
  <conditionalFormatting sqref="AI63">
    <cfRule type="expression" dxfId="603" priority="335">
      <formula>AND(IF(OR($Q63=1,$Q63=2),1,0),IF($X63&lt;=20,1,0))</formula>
    </cfRule>
    <cfRule type="expression" dxfId="602" priority="336">
      <formula>AND(IF($Q63=2,1,0),IF($X63&lt;30,1,0))</formula>
    </cfRule>
    <cfRule type="expression" dxfId="601" priority="337">
      <formula>AND(IF($Q63=3,1,0),IF($X63&lt;30,1,0))</formula>
    </cfRule>
    <cfRule type="expression" dxfId="600" priority="338">
      <formula>AND(IF($Q63=3,1,IF($Q63=4,1,0)),IF($F63&lt;=85,1,0))</formula>
    </cfRule>
  </conditionalFormatting>
  <conditionalFormatting sqref="AV64">
    <cfRule type="expression" dxfId="599" priority="333">
      <formula>AV64="X"</formula>
    </cfRule>
    <cfRule type="expression" dxfId="598" priority="334">
      <formula>AV64="후보"</formula>
    </cfRule>
  </conditionalFormatting>
  <conditionalFormatting sqref="AC64">
    <cfRule type="cellIs" dxfId="597" priority="330" operator="greaterThan">
      <formula>0.9</formula>
    </cfRule>
    <cfRule type="cellIs" dxfId="596" priority="331" operator="greaterThan">
      <formula>0.85</formula>
    </cfRule>
  </conditionalFormatting>
  <conditionalFormatting sqref="N64">
    <cfRule type="cellIs" dxfId="595" priority="328" operator="greaterThan">
      <formula>0.9</formula>
    </cfRule>
    <cfRule type="cellIs" dxfId="594" priority="329" operator="greaterThan">
      <formula>0.85</formula>
    </cfRule>
  </conditionalFormatting>
  <conditionalFormatting sqref="E64">
    <cfRule type="expression" dxfId="593" priority="324">
      <formula>AND(IF(OR($Q64=1,$Q64=2),1,0),IF($X64&lt;=20,1,0))</formula>
    </cfRule>
    <cfRule type="expression" dxfId="592" priority="325">
      <formula>AND(IF($Q64=2,1,0),IF($X64&lt;30,1,0))</formula>
    </cfRule>
    <cfRule type="expression" dxfId="591" priority="326">
      <formula>AND(IF($Q64=3,1,0),IF($X64&lt;30,1,0))</formula>
    </cfRule>
    <cfRule type="expression" dxfId="590" priority="327">
      <formula>AND(IF($Q64=3,1,IF($Q64=4,1,0)),IF($F64&lt;=85,1,0))</formula>
    </cfRule>
  </conditionalFormatting>
  <conditionalFormatting sqref="X64">
    <cfRule type="expression" dxfId="589" priority="320">
      <formula>AND(IF(OR($Q64=1,$Q64=2),1,0),IF($X64&lt;=20,1,0))</formula>
    </cfRule>
    <cfRule type="expression" dxfId="588" priority="321">
      <formula>AND(IF($Q64=2,1,0),IF($X64&lt;30,1,0))</formula>
    </cfRule>
    <cfRule type="expression" dxfId="587" priority="322">
      <formula>AND(IF($Q64=3,1,0),IF($X64&lt;30,1,0))</formula>
    </cfRule>
    <cfRule type="expression" dxfId="586" priority="323">
      <formula>AND(IF($Q64=3,1,IF($Q64=4,1,0)),IF($F64&lt;=85,1,0))</formula>
    </cfRule>
  </conditionalFormatting>
  <conditionalFormatting sqref="AI64">
    <cfRule type="expression" dxfId="585" priority="316">
      <formula>AND(IF(OR($Q64=1,$Q64=2),1,0),IF($X64&lt;=20,1,0))</formula>
    </cfRule>
    <cfRule type="expression" dxfId="584" priority="317">
      <formula>AND(IF($Q64=2,1,0),IF($X64&lt;30,1,0))</formula>
    </cfRule>
    <cfRule type="expression" dxfId="583" priority="318">
      <formula>AND(IF($Q64=3,1,0),IF($X64&lt;30,1,0))</formula>
    </cfRule>
    <cfRule type="expression" dxfId="582" priority="319">
      <formula>AND(IF($Q64=3,1,IF($Q64=4,1,0)),IF($F64&lt;=85,1,0))</formula>
    </cfRule>
  </conditionalFormatting>
  <conditionalFormatting sqref="AV65">
    <cfRule type="expression" dxfId="581" priority="314">
      <formula>AV65="X"</formula>
    </cfRule>
    <cfRule type="expression" dxfId="580" priority="315">
      <formula>AV65="후보"</formula>
    </cfRule>
  </conditionalFormatting>
  <conditionalFormatting sqref="AC65 N65">
    <cfRule type="cellIs" dxfId="579" priority="311" operator="greaterThan">
      <formula>0.9</formula>
    </cfRule>
    <cfRule type="cellIs" dxfId="578" priority="312" operator="greaterThan">
      <formula>0.85</formula>
    </cfRule>
  </conditionalFormatting>
  <conditionalFormatting sqref="AV66">
    <cfRule type="expression" dxfId="577" priority="309">
      <formula>AV66="X"</formula>
    </cfRule>
    <cfRule type="expression" dxfId="576" priority="310">
      <formula>AV66="후보"</formula>
    </cfRule>
  </conditionalFormatting>
  <conditionalFormatting sqref="AC66">
    <cfRule type="cellIs" dxfId="575" priority="306" operator="greaterThan">
      <formula>0.9</formula>
    </cfRule>
    <cfRule type="cellIs" dxfId="574" priority="307" operator="greaterThan">
      <formula>0.85</formula>
    </cfRule>
  </conditionalFormatting>
  <conditionalFormatting sqref="N66">
    <cfRule type="cellIs" dxfId="573" priority="304" operator="greaterThan">
      <formula>0.9</formula>
    </cfRule>
    <cfRule type="cellIs" dxfId="572" priority="305" operator="greaterThan">
      <formula>0.85</formula>
    </cfRule>
  </conditionalFormatting>
  <conditionalFormatting sqref="E66">
    <cfRule type="expression" dxfId="571" priority="300">
      <formula>AND(IF(OR($Q66=1,$Q66=2),1,0),IF($X66&lt;=20,1,0))</formula>
    </cfRule>
    <cfRule type="expression" dxfId="570" priority="301">
      <formula>AND(IF($Q66=2,1,0),IF($X66&lt;30,1,0))</formula>
    </cfRule>
    <cfRule type="expression" dxfId="569" priority="302">
      <formula>AND(IF($Q66=3,1,0),IF($X66&lt;30,1,0))</formula>
    </cfRule>
    <cfRule type="expression" dxfId="568" priority="303">
      <formula>AND(IF($Q66=3,1,IF($Q66=4,1,0)),IF($F66&lt;=85,1,0))</formula>
    </cfRule>
  </conditionalFormatting>
  <conditionalFormatting sqref="X66">
    <cfRule type="expression" dxfId="567" priority="296">
      <formula>AND(IF(OR($Q66=1,$Q66=2),1,0),IF($X66&lt;=20,1,0))</formula>
    </cfRule>
    <cfRule type="expression" dxfId="566" priority="297">
      <formula>AND(IF($Q66=2,1,0),IF($X66&lt;30,1,0))</formula>
    </cfRule>
    <cfRule type="expression" dxfId="565" priority="298">
      <formula>AND(IF($Q66=3,1,0),IF($X66&lt;30,1,0))</formula>
    </cfRule>
    <cfRule type="expression" dxfId="564" priority="299">
      <formula>AND(IF($Q66=3,1,IF($Q66=4,1,0)),IF($F66&lt;=85,1,0))</formula>
    </cfRule>
  </conditionalFormatting>
  <conditionalFormatting sqref="AI66">
    <cfRule type="expression" dxfId="563" priority="292">
      <formula>AND(IF(OR($Q66=1,$Q66=2),1,0),IF($X66&lt;=20,1,0))</formula>
    </cfRule>
    <cfRule type="expression" dxfId="562" priority="293">
      <formula>AND(IF($Q66=2,1,0),IF($X66&lt;30,1,0))</formula>
    </cfRule>
    <cfRule type="expression" dxfId="561" priority="294">
      <formula>AND(IF($Q66=3,1,0),IF($X66&lt;30,1,0))</formula>
    </cfRule>
    <cfRule type="expression" dxfId="560" priority="295">
      <formula>AND(IF($Q66=3,1,IF($Q66=4,1,0)),IF($F66&lt;=85,1,0))</formula>
    </cfRule>
  </conditionalFormatting>
  <conditionalFormatting sqref="AV67">
    <cfRule type="expression" dxfId="559" priority="290">
      <formula>AV67="X"</formula>
    </cfRule>
    <cfRule type="expression" dxfId="558" priority="291">
      <formula>AV67="후보"</formula>
    </cfRule>
  </conditionalFormatting>
  <conditionalFormatting sqref="AC67">
    <cfRule type="cellIs" dxfId="557" priority="287" operator="greaterThan">
      <formula>0.9</formula>
    </cfRule>
    <cfRule type="cellIs" dxfId="556" priority="288" operator="greaterThan">
      <formula>0.85</formula>
    </cfRule>
  </conditionalFormatting>
  <conditionalFormatting sqref="N67">
    <cfRule type="cellIs" dxfId="555" priority="285" operator="greaterThan">
      <formula>0.9</formula>
    </cfRule>
    <cfRule type="cellIs" dxfId="554" priority="286" operator="greaterThan">
      <formula>0.85</formula>
    </cfRule>
  </conditionalFormatting>
  <conditionalFormatting sqref="E67">
    <cfRule type="expression" dxfId="553" priority="281">
      <formula>AND(IF(OR($Q67=1,$Q67=2),1,0),IF($X67&lt;=20,1,0))</formula>
    </cfRule>
    <cfRule type="expression" dxfId="552" priority="282">
      <formula>AND(IF($Q67=2,1,0),IF($X67&lt;30,1,0))</formula>
    </cfRule>
    <cfRule type="expression" dxfId="551" priority="283">
      <formula>AND(IF($Q67=3,1,0),IF($X67&lt;30,1,0))</formula>
    </cfRule>
    <cfRule type="expression" dxfId="550" priority="284">
      <formula>AND(IF($Q67=3,1,IF($Q67=4,1,0)),IF($F67&lt;=85,1,0))</formula>
    </cfRule>
  </conditionalFormatting>
  <conditionalFormatting sqref="X67">
    <cfRule type="expression" dxfId="549" priority="277">
      <formula>AND(IF(OR($Q67=1,$Q67=2),1,0),IF($X67&lt;=20,1,0))</formula>
    </cfRule>
    <cfRule type="expression" dxfId="548" priority="278">
      <formula>AND(IF($Q67=2,1,0),IF($X67&lt;30,1,0))</formula>
    </cfRule>
    <cfRule type="expression" dxfId="547" priority="279">
      <formula>AND(IF($Q67=3,1,0),IF($X67&lt;30,1,0))</formula>
    </cfRule>
    <cfRule type="expression" dxfId="546" priority="280">
      <formula>AND(IF($Q67=3,1,IF($Q67=4,1,0)),IF($F67&lt;=85,1,0))</formula>
    </cfRule>
  </conditionalFormatting>
  <conditionalFormatting sqref="AI67">
    <cfRule type="expression" dxfId="545" priority="273">
      <formula>AND(IF(OR($Q67=1,$Q67=2),1,0),IF($X67&lt;=20,1,0))</formula>
    </cfRule>
    <cfRule type="expression" dxfId="544" priority="274">
      <formula>AND(IF($Q67=2,1,0),IF($X67&lt;30,1,0))</formula>
    </cfRule>
    <cfRule type="expression" dxfId="543" priority="275">
      <formula>AND(IF($Q67=3,1,0),IF($X67&lt;30,1,0))</formula>
    </cfRule>
    <cfRule type="expression" dxfId="542" priority="276">
      <formula>AND(IF($Q67=3,1,IF($Q67=4,1,0)),IF($F67&lt;=85,1,0))</formula>
    </cfRule>
  </conditionalFormatting>
  <conditionalFormatting sqref="AV68">
    <cfRule type="expression" dxfId="541" priority="271">
      <formula>AV68="X"</formula>
    </cfRule>
    <cfRule type="expression" dxfId="540" priority="272">
      <formula>AV68="후보"</formula>
    </cfRule>
  </conditionalFormatting>
  <conditionalFormatting sqref="AC68 N68">
    <cfRule type="cellIs" dxfId="539" priority="268" operator="greaterThan">
      <formula>0.9</formula>
    </cfRule>
    <cfRule type="cellIs" dxfId="538" priority="269" operator="greaterThan">
      <formula>0.85</formula>
    </cfRule>
  </conditionalFormatting>
  <conditionalFormatting sqref="AV69">
    <cfRule type="expression" dxfId="537" priority="266">
      <formula>AV69="X"</formula>
    </cfRule>
    <cfRule type="expression" dxfId="536" priority="267">
      <formula>AV69="후보"</formula>
    </cfRule>
  </conditionalFormatting>
  <conditionalFormatting sqref="AC69">
    <cfRule type="cellIs" dxfId="535" priority="263" operator="greaterThan">
      <formula>0.9</formula>
    </cfRule>
    <cfRule type="cellIs" dxfId="534" priority="264" operator="greaterThan">
      <formula>0.85</formula>
    </cfRule>
  </conditionalFormatting>
  <conditionalFormatting sqref="N69">
    <cfRule type="cellIs" dxfId="533" priority="261" operator="greaterThan">
      <formula>0.9</formula>
    </cfRule>
    <cfRule type="cellIs" dxfId="532" priority="262" operator="greaterThan">
      <formula>0.85</formula>
    </cfRule>
  </conditionalFormatting>
  <conditionalFormatting sqref="E69">
    <cfRule type="expression" dxfId="531" priority="257">
      <formula>AND(IF(OR($Q69=1,$Q69=2),1,0),IF($X69&lt;=20,1,0))</formula>
    </cfRule>
    <cfRule type="expression" dxfId="530" priority="258">
      <formula>AND(IF($Q69=2,1,0),IF($X69&lt;30,1,0))</formula>
    </cfRule>
    <cfRule type="expression" dxfId="529" priority="259">
      <formula>AND(IF($Q69=3,1,0),IF($X69&lt;30,1,0))</formula>
    </cfRule>
    <cfRule type="expression" dxfId="528" priority="260">
      <formula>AND(IF($Q69=3,1,IF($Q69=4,1,0)),IF($F69&lt;=85,1,0))</formula>
    </cfRule>
  </conditionalFormatting>
  <conditionalFormatting sqref="X69">
    <cfRule type="expression" dxfId="527" priority="253">
      <formula>AND(IF(OR($Q69=1,$Q69=2),1,0),IF($X69&lt;=20,1,0))</formula>
    </cfRule>
    <cfRule type="expression" dxfId="526" priority="254">
      <formula>AND(IF($Q69=2,1,0),IF($X69&lt;30,1,0))</formula>
    </cfRule>
    <cfRule type="expression" dxfId="525" priority="255">
      <formula>AND(IF($Q69=3,1,0),IF($X69&lt;30,1,0))</formula>
    </cfRule>
    <cfRule type="expression" dxfId="524" priority="256">
      <formula>AND(IF($Q69=3,1,IF($Q69=4,1,0)),IF($F69&lt;=85,1,0))</formula>
    </cfRule>
  </conditionalFormatting>
  <conditionalFormatting sqref="AI69">
    <cfRule type="expression" dxfId="523" priority="249">
      <formula>AND(IF(OR($Q69=1,$Q69=2),1,0),IF($X69&lt;=20,1,0))</formula>
    </cfRule>
    <cfRule type="expression" dxfId="522" priority="250">
      <formula>AND(IF($Q69=2,1,0),IF($X69&lt;30,1,0))</formula>
    </cfRule>
    <cfRule type="expression" dxfId="521" priority="251">
      <formula>AND(IF($Q69=3,1,0),IF($X69&lt;30,1,0))</formula>
    </cfRule>
    <cfRule type="expression" dxfId="520" priority="252">
      <formula>AND(IF($Q69=3,1,IF($Q69=4,1,0)),IF($F69&lt;=85,1,0))</formula>
    </cfRule>
  </conditionalFormatting>
  <conditionalFormatting sqref="AV70">
    <cfRule type="expression" dxfId="519" priority="247">
      <formula>AV70="X"</formula>
    </cfRule>
    <cfRule type="expression" dxfId="518" priority="248">
      <formula>AV70="후보"</formula>
    </cfRule>
  </conditionalFormatting>
  <conditionalFormatting sqref="AC70">
    <cfRule type="cellIs" dxfId="517" priority="244" operator="greaterThan">
      <formula>0.9</formula>
    </cfRule>
    <cfRule type="cellIs" dxfId="516" priority="245" operator="greaterThan">
      <formula>0.85</formula>
    </cfRule>
  </conditionalFormatting>
  <conditionalFormatting sqref="N70">
    <cfRule type="cellIs" dxfId="515" priority="242" operator="greaterThan">
      <formula>0.9</formula>
    </cfRule>
    <cfRule type="cellIs" dxfId="514" priority="243" operator="greaterThan">
      <formula>0.85</formula>
    </cfRule>
  </conditionalFormatting>
  <conditionalFormatting sqref="E70">
    <cfRule type="expression" dxfId="513" priority="238">
      <formula>AND(IF(OR($Q70=1,$Q70=2),1,0),IF($X70&lt;=20,1,0))</formula>
    </cfRule>
    <cfRule type="expression" dxfId="512" priority="239">
      <formula>AND(IF($Q70=2,1,0),IF($X70&lt;30,1,0))</formula>
    </cfRule>
    <cfRule type="expression" dxfId="511" priority="240">
      <formula>AND(IF($Q70=3,1,0),IF($X70&lt;30,1,0))</formula>
    </cfRule>
    <cfRule type="expression" dxfId="510" priority="241">
      <formula>AND(IF($Q70=3,1,IF($Q70=4,1,0)),IF($F70&lt;=85,1,0))</formula>
    </cfRule>
  </conditionalFormatting>
  <conditionalFormatting sqref="X70">
    <cfRule type="expression" dxfId="509" priority="234">
      <formula>AND(IF(OR($Q70=1,$Q70=2),1,0),IF($X70&lt;=20,1,0))</formula>
    </cfRule>
    <cfRule type="expression" dxfId="508" priority="235">
      <formula>AND(IF($Q70=2,1,0),IF($X70&lt;30,1,0))</formula>
    </cfRule>
    <cfRule type="expression" dxfId="507" priority="236">
      <formula>AND(IF($Q70=3,1,0),IF($X70&lt;30,1,0))</formula>
    </cfRule>
    <cfRule type="expression" dxfId="506" priority="237">
      <formula>AND(IF($Q70=3,1,IF($Q70=4,1,0)),IF($F70&lt;=85,1,0))</formula>
    </cfRule>
  </conditionalFormatting>
  <conditionalFormatting sqref="AI70">
    <cfRule type="expression" dxfId="505" priority="230">
      <formula>AND(IF(OR($Q70=1,$Q70=2),1,0),IF($X70&lt;=20,1,0))</formula>
    </cfRule>
    <cfRule type="expression" dxfId="504" priority="231">
      <formula>AND(IF($Q70=2,1,0),IF($X70&lt;30,1,0))</formula>
    </cfRule>
    <cfRule type="expression" dxfId="503" priority="232">
      <formula>AND(IF($Q70=3,1,0),IF($X70&lt;30,1,0))</formula>
    </cfRule>
    <cfRule type="expression" dxfId="502" priority="233">
      <formula>AND(IF($Q70=3,1,IF($Q70=4,1,0)),IF($F70&lt;=85,1,0))</formula>
    </cfRule>
  </conditionalFormatting>
  <conditionalFormatting sqref="AV71">
    <cfRule type="expression" dxfId="501" priority="228">
      <formula>AV71="X"</formula>
    </cfRule>
    <cfRule type="expression" dxfId="500" priority="229">
      <formula>AV71="후보"</formula>
    </cfRule>
  </conditionalFormatting>
  <conditionalFormatting sqref="AC71">
    <cfRule type="cellIs" dxfId="499" priority="225" operator="greaterThan">
      <formula>0.9</formula>
    </cfRule>
    <cfRule type="cellIs" dxfId="498" priority="226" operator="greaterThan">
      <formula>0.85</formula>
    </cfRule>
  </conditionalFormatting>
  <conditionalFormatting sqref="N71">
    <cfRule type="cellIs" dxfId="497" priority="223" operator="greaterThan">
      <formula>0.9</formula>
    </cfRule>
    <cfRule type="cellIs" dxfId="496" priority="224" operator="greaterThan">
      <formula>0.85</formula>
    </cfRule>
  </conditionalFormatting>
  <conditionalFormatting sqref="E71">
    <cfRule type="expression" dxfId="495" priority="219">
      <formula>AND(IF(OR($Q71=1,$Q71=2),1,0),IF($X71&lt;=20,1,0))</formula>
    </cfRule>
    <cfRule type="expression" dxfId="494" priority="220">
      <formula>AND(IF($Q71=2,1,0),IF($X71&lt;30,1,0))</formula>
    </cfRule>
    <cfRule type="expression" dxfId="493" priority="221">
      <formula>AND(IF($Q71=3,1,0),IF($X71&lt;30,1,0))</formula>
    </cfRule>
    <cfRule type="expression" dxfId="492" priority="222">
      <formula>AND(IF($Q71=3,1,IF($Q71=4,1,0)),IF($F71&lt;=85,1,0))</formula>
    </cfRule>
  </conditionalFormatting>
  <conditionalFormatting sqref="X71">
    <cfRule type="expression" dxfId="491" priority="215">
      <formula>AND(IF(OR($Q71=1,$Q71=2),1,0),IF($X71&lt;=20,1,0))</formula>
    </cfRule>
    <cfRule type="expression" dxfId="490" priority="216">
      <formula>AND(IF($Q71=2,1,0),IF($X71&lt;30,1,0))</formula>
    </cfRule>
    <cfRule type="expression" dxfId="489" priority="217">
      <formula>AND(IF($Q71=3,1,0),IF($X71&lt;30,1,0))</formula>
    </cfRule>
    <cfRule type="expression" dxfId="488" priority="218">
      <formula>AND(IF($Q71=3,1,IF($Q71=4,1,0)),IF($F71&lt;=85,1,0))</formula>
    </cfRule>
  </conditionalFormatting>
  <conditionalFormatting sqref="AI71">
    <cfRule type="expression" dxfId="487" priority="211">
      <formula>AND(IF(OR($Q71=1,$Q71=2),1,0),IF($X71&lt;=20,1,0))</formula>
    </cfRule>
    <cfRule type="expression" dxfId="486" priority="212">
      <formula>AND(IF($Q71=2,1,0),IF($X71&lt;30,1,0))</formula>
    </cfRule>
    <cfRule type="expression" dxfId="485" priority="213">
      <formula>AND(IF($Q71=3,1,0),IF($X71&lt;30,1,0))</formula>
    </cfRule>
    <cfRule type="expression" dxfId="484" priority="214">
      <formula>AND(IF($Q71=3,1,IF($Q71=4,1,0)),IF($F71&lt;=85,1,0))</formula>
    </cfRule>
  </conditionalFormatting>
  <conditionalFormatting sqref="AV72">
    <cfRule type="expression" dxfId="483" priority="209">
      <formula>AV72="X"</formula>
    </cfRule>
    <cfRule type="expression" dxfId="482" priority="210">
      <formula>AV72="후보"</formula>
    </cfRule>
  </conditionalFormatting>
  <conditionalFormatting sqref="AC72">
    <cfRule type="cellIs" dxfId="481" priority="206" operator="greaterThan">
      <formula>0.9</formula>
    </cfRule>
    <cfRule type="cellIs" dxfId="480" priority="207" operator="greaterThan">
      <formula>0.85</formula>
    </cfRule>
  </conditionalFormatting>
  <conditionalFormatting sqref="N72">
    <cfRule type="cellIs" dxfId="479" priority="204" operator="greaterThan">
      <formula>0.9</formula>
    </cfRule>
    <cfRule type="cellIs" dxfId="478" priority="205" operator="greaterThan">
      <formula>0.85</formula>
    </cfRule>
  </conditionalFormatting>
  <conditionalFormatting sqref="E72">
    <cfRule type="expression" dxfId="477" priority="200">
      <formula>AND(IF(OR($Q72=1,$Q72=2),1,0),IF($X72&lt;=20,1,0))</formula>
    </cfRule>
    <cfRule type="expression" dxfId="476" priority="201">
      <formula>AND(IF($Q72=2,1,0),IF($X72&lt;30,1,0))</formula>
    </cfRule>
    <cfRule type="expression" dxfId="475" priority="202">
      <formula>AND(IF($Q72=3,1,0),IF($X72&lt;30,1,0))</formula>
    </cfRule>
    <cfRule type="expression" dxfId="474" priority="203">
      <formula>AND(IF($Q72=3,1,IF($Q72=4,1,0)),IF($F72&lt;=85,1,0))</formula>
    </cfRule>
  </conditionalFormatting>
  <conditionalFormatting sqref="X72">
    <cfRule type="expression" dxfId="473" priority="196">
      <formula>AND(IF(OR($Q72=1,$Q72=2),1,0),IF($X72&lt;=20,1,0))</formula>
    </cfRule>
    <cfRule type="expression" dxfId="472" priority="197">
      <formula>AND(IF($Q72=2,1,0),IF($X72&lt;30,1,0))</formula>
    </cfRule>
    <cfRule type="expression" dxfId="471" priority="198">
      <formula>AND(IF($Q72=3,1,0),IF($X72&lt;30,1,0))</formula>
    </cfRule>
    <cfRule type="expression" dxfId="470" priority="199">
      <formula>AND(IF($Q72=3,1,IF($Q72=4,1,0)),IF($F72&lt;=85,1,0))</formula>
    </cfRule>
  </conditionalFormatting>
  <conditionalFormatting sqref="AI72">
    <cfRule type="expression" dxfId="469" priority="192">
      <formula>AND(IF(OR($Q72=1,$Q72=2),1,0),IF($X72&lt;=20,1,0))</formula>
    </cfRule>
    <cfRule type="expression" dxfId="468" priority="193">
      <formula>AND(IF($Q72=2,1,0),IF($X72&lt;30,1,0))</formula>
    </cfRule>
    <cfRule type="expression" dxfId="467" priority="194">
      <formula>AND(IF($Q72=3,1,0),IF($X72&lt;30,1,0))</formula>
    </cfRule>
    <cfRule type="expression" dxfId="466" priority="195">
      <formula>AND(IF($Q72=3,1,IF($Q72=4,1,0)),IF($F72&lt;=85,1,0))</formula>
    </cfRule>
  </conditionalFormatting>
  <conditionalFormatting sqref="AV73">
    <cfRule type="expression" dxfId="465" priority="190">
      <formula>AV73="X"</formula>
    </cfRule>
    <cfRule type="expression" dxfId="464" priority="191">
      <formula>AV73="후보"</formula>
    </cfRule>
  </conditionalFormatting>
  <conditionalFormatting sqref="AC73 N73">
    <cfRule type="cellIs" dxfId="463" priority="187" operator="greaterThan">
      <formula>0.9</formula>
    </cfRule>
    <cfRule type="cellIs" dxfId="462" priority="188" operator="greaterThan">
      <formula>0.85</formula>
    </cfRule>
  </conditionalFormatting>
  <conditionalFormatting sqref="AV74">
    <cfRule type="expression" dxfId="461" priority="185">
      <formula>AV74="X"</formula>
    </cfRule>
    <cfRule type="expression" dxfId="460" priority="186">
      <formula>AV74="후보"</formula>
    </cfRule>
  </conditionalFormatting>
  <conditionalFormatting sqref="AC74">
    <cfRule type="cellIs" dxfId="459" priority="182" operator="greaterThan">
      <formula>0.9</formula>
    </cfRule>
    <cfRule type="cellIs" dxfId="458" priority="183" operator="greaterThan">
      <formula>0.85</formula>
    </cfRule>
  </conditionalFormatting>
  <conditionalFormatting sqref="N74">
    <cfRule type="cellIs" dxfId="457" priority="180" operator="greaterThan">
      <formula>0.9</formula>
    </cfRule>
    <cfRule type="cellIs" dxfId="456" priority="181" operator="greaterThan">
      <formula>0.85</formula>
    </cfRule>
  </conditionalFormatting>
  <conditionalFormatting sqref="E74">
    <cfRule type="expression" dxfId="455" priority="176">
      <formula>AND(IF(OR($Q74=1,$Q74=2),1,0),IF($X74&lt;=20,1,0))</formula>
    </cfRule>
    <cfRule type="expression" dxfId="454" priority="177">
      <formula>AND(IF($Q74=2,1,0),IF($X74&lt;30,1,0))</formula>
    </cfRule>
    <cfRule type="expression" dxfId="453" priority="178">
      <formula>AND(IF($Q74=3,1,0),IF($X74&lt;30,1,0))</formula>
    </cfRule>
    <cfRule type="expression" dxfId="452" priority="179">
      <formula>AND(IF($Q74=3,1,IF($Q74=4,1,0)),IF($F74&lt;=85,1,0))</formula>
    </cfRule>
  </conditionalFormatting>
  <conditionalFormatting sqref="X74">
    <cfRule type="expression" dxfId="451" priority="172">
      <formula>AND(IF(OR($Q74=1,$Q74=2),1,0),IF($X74&lt;=20,1,0))</formula>
    </cfRule>
    <cfRule type="expression" dxfId="450" priority="173">
      <formula>AND(IF($Q74=2,1,0),IF($X74&lt;30,1,0))</formula>
    </cfRule>
    <cfRule type="expression" dxfId="449" priority="174">
      <formula>AND(IF($Q74=3,1,0),IF($X74&lt;30,1,0))</formula>
    </cfRule>
    <cfRule type="expression" dxfId="448" priority="175">
      <formula>AND(IF($Q74=3,1,IF($Q74=4,1,0)),IF($F74&lt;=85,1,0))</formula>
    </cfRule>
  </conditionalFormatting>
  <conditionalFormatting sqref="AI74">
    <cfRule type="expression" dxfId="447" priority="168">
      <formula>AND(IF(OR($Q74=1,$Q74=2),1,0),IF($X74&lt;=20,1,0))</formula>
    </cfRule>
    <cfRule type="expression" dxfId="446" priority="169">
      <formula>AND(IF($Q74=2,1,0),IF($X74&lt;30,1,0))</formula>
    </cfRule>
    <cfRule type="expression" dxfId="445" priority="170">
      <formula>AND(IF($Q74=3,1,0),IF($X74&lt;30,1,0))</formula>
    </cfRule>
    <cfRule type="expression" dxfId="444" priority="171">
      <formula>AND(IF($Q74=3,1,IF($Q74=4,1,0)),IF($F74&lt;=85,1,0))</formula>
    </cfRule>
  </conditionalFormatting>
  <conditionalFormatting sqref="AV75">
    <cfRule type="expression" dxfId="443" priority="166">
      <formula>AV75="X"</formula>
    </cfRule>
    <cfRule type="expression" dxfId="442" priority="167">
      <formula>AV75="후보"</formula>
    </cfRule>
  </conditionalFormatting>
  <conditionalFormatting sqref="AC75">
    <cfRule type="cellIs" dxfId="441" priority="163" operator="greaterThan">
      <formula>0.9</formula>
    </cfRule>
    <cfRule type="cellIs" dxfId="440" priority="164" operator="greaterThan">
      <formula>0.85</formula>
    </cfRule>
  </conditionalFormatting>
  <conditionalFormatting sqref="N75">
    <cfRule type="cellIs" dxfId="439" priority="161" operator="greaterThan">
      <formula>0.9</formula>
    </cfRule>
    <cfRule type="cellIs" dxfId="438" priority="162" operator="greaterThan">
      <formula>0.85</formula>
    </cfRule>
  </conditionalFormatting>
  <conditionalFormatting sqref="E75">
    <cfRule type="expression" dxfId="437" priority="157">
      <formula>AND(IF(OR($Q75=1,$Q75=2),1,0),IF($X75&lt;=20,1,0))</formula>
    </cfRule>
    <cfRule type="expression" dxfId="436" priority="158">
      <formula>AND(IF($Q75=2,1,0),IF($X75&lt;30,1,0))</formula>
    </cfRule>
    <cfRule type="expression" dxfId="435" priority="159">
      <formula>AND(IF($Q75=3,1,0),IF($X75&lt;30,1,0))</formula>
    </cfRule>
    <cfRule type="expression" dxfId="434" priority="160">
      <formula>AND(IF($Q75=3,1,IF($Q75=4,1,0)),IF($F75&lt;=85,1,0))</formula>
    </cfRule>
  </conditionalFormatting>
  <conditionalFormatting sqref="X75">
    <cfRule type="expression" dxfId="433" priority="153">
      <formula>AND(IF(OR($Q75=1,$Q75=2),1,0),IF($X75&lt;=20,1,0))</formula>
    </cfRule>
    <cfRule type="expression" dxfId="432" priority="154">
      <formula>AND(IF($Q75=2,1,0),IF($X75&lt;30,1,0))</formula>
    </cfRule>
    <cfRule type="expression" dxfId="431" priority="155">
      <formula>AND(IF($Q75=3,1,0),IF($X75&lt;30,1,0))</formula>
    </cfRule>
    <cfRule type="expression" dxfId="430" priority="156">
      <formula>AND(IF($Q75=3,1,IF($Q75=4,1,0)),IF($F75&lt;=85,1,0))</formula>
    </cfRule>
  </conditionalFormatting>
  <conditionalFormatting sqref="AI75">
    <cfRule type="expression" dxfId="429" priority="149">
      <formula>AND(IF(OR($Q75=1,$Q75=2),1,0),IF($X75&lt;=20,1,0))</formula>
    </cfRule>
    <cfRule type="expression" dxfId="428" priority="150">
      <formula>AND(IF($Q75=2,1,0),IF($X75&lt;30,1,0))</formula>
    </cfRule>
    <cfRule type="expression" dxfId="427" priority="151">
      <formula>AND(IF($Q75=3,1,0),IF($X75&lt;30,1,0))</formula>
    </cfRule>
    <cfRule type="expression" dxfId="426" priority="152">
      <formula>AND(IF($Q75=3,1,IF($Q75=4,1,0)),IF($F75&lt;=85,1,0))</formula>
    </cfRule>
  </conditionalFormatting>
  <conditionalFormatting sqref="AV76">
    <cfRule type="expression" dxfId="425" priority="147">
      <formula>AV76="X"</formula>
    </cfRule>
    <cfRule type="expression" dxfId="424" priority="148">
      <formula>AV76="후보"</formula>
    </cfRule>
  </conditionalFormatting>
  <conditionalFormatting sqref="AC76 N76">
    <cfRule type="cellIs" dxfId="423" priority="144" operator="greaterThan">
      <formula>0.9</formula>
    </cfRule>
    <cfRule type="cellIs" dxfId="422" priority="145" operator="greaterThan">
      <formula>0.85</formula>
    </cfRule>
  </conditionalFormatting>
  <conditionalFormatting sqref="AV77">
    <cfRule type="expression" dxfId="421" priority="142">
      <formula>AV77="X"</formula>
    </cfRule>
    <cfRule type="expression" dxfId="420" priority="143">
      <formula>AV77="후보"</formula>
    </cfRule>
  </conditionalFormatting>
  <conditionalFormatting sqref="AC77">
    <cfRule type="cellIs" dxfId="419" priority="139" operator="greaterThan">
      <formula>0.9</formula>
    </cfRule>
    <cfRule type="cellIs" dxfId="418" priority="140" operator="greaterThan">
      <formula>0.85</formula>
    </cfRule>
  </conditionalFormatting>
  <conditionalFormatting sqref="N77">
    <cfRule type="cellIs" dxfId="417" priority="137" operator="greaterThan">
      <formula>0.9</formula>
    </cfRule>
    <cfRule type="cellIs" dxfId="416" priority="138" operator="greaterThan">
      <formula>0.85</formula>
    </cfRule>
  </conditionalFormatting>
  <conditionalFormatting sqref="E77">
    <cfRule type="expression" dxfId="415" priority="133">
      <formula>AND(IF(OR($Q77=1,$Q77=2),1,0),IF($X77&lt;=20,1,0))</formula>
    </cfRule>
    <cfRule type="expression" dxfId="414" priority="134">
      <formula>AND(IF($Q77=2,1,0),IF($X77&lt;30,1,0))</formula>
    </cfRule>
    <cfRule type="expression" dxfId="413" priority="135">
      <formula>AND(IF($Q77=3,1,0),IF($X77&lt;30,1,0))</formula>
    </cfRule>
    <cfRule type="expression" dxfId="412" priority="136">
      <formula>AND(IF($Q77=3,1,IF($Q77=4,1,0)),IF($F77&lt;=85,1,0))</formula>
    </cfRule>
  </conditionalFormatting>
  <conditionalFormatting sqref="X77">
    <cfRule type="expression" dxfId="411" priority="129">
      <formula>AND(IF(OR($Q77=1,$Q77=2),1,0),IF($X77&lt;=20,1,0))</formula>
    </cfRule>
    <cfRule type="expression" dxfId="410" priority="130">
      <formula>AND(IF($Q77=2,1,0),IF($X77&lt;30,1,0))</formula>
    </cfRule>
    <cfRule type="expression" dxfId="409" priority="131">
      <formula>AND(IF($Q77=3,1,0),IF($X77&lt;30,1,0))</formula>
    </cfRule>
    <cfRule type="expression" dxfId="408" priority="132">
      <formula>AND(IF($Q77=3,1,IF($Q77=4,1,0)),IF($F77&lt;=85,1,0))</formula>
    </cfRule>
  </conditionalFormatting>
  <conditionalFormatting sqref="AI77">
    <cfRule type="expression" dxfId="407" priority="125">
      <formula>AND(IF(OR($Q77=1,$Q77=2),1,0),IF($X77&lt;=20,1,0))</formula>
    </cfRule>
    <cfRule type="expression" dxfId="406" priority="126">
      <formula>AND(IF($Q77=2,1,0),IF($X77&lt;30,1,0))</formula>
    </cfRule>
    <cfRule type="expression" dxfId="405" priority="127">
      <formula>AND(IF($Q77=3,1,0),IF($X77&lt;30,1,0))</formula>
    </cfRule>
    <cfRule type="expression" dxfId="404" priority="128">
      <formula>AND(IF($Q77=3,1,IF($Q77=4,1,0)),IF($F77&lt;=85,1,0))</formula>
    </cfRule>
  </conditionalFormatting>
  <conditionalFormatting sqref="AV78">
    <cfRule type="expression" dxfId="403" priority="123">
      <formula>AV78="X"</formula>
    </cfRule>
    <cfRule type="expression" dxfId="402" priority="124">
      <formula>AV78="후보"</formula>
    </cfRule>
  </conditionalFormatting>
  <conditionalFormatting sqref="AC78">
    <cfRule type="cellIs" dxfId="401" priority="120" operator="greaterThan">
      <formula>0.9</formula>
    </cfRule>
    <cfRule type="cellIs" dxfId="400" priority="121" operator="greaterThan">
      <formula>0.85</formula>
    </cfRule>
  </conditionalFormatting>
  <conditionalFormatting sqref="N78">
    <cfRule type="cellIs" dxfId="399" priority="118" operator="greaterThan">
      <formula>0.9</formula>
    </cfRule>
    <cfRule type="cellIs" dxfId="398" priority="119" operator="greaterThan">
      <formula>0.85</formula>
    </cfRule>
  </conditionalFormatting>
  <conditionalFormatting sqref="E78">
    <cfRule type="expression" dxfId="397" priority="114">
      <formula>AND(IF(OR($Q78=1,$Q78=2),1,0),IF($X78&lt;=20,1,0))</formula>
    </cfRule>
    <cfRule type="expression" dxfId="396" priority="115">
      <formula>AND(IF($Q78=2,1,0),IF($X78&lt;30,1,0))</formula>
    </cfRule>
    <cfRule type="expression" dxfId="395" priority="116">
      <formula>AND(IF($Q78=3,1,0),IF($X78&lt;30,1,0))</formula>
    </cfRule>
    <cfRule type="expression" dxfId="394" priority="117">
      <formula>AND(IF($Q78=3,1,IF($Q78=4,1,0)),IF($F78&lt;=85,1,0))</formula>
    </cfRule>
  </conditionalFormatting>
  <conditionalFormatting sqref="X78">
    <cfRule type="expression" dxfId="393" priority="110">
      <formula>AND(IF(OR($Q78=1,$Q78=2),1,0),IF($X78&lt;=20,1,0))</formula>
    </cfRule>
    <cfRule type="expression" dxfId="392" priority="111">
      <formula>AND(IF($Q78=2,1,0),IF($X78&lt;30,1,0))</formula>
    </cfRule>
    <cfRule type="expression" dxfId="391" priority="112">
      <formula>AND(IF($Q78=3,1,0),IF($X78&lt;30,1,0))</formula>
    </cfRule>
    <cfRule type="expression" dxfId="390" priority="113">
      <formula>AND(IF($Q78=3,1,IF($Q78=4,1,0)),IF($F78&lt;=85,1,0))</formula>
    </cfRule>
  </conditionalFormatting>
  <conditionalFormatting sqref="AI78">
    <cfRule type="expression" dxfId="389" priority="106">
      <formula>AND(IF(OR($Q78=1,$Q78=2),1,0),IF($X78&lt;=20,1,0))</formula>
    </cfRule>
    <cfRule type="expression" dxfId="388" priority="107">
      <formula>AND(IF($Q78=2,1,0),IF($X78&lt;30,1,0))</formula>
    </cfRule>
    <cfRule type="expression" dxfId="387" priority="108">
      <formula>AND(IF($Q78=3,1,0),IF($X78&lt;30,1,0))</formula>
    </cfRule>
    <cfRule type="expression" dxfId="386" priority="109">
      <formula>AND(IF($Q78=3,1,IF($Q78=4,1,0)),IF($F78&lt;=85,1,0))</formula>
    </cfRule>
  </conditionalFormatting>
  <conditionalFormatting sqref="AV79">
    <cfRule type="expression" dxfId="385" priority="104">
      <formula>AV79="X"</formula>
    </cfRule>
    <cfRule type="expression" dxfId="384" priority="105">
      <formula>AV79="후보"</formula>
    </cfRule>
  </conditionalFormatting>
  <conditionalFormatting sqref="AC79">
    <cfRule type="cellIs" dxfId="383" priority="101" operator="greaterThan">
      <formula>0.9</formula>
    </cfRule>
    <cfRule type="cellIs" dxfId="382" priority="102" operator="greaterThan">
      <formula>0.85</formula>
    </cfRule>
  </conditionalFormatting>
  <conditionalFormatting sqref="N79">
    <cfRule type="cellIs" dxfId="381" priority="99" operator="greaterThan">
      <formula>0.9</formula>
    </cfRule>
    <cfRule type="cellIs" dxfId="380" priority="100" operator="greaterThan">
      <formula>0.85</formula>
    </cfRule>
  </conditionalFormatting>
  <conditionalFormatting sqref="E79">
    <cfRule type="expression" dxfId="379" priority="95">
      <formula>AND(IF(OR($Q79=1,$Q79=2),1,0),IF($X79&lt;=20,1,0))</formula>
    </cfRule>
    <cfRule type="expression" dxfId="378" priority="96">
      <formula>AND(IF($Q79=2,1,0),IF($X79&lt;30,1,0))</formula>
    </cfRule>
    <cfRule type="expression" dxfId="377" priority="97">
      <formula>AND(IF($Q79=3,1,0),IF($X79&lt;30,1,0))</formula>
    </cfRule>
    <cfRule type="expression" dxfId="376" priority="98">
      <formula>AND(IF($Q79=3,1,IF($Q79=4,1,0)),IF($F79&lt;=85,1,0))</formula>
    </cfRule>
  </conditionalFormatting>
  <conditionalFormatting sqref="X79">
    <cfRule type="expression" dxfId="375" priority="91">
      <formula>AND(IF(OR($Q79=1,$Q79=2),1,0),IF($X79&lt;=20,1,0))</formula>
    </cfRule>
    <cfRule type="expression" dxfId="374" priority="92">
      <formula>AND(IF($Q79=2,1,0),IF($X79&lt;30,1,0))</formula>
    </cfRule>
    <cfRule type="expression" dxfId="373" priority="93">
      <formula>AND(IF($Q79=3,1,0),IF($X79&lt;30,1,0))</formula>
    </cfRule>
    <cfRule type="expression" dxfId="372" priority="94">
      <formula>AND(IF($Q79=3,1,IF($Q79=4,1,0)),IF($F79&lt;=85,1,0))</formula>
    </cfRule>
  </conditionalFormatting>
  <conditionalFormatting sqref="AI79">
    <cfRule type="expression" dxfId="371" priority="87">
      <formula>AND(IF(OR($Q79=1,$Q79=2),1,0),IF($X79&lt;=20,1,0))</formula>
    </cfRule>
    <cfRule type="expression" dxfId="370" priority="88">
      <formula>AND(IF($Q79=2,1,0),IF($X79&lt;30,1,0))</formula>
    </cfRule>
    <cfRule type="expression" dxfId="369" priority="89">
      <formula>AND(IF($Q79=3,1,0),IF($X79&lt;30,1,0))</formula>
    </cfRule>
    <cfRule type="expression" dxfId="368" priority="90">
      <formula>AND(IF($Q79=3,1,IF($Q79=4,1,0)),IF($F79&lt;=85,1,0))</formula>
    </cfRule>
  </conditionalFormatting>
  <conditionalFormatting sqref="AV80">
    <cfRule type="expression" dxfId="367" priority="85">
      <formula>AV80="X"</formula>
    </cfRule>
    <cfRule type="expression" dxfId="366" priority="86">
      <formula>AV80="후보"</formula>
    </cfRule>
  </conditionalFormatting>
  <conditionalFormatting sqref="AC80 N80">
    <cfRule type="cellIs" dxfId="365" priority="82" operator="greaterThan">
      <formula>0.9</formula>
    </cfRule>
    <cfRule type="cellIs" dxfId="364" priority="83" operator="greaterThan">
      <formula>0.85</formula>
    </cfRule>
  </conditionalFormatting>
  <conditionalFormatting sqref="AV81">
    <cfRule type="expression" dxfId="363" priority="80">
      <formula>AV81="X"</formula>
    </cfRule>
    <cfRule type="expression" dxfId="362" priority="81">
      <formula>AV81="후보"</formula>
    </cfRule>
  </conditionalFormatting>
  <conditionalFormatting sqref="AC81">
    <cfRule type="cellIs" dxfId="361" priority="77" operator="greaterThan">
      <formula>0.9</formula>
    </cfRule>
    <cfRule type="cellIs" dxfId="360" priority="78" operator="greaterThan">
      <formula>0.85</formula>
    </cfRule>
  </conditionalFormatting>
  <conditionalFormatting sqref="N81">
    <cfRule type="cellIs" dxfId="359" priority="75" operator="greaterThan">
      <formula>0.9</formula>
    </cfRule>
    <cfRule type="cellIs" dxfId="358" priority="76" operator="greaterThan">
      <formula>0.85</formula>
    </cfRule>
  </conditionalFormatting>
  <conditionalFormatting sqref="E81">
    <cfRule type="expression" dxfId="357" priority="71">
      <formula>AND(IF(OR($Q81=1,$Q81=2),1,0),IF($X81&lt;=20,1,0))</formula>
    </cfRule>
    <cfRule type="expression" dxfId="356" priority="72">
      <formula>AND(IF($Q81=2,1,0),IF($X81&lt;30,1,0))</formula>
    </cfRule>
    <cfRule type="expression" dxfId="355" priority="73">
      <formula>AND(IF($Q81=3,1,0),IF($X81&lt;30,1,0))</formula>
    </cfRule>
    <cfRule type="expression" dxfId="354" priority="74">
      <formula>AND(IF($Q81=3,1,IF($Q81=4,1,0)),IF($F81&lt;=85,1,0))</formula>
    </cfRule>
  </conditionalFormatting>
  <conditionalFormatting sqref="X81">
    <cfRule type="expression" dxfId="353" priority="67">
      <formula>AND(IF(OR($Q81=1,$Q81=2),1,0),IF($X81&lt;=20,1,0))</formula>
    </cfRule>
    <cfRule type="expression" dxfId="352" priority="68">
      <formula>AND(IF($Q81=2,1,0),IF($X81&lt;30,1,0))</formula>
    </cfRule>
    <cfRule type="expression" dxfId="351" priority="69">
      <formula>AND(IF($Q81=3,1,0),IF($X81&lt;30,1,0))</formula>
    </cfRule>
    <cfRule type="expression" dxfId="350" priority="70">
      <formula>AND(IF($Q81=3,1,IF($Q81=4,1,0)),IF($F81&lt;=85,1,0))</formula>
    </cfRule>
  </conditionalFormatting>
  <conditionalFormatting sqref="AI81">
    <cfRule type="expression" dxfId="349" priority="63">
      <formula>AND(IF(OR($Q81=1,$Q81=2),1,0),IF($X81&lt;=20,1,0))</formula>
    </cfRule>
    <cfRule type="expression" dxfId="348" priority="64">
      <formula>AND(IF($Q81=2,1,0),IF($X81&lt;30,1,0))</formula>
    </cfRule>
    <cfRule type="expression" dxfId="347" priority="65">
      <formula>AND(IF($Q81=3,1,0),IF($X81&lt;30,1,0))</formula>
    </cfRule>
    <cfRule type="expression" dxfId="346" priority="66">
      <formula>AND(IF($Q81=3,1,IF($Q81=4,1,0)),IF($F81&lt;=85,1,0))</formula>
    </cfRule>
  </conditionalFormatting>
  <conditionalFormatting sqref="AV82">
    <cfRule type="expression" dxfId="345" priority="61">
      <formula>AV82="X"</formula>
    </cfRule>
    <cfRule type="expression" dxfId="344" priority="62">
      <formula>AV82="후보"</formula>
    </cfRule>
  </conditionalFormatting>
  <conditionalFormatting sqref="AC82 N82">
    <cfRule type="cellIs" dxfId="343" priority="58" operator="greaterThan">
      <formula>0.9</formula>
    </cfRule>
    <cfRule type="cellIs" dxfId="342" priority="59" operator="greaterThan">
      <formula>0.85</formula>
    </cfRule>
  </conditionalFormatting>
  <conditionalFormatting sqref="AV83">
    <cfRule type="expression" dxfId="341" priority="56">
      <formula>AV83="X"</formula>
    </cfRule>
    <cfRule type="expression" dxfId="340" priority="57">
      <formula>AV83="후보"</formula>
    </cfRule>
  </conditionalFormatting>
  <conditionalFormatting sqref="AC83">
    <cfRule type="cellIs" dxfId="339" priority="53" operator="greaterThan">
      <formula>0.9</formula>
    </cfRule>
    <cfRule type="cellIs" dxfId="338" priority="54" operator="greaterThan">
      <formula>0.85</formula>
    </cfRule>
  </conditionalFormatting>
  <conditionalFormatting sqref="N83">
    <cfRule type="cellIs" dxfId="337" priority="51" operator="greaterThan">
      <formula>0.9</formula>
    </cfRule>
    <cfRule type="cellIs" dxfId="336" priority="52" operator="greaterThan">
      <formula>0.85</formula>
    </cfRule>
  </conditionalFormatting>
  <conditionalFormatting sqref="E83">
    <cfRule type="expression" dxfId="335" priority="47">
      <formula>AND(IF(OR($Q83=1,$Q83=2),1,0),IF($X83&lt;=20,1,0))</formula>
    </cfRule>
    <cfRule type="expression" dxfId="334" priority="48">
      <formula>AND(IF($Q83=2,1,0),IF($X83&lt;30,1,0))</formula>
    </cfRule>
    <cfRule type="expression" dxfId="333" priority="49">
      <formula>AND(IF($Q83=3,1,0),IF($X83&lt;30,1,0))</formula>
    </cfRule>
    <cfRule type="expression" dxfId="332" priority="50">
      <formula>AND(IF($Q83=3,1,IF($Q83=4,1,0)),IF($F83&lt;=85,1,0))</formula>
    </cfRule>
  </conditionalFormatting>
  <conditionalFormatting sqref="X83">
    <cfRule type="expression" dxfId="331" priority="43">
      <formula>AND(IF(OR($Q83=1,$Q83=2),1,0),IF($X83&lt;=20,1,0))</formula>
    </cfRule>
    <cfRule type="expression" dxfId="330" priority="44">
      <formula>AND(IF($Q83=2,1,0),IF($X83&lt;30,1,0))</formula>
    </cfRule>
    <cfRule type="expression" dxfId="329" priority="45">
      <formula>AND(IF($Q83=3,1,0),IF($X83&lt;30,1,0))</formula>
    </cfRule>
    <cfRule type="expression" dxfId="328" priority="46">
      <formula>AND(IF($Q83=3,1,IF($Q83=4,1,0)),IF($F83&lt;=85,1,0))</formula>
    </cfRule>
  </conditionalFormatting>
  <conditionalFormatting sqref="AI83">
    <cfRule type="expression" dxfId="327" priority="39">
      <formula>AND(IF(OR($Q83=1,$Q83=2),1,0),IF($X83&lt;=20,1,0))</formula>
    </cfRule>
    <cfRule type="expression" dxfId="326" priority="40">
      <formula>AND(IF($Q83=2,1,0),IF($X83&lt;30,1,0))</formula>
    </cfRule>
    <cfRule type="expression" dxfId="325" priority="41">
      <formula>AND(IF($Q83=3,1,0),IF($X83&lt;30,1,0))</formula>
    </cfRule>
    <cfRule type="expression" dxfId="324" priority="42">
      <formula>AND(IF($Q83=3,1,IF($Q83=4,1,0)),IF($F83&lt;=85,1,0))</formula>
    </cfRule>
  </conditionalFormatting>
  <conditionalFormatting sqref="AV84">
    <cfRule type="expression" dxfId="323" priority="37">
      <formula>AV84="X"</formula>
    </cfRule>
    <cfRule type="expression" dxfId="322" priority="38">
      <formula>AV84="후보"</formula>
    </cfRule>
  </conditionalFormatting>
  <conditionalFormatting sqref="AC84">
    <cfRule type="cellIs" dxfId="321" priority="34" operator="greaterThan">
      <formula>0.9</formula>
    </cfRule>
    <cfRule type="cellIs" dxfId="320" priority="35" operator="greaterThan">
      <formula>0.85</formula>
    </cfRule>
  </conditionalFormatting>
  <conditionalFormatting sqref="N84">
    <cfRule type="cellIs" dxfId="319" priority="32" operator="greaterThan">
      <formula>0.9</formula>
    </cfRule>
    <cfRule type="cellIs" dxfId="318" priority="33" operator="greaterThan">
      <formula>0.85</formula>
    </cfRule>
  </conditionalFormatting>
  <conditionalFormatting sqref="E84">
    <cfRule type="expression" dxfId="317" priority="28">
      <formula>AND(IF(OR($Q84=1,$Q84=2),1,0),IF($X84&lt;=20,1,0))</formula>
    </cfRule>
    <cfRule type="expression" dxfId="316" priority="29">
      <formula>AND(IF($Q84=2,1,0),IF($X84&lt;30,1,0))</formula>
    </cfRule>
    <cfRule type="expression" dxfId="315" priority="30">
      <formula>AND(IF($Q84=3,1,0),IF($X84&lt;30,1,0))</formula>
    </cfRule>
    <cfRule type="expression" dxfId="314" priority="31">
      <formula>AND(IF($Q84=3,1,IF($Q84=4,1,0)),IF($F84&lt;=85,1,0))</formula>
    </cfRule>
  </conditionalFormatting>
  <conditionalFormatting sqref="X84">
    <cfRule type="expression" dxfId="313" priority="24">
      <formula>AND(IF(OR($Q84=1,$Q84=2),1,0),IF($X84&lt;=20,1,0))</formula>
    </cfRule>
    <cfRule type="expression" dxfId="312" priority="25">
      <formula>AND(IF($Q84=2,1,0),IF($X84&lt;30,1,0))</formula>
    </cfRule>
    <cfRule type="expression" dxfId="311" priority="26">
      <formula>AND(IF($Q84=3,1,0),IF($X84&lt;30,1,0))</formula>
    </cfRule>
    <cfRule type="expression" dxfId="310" priority="27">
      <formula>AND(IF($Q84=3,1,IF($Q84=4,1,0)),IF($F84&lt;=85,1,0))</formula>
    </cfRule>
  </conditionalFormatting>
  <conditionalFormatting sqref="AI84">
    <cfRule type="expression" dxfId="309" priority="20">
      <formula>AND(IF(OR($Q84=1,$Q84=2),1,0),IF($X84&lt;=20,1,0))</formula>
    </cfRule>
    <cfRule type="expression" dxfId="308" priority="21">
      <formula>AND(IF($Q84=2,1,0),IF($X84&lt;30,1,0))</formula>
    </cfRule>
    <cfRule type="expression" dxfId="307" priority="22">
      <formula>AND(IF($Q84=3,1,0),IF($X84&lt;30,1,0))</formula>
    </cfRule>
    <cfRule type="expression" dxfId="306" priority="23">
      <formula>AND(IF($Q84=3,1,IF($Q84=4,1,0)),IF($F84&lt;=85,1,0))</formula>
    </cfRule>
  </conditionalFormatting>
  <conditionalFormatting sqref="AV85">
    <cfRule type="expression" dxfId="305" priority="18">
      <formula>AV85="X"</formula>
    </cfRule>
    <cfRule type="expression" dxfId="304" priority="19">
      <formula>AV85="후보"</formula>
    </cfRule>
  </conditionalFormatting>
  <conditionalFormatting sqref="AC85">
    <cfRule type="cellIs" dxfId="303" priority="15" operator="greaterThan">
      <formula>0.9</formula>
    </cfRule>
    <cfRule type="cellIs" dxfId="302" priority="16" operator="greaterThan">
      <formula>0.85</formula>
    </cfRule>
  </conditionalFormatting>
  <conditionalFormatting sqref="N85">
    <cfRule type="cellIs" dxfId="301" priority="13" operator="greaterThan">
      <formula>0.9</formula>
    </cfRule>
    <cfRule type="cellIs" dxfId="300" priority="14" operator="greaterThan">
      <formula>0.85</formula>
    </cfRule>
  </conditionalFormatting>
  <conditionalFormatting sqref="E85">
    <cfRule type="expression" dxfId="299" priority="9">
      <formula>AND(IF(OR($Q85=1,$Q85=2),1,0),IF($X85&lt;=20,1,0))</formula>
    </cfRule>
    <cfRule type="expression" dxfId="298" priority="10">
      <formula>AND(IF($Q85=2,1,0),IF($X85&lt;30,1,0))</formula>
    </cfRule>
    <cfRule type="expression" dxfId="297" priority="11">
      <formula>AND(IF($Q85=3,1,0),IF($X85&lt;30,1,0))</formula>
    </cfRule>
    <cfRule type="expression" dxfId="296" priority="12">
      <formula>AND(IF($Q85=3,1,IF($Q85=4,1,0)),IF($F85&lt;=85,1,0))</formula>
    </cfRule>
  </conditionalFormatting>
  <conditionalFormatting sqref="X85">
    <cfRule type="expression" dxfId="295" priority="5">
      <formula>AND(IF(OR($Q85=1,$Q85=2),1,0),IF($X85&lt;=20,1,0))</formula>
    </cfRule>
    <cfRule type="expression" dxfId="294" priority="6">
      <formula>AND(IF($Q85=2,1,0),IF($X85&lt;30,1,0))</formula>
    </cfRule>
    <cfRule type="expression" dxfId="293" priority="7">
      <formula>AND(IF($Q85=3,1,0),IF($X85&lt;30,1,0))</formula>
    </cfRule>
    <cfRule type="expression" dxfId="292" priority="8">
      <formula>AND(IF($Q85=3,1,IF($Q85=4,1,0)),IF($F85&lt;=85,1,0))</formula>
    </cfRule>
  </conditionalFormatting>
  <conditionalFormatting sqref="AI85">
    <cfRule type="expression" dxfId="291" priority="1">
      <formula>AND(IF(OR($Q85=1,$Q85=2),1,0),IF($X85&lt;=20,1,0))</formula>
    </cfRule>
    <cfRule type="expression" dxfId="290" priority="2">
      <formula>AND(IF($Q85=2,1,0),IF($X85&lt;30,1,0))</formula>
    </cfRule>
    <cfRule type="expression" dxfId="289" priority="3">
      <formula>AND(IF($Q85=3,1,0),IF($X85&lt;30,1,0))</formula>
    </cfRule>
    <cfRule type="expression" dxfId="288" priority="4">
      <formula>AND(IF($Q85=3,1,IF($Q85=4,1,0)),IF($F85&lt;=85,1,0))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주성동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주성동 율량5단지선광로즈웰2차('14.11.,417^)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8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850</v>
      </c>
      <c r="B6" s="10" t="s">
        <v>949</v>
      </c>
      <c r="C6" s="89">
        <v>417</v>
      </c>
      <c r="D6" s="87">
        <v>112.5</v>
      </c>
      <c r="E6" s="88">
        <v>34</v>
      </c>
      <c r="F6" s="87">
        <v>85</v>
      </c>
      <c r="G6" s="17">
        <v>26</v>
      </c>
      <c r="H6" s="89">
        <v>228</v>
      </c>
      <c r="I6" s="90">
        <v>45000</v>
      </c>
      <c r="J6" s="90" t="s">
        <v>101</v>
      </c>
      <c r="K6" s="90">
        <v>33000</v>
      </c>
      <c r="L6" s="90" t="s">
        <v>60</v>
      </c>
      <c r="M6" s="91">
        <f>I6-K6</f>
        <v>12000</v>
      </c>
      <c r="N6" s="4">
        <f>IF(ISERROR(K6/I6),"",K6/I6)</f>
        <v>0.73333333333333328</v>
      </c>
      <c r="O6" s="92">
        <f>I6/E6</f>
        <v>1323.5294117647059</v>
      </c>
      <c r="P6" s="92">
        <f>K6/E6</f>
        <v>970.58823529411768</v>
      </c>
      <c r="Q6" s="80">
        <v>3</v>
      </c>
      <c r="R6" s="80">
        <v>2</v>
      </c>
      <c r="S6" s="80" t="s">
        <v>61</v>
      </c>
      <c r="T6" s="5" t="s">
        <v>87</v>
      </c>
      <c r="U6" s="9"/>
      <c r="W6" s="87">
        <f t="shared" ref="W6:X8" si="2">D6</f>
        <v>112.5</v>
      </c>
      <c r="X6" s="88">
        <f t="shared" si="2"/>
        <v>34</v>
      </c>
      <c r="Y6" s="93">
        <f t="shared" ref="Y6:Z8" si="3">H6</f>
        <v>228</v>
      </c>
      <c r="Z6" s="91">
        <f t="shared" si="3"/>
        <v>45000</v>
      </c>
      <c r="AA6" s="91">
        <f>K6</f>
        <v>33000</v>
      </c>
      <c r="AB6" s="91">
        <f t="shared" ref="AB6:AD8" si="4">M6</f>
        <v>12000</v>
      </c>
      <c r="AC6" s="4">
        <f t="shared" si="4"/>
        <v>0.73333333333333328</v>
      </c>
      <c r="AD6" s="92">
        <f t="shared" si="4"/>
        <v>1323.5294117647059</v>
      </c>
      <c r="AE6" s="80" t="str">
        <f>S6</f>
        <v>계</v>
      </c>
      <c r="AF6" s="80" t="str">
        <f>Q6&amp;"/"&amp;R6</f>
        <v>3/2</v>
      </c>
      <c r="AH6" s="20" t="str">
        <f t="shared" si="1"/>
        <v>율량5단지선광로즈웰2차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X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850</v>
      </c>
      <c r="B7" s="10" t="s">
        <v>949</v>
      </c>
      <c r="C7" s="89">
        <v>417</v>
      </c>
      <c r="D7" s="87">
        <v>112.5</v>
      </c>
      <c r="E7" s="88">
        <v>34</v>
      </c>
      <c r="F7" s="87">
        <v>85</v>
      </c>
      <c r="G7" s="17">
        <v>26</v>
      </c>
      <c r="H7" s="89">
        <v>123</v>
      </c>
      <c r="I7" s="90">
        <v>45000</v>
      </c>
      <c r="J7" s="90" t="s">
        <v>101</v>
      </c>
      <c r="K7" s="90">
        <v>33000</v>
      </c>
      <c r="L7" s="90" t="s">
        <v>60</v>
      </c>
      <c r="M7" s="91">
        <f>I7-K7</f>
        <v>12000</v>
      </c>
      <c r="N7" s="4">
        <f>IF(ISERROR(K7/I7),"",K7/I7)</f>
        <v>0.73333333333333328</v>
      </c>
      <c r="O7" s="92">
        <f>I7/E7</f>
        <v>1323.5294117647059</v>
      </c>
      <c r="P7" s="92">
        <f>K7/E7</f>
        <v>970.58823529411768</v>
      </c>
      <c r="Q7" s="80">
        <v>3</v>
      </c>
      <c r="R7" s="80">
        <v>2</v>
      </c>
      <c r="S7" s="80" t="s">
        <v>61</v>
      </c>
      <c r="T7" s="5" t="s">
        <v>88</v>
      </c>
      <c r="U7" s="9"/>
      <c r="W7" s="87">
        <f t="shared" si="2"/>
        <v>112.5</v>
      </c>
      <c r="X7" s="88">
        <f t="shared" si="2"/>
        <v>34</v>
      </c>
      <c r="Y7" s="93">
        <f t="shared" si="3"/>
        <v>123</v>
      </c>
      <c r="Z7" s="91">
        <f t="shared" si="3"/>
        <v>45000</v>
      </c>
      <c r="AA7" s="91">
        <f>K7</f>
        <v>33000</v>
      </c>
      <c r="AB7" s="91">
        <f t="shared" si="4"/>
        <v>12000</v>
      </c>
      <c r="AC7" s="4">
        <f t="shared" si="4"/>
        <v>0.73333333333333328</v>
      </c>
      <c r="AD7" s="92">
        <f t="shared" si="4"/>
        <v>1323.5294117647059</v>
      </c>
      <c r="AE7" s="80" t="str">
        <f>S7</f>
        <v>계</v>
      </c>
      <c r="AF7" s="80" t="str">
        <f>Q7&amp;"/"&amp;R7</f>
        <v>3/2</v>
      </c>
      <c r="AH7" s="20" t="str">
        <f t="shared" si="1"/>
        <v>율량5단지선광로즈웰2차</v>
      </c>
      <c r="AI7" s="88">
        <f t="shared" si="0"/>
        <v>34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850</v>
      </c>
      <c r="B8" s="10" t="s">
        <v>949</v>
      </c>
      <c r="C8" s="89">
        <v>417</v>
      </c>
      <c r="D8" s="87">
        <v>112.7</v>
      </c>
      <c r="E8" s="88">
        <v>34</v>
      </c>
      <c r="F8" s="87">
        <v>85</v>
      </c>
      <c r="G8" s="17">
        <v>26</v>
      </c>
      <c r="H8" s="89">
        <v>66</v>
      </c>
      <c r="I8" s="90">
        <v>43000</v>
      </c>
      <c r="J8" s="90" t="s">
        <v>68</v>
      </c>
      <c r="K8" s="90"/>
      <c r="L8" s="90"/>
      <c r="M8" s="91">
        <f>I8-K8</f>
        <v>43000</v>
      </c>
      <c r="N8" s="4">
        <f>IF(ISERROR(K8/I8),"",K8/I8)</f>
        <v>0</v>
      </c>
      <c r="O8" s="92">
        <f>I8/E8</f>
        <v>1264.7058823529412</v>
      </c>
      <c r="P8" s="92">
        <f>K8/E8</f>
        <v>0</v>
      </c>
      <c r="Q8" s="80">
        <v>3</v>
      </c>
      <c r="R8" s="80">
        <v>2</v>
      </c>
      <c r="S8" s="80" t="s">
        <v>61</v>
      </c>
      <c r="T8" s="5" t="s">
        <v>114</v>
      </c>
      <c r="U8" s="9"/>
      <c r="W8" s="87">
        <f t="shared" si="2"/>
        <v>112.7</v>
      </c>
      <c r="X8" s="88">
        <f t="shared" si="2"/>
        <v>34</v>
      </c>
      <c r="Y8" s="93">
        <f t="shared" si="3"/>
        <v>66</v>
      </c>
      <c r="Z8" s="91">
        <f t="shared" si="3"/>
        <v>43000</v>
      </c>
      <c r="AA8" s="91">
        <f>K8</f>
        <v>0</v>
      </c>
      <c r="AB8" s="91">
        <f t="shared" si="4"/>
        <v>43000</v>
      </c>
      <c r="AC8" s="4">
        <f t="shared" si="4"/>
        <v>0</v>
      </c>
      <c r="AD8" s="92">
        <f t="shared" si="4"/>
        <v>1264.7058823529412</v>
      </c>
      <c r="AE8" s="80" t="str">
        <f>S8</f>
        <v>계</v>
      </c>
      <c r="AF8" s="80" t="str">
        <f>Q8&amp;"/"&amp;R8</f>
        <v>3/2</v>
      </c>
      <c r="AH8" s="20" t="str">
        <f t="shared" si="1"/>
        <v>율량5단지선광로즈웰2차</v>
      </c>
      <c r="AI8" s="88">
        <f t="shared" si="0"/>
        <v>34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주성동 대원칸타빌1차('13.03.,903^)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855</v>
      </c>
      <c r="B10" s="10" t="s">
        <v>950</v>
      </c>
      <c r="C10" s="89">
        <v>903</v>
      </c>
      <c r="D10" s="87">
        <v>108.8</v>
      </c>
      <c r="E10" s="88">
        <v>33</v>
      </c>
      <c r="F10" s="87">
        <v>84.8</v>
      </c>
      <c r="G10" s="17">
        <v>26</v>
      </c>
      <c r="H10" s="89">
        <v>475</v>
      </c>
      <c r="I10" s="90">
        <v>46000</v>
      </c>
      <c r="J10" s="90" t="s">
        <v>67</v>
      </c>
      <c r="K10" s="90">
        <v>35000</v>
      </c>
      <c r="L10" s="90" t="s">
        <v>59</v>
      </c>
      <c r="M10" s="91">
        <f>I10-K10</f>
        <v>11000</v>
      </c>
      <c r="N10" s="4">
        <f>IF(ISERROR(K10/I10),"",K10/I10)</f>
        <v>0.76086956521739135</v>
      </c>
      <c r="O10" s="92">
        <f>I10/E10</f>
        <v>1393.939393939394</v>
      </c>
      <c r="P10" s="92">
        <f>K10/E10</f>
        <v>1060.6060606060605</v>
      </c>
      <c r="Q10" s="80">
        <v>3</v>
      </c>
      <c r="R10" s="80">
        <v>2</v>
      </c>
      <c r="S10" s="80" t="s">
        <v>61</v>
      </c>
      <c r="T10" s="5" t="s">
        <v>105</v>
      </c>
      <c r="U10" s="9"/>
      <c r="W10" s="87">
        <f t="shared" ref="W10:X12" si="5">D10</f>
        <v>108.8</v>
      </c>
      <c r="X10" s="88">
        <f t="shared" si="5"/>
        <v>33</v>
      </c>
      <c r="Y10" s="93">
        <f t="shared" ref="Y10:Z12" si="6">H10</f>
        <v>475</v>
      </c>
      <c r="Z10" s="91">
        <f t="shared" si="6"/>
        <v>46000</v>
      </c>
      <c r="AA10" s="91">
        <f>K10</f>
        <v>35000</v>
      </c>
      <c r="AB10" s="91">
        <f t="shared" ref="AB10:AD12" si="7">M10</f>
        <v>11000</v>
      </c>
      <c r="AC10" s="4">
        <f t="shared" si="7"/>
        <v>0.76086956521739135</v>
      </c>
      <c r="AD10" s="92">
        <f t="shared" si="7"/>
        <v>1393.939393939394</v>
      </c>
      <c r="AE10" s="80" t="str">
        <f>S10</f>
        <v>계</v>
      </c>
      <c r="AF10" s="80" t="str">
        <f>Q10&amp;"/"&amp;R10</f>
        <v>3/2</v>
      </c>
      <c r="AH10" s="20" t="str">
        <f t="shared" si="1"/>
        <v>대원칸타빌1차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X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855</v>
      </c>
      <c r="B11" s="10" t="s">
        <v>950</v>
      </c>
      <c r="C11" s="89">
        <v>903</v>
      </c>
      <c r="D11" s="87">
        <v>108.8</v>
      </c>
      <c r="E11" s="88">
        <v>33</v>
      </c>
      <c r="F11" s="87">
        <v>84.5</v>
      </c>
      <c r="G11" s="17">
        <v>26</v>
      </c>
      <c r="H11" s="89">
        <v>190</v>
      </c>
      <c r="I11" s="90">
        <v>45000</v>
      </c>
      <c r="J11" s="90" t="s">
        <v>64</v>
      </c>
      <c r="K11" s="90"/>
      <c r="L11" s="90"/>
      <c r="M11" s="91">
        <f>I11-K11</f>
        <v>45000</v>
      </c>
      <c r="N11" s="4">
        <f>IF(ISERROR(K11/I11),"",K11/I11)</f>
        <v>0</v>
      </c>
      <c r="O11" s="92">
        <f>I11/E11</f>
        <v>1363.6363636363637</v>
      </c>
      <c r="P11" s="92">
        <f>K11/E11</f>
        <v>0</v>
      </c>
      <c r="Q11" s="80">
        <v>3</v>
      </c>
      <c r="R11" s="80">
        <v>2</v>
      </c>
      <c r="S11" s="80" t="s">
        <v>61</v>
      </c>
      <c r="T11" s="5" t="s">
        <v>860</v>
      </c>
      <c r="U11" s="9"/>
      <c r="W11" s="87">
        <f t="shared" si="5"/>
        <v>108.8</v>
      </c>
      <c r="X11" s="88">
        <f t="shared" si="5"/>
        <v>33</v>
      </c>
      <c r="Y11" s="93">
        <f t="shared" si="6"/>
        <v>190</v>
      </c>
      <c r="Z11" s="91">
        <f t="shared" si="6"/>
        <v>45000</v>
      </c>
      <c r="AA11" s="91">
        <f>K11</f>
        <v>0</v>
      </c>
      <c r="AB11" s="91">
        <f t="shared" si="7"/>
        <v>45000</v>
      </c>
      <c r="AC11" s="4">
        <f t="shared" si="7"/>
        <v>0</v>
      </c>
      <c r="AD11" s="92">
        <f t="shared" si="7"/>
        <v>1363.6363636363637</v>
      </c>
      <c r="AE11" s="80" t="str">
        <f>S11</f>
        <v>계</v>
      </c>
      <c r="AF11" s="80" t="str">
        <f>Q11&amp;"/"&amp;R11</f>
        <v>3/2</v>
      </c>
      <c r="AH11" s="20" t="str">
        <f t="shared" si="1"/>
        <v>대원칸타빌1차</v>
      </c>
      <c r="AI11" s="88">
        <f t="shared" si="0"/>
        <v>33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 t="s">
        <v>855</v>
      </c>
      <c r="B12" s="10" t="s">
        <v>950</v>
      </c>
      <c r="C12" s="89">
        <v>903</v>
      </c>
      <c r="D12" s="87">
        <v>109.4</v>
      </c>
      <c r="E12" s="88">
        <v>33</v>
      </c>
      <c r="F12" s="87">
        <v>84.4</v>
      </c>
      <c r="G12" s="17">
        <v>26</v>
      </c>
      <c r="H12" s="89">
        <v>238</v>
      </c>
      <c r="I12" s="90">
        <v>45000</v>
      </c>
      <c r="J12" s="90" t="s">
        <v>73</v>
      </c>
      <c r="K12" s="90"/>
      <c r="L12" s="90"/>
      <c r="M12" s="91">
        <f>I12-K12</f>
        <v>45000</v>
      </c>
      <c r="N12" s="4">
        <f>IF(ISERROR(K12/I12),"",K12/I12)</f>
        <v>0</v>
      </c>
      <c r="O12" s="92">
        <f>I12/E12</f>
        <v>1363.6363636363637</v>
      </c>
      <c r="P12" s="92">
        <f>K12/E12</f>
        <v>0</v>
      </c>
      <c r="Q12" s="80">
        <v>3</v>
      </c>
      <c r="R12" s="80">
        <v>2</v>
      </c>
      <c r="S12" s="80" t="s">
        <v>61</v>
      </c>
      <c r="T12" s="5" t="s">
        <v>861</v>
      </c>
      <c r="U12" s="9"/>
      <c r="W12" s="87">
        <f t="shared" si="5"/>
        <v>109.4</v>
      </c>
      <c r="X12" s="88">
        <f t="shared" si="5"/>
        <v>33</v>
      </c>
      <c r="Y12" s="93">
        <f t="shared" si="6"/>
        <v>238</v>
      </c>
      <c r="Z12" s="91">
        <f t="shared" si="6"/>
        <v>45000</v>
      </c>
      <c r="AA12" s="91">
        <f>K12</f>
        <v>0</v>
      </c>
      <c r="AB12" s="91">
        <f t="shared" si="7"/>
        <v>45000</v>
      </c>
      <c r="AC12" s="4">
        <f t="shared" si="7"/>
        <v>0</v>
      </c>
      <c r="AD12" s="92">
        <f t="shared" si="7"/>
        <v>1363.6363636363637</v>
      </c>
      <c r="AE12" s="80" t="str">
        <f>S12</f>
        <v>계</v>
      </c>
      <c r="AF12" s="80" t="str">
        <f>Q12&amp;"/"&amp;R12</f>
        <v>3/2</v>
      </c>
      <c r="AH12" s="20" t="str">
        <f t="shared" si="1"/>
        <v>대원칸타빌1차</v>
      </c>
      <c r="AI12" s="88">
        <f t="shared" si="0"/>
        <v>33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X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주성동 대원칸타빌3차('15.03.,789^)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862</v>
      </c>
      <c r="B14" s="10" t="s">
        <v>951</v>
      </c>
      <c r="C14" s="89">
        <v>789</v>
      </c>
      <c r="D14" s="87">
        <v>109.9</v>
      </c>
      <c r="E14" s="88">
        <v>33</v>
      </c>
      <c r="F14" s="87">
        <v>84.8</v>
      </c>
      <c r="G14" s="17">
        <v>26</v>
      </c>
      <c r="H14" s="89">
        <v>168</v>
      </c>
      <c r="I14" s="90">
        <v>51500</v>
      </c>
      <c r="J14" s="90" t="s">
        <v>66</v>
      </c>
      <c r="K14" s="90">
        <v>38000</v>
      </c>
      <c r="L14" s="90" t="s">
        <v>68</v>
      </c>
      <c r="M14" s="91">
        <f>I14-K14</f>
        <v>13500</v>
      </c>
      <c r="N14" s="4">
        <f>IF(ISERROR(K14/I14),"",K14/I14)</f>
        <v>0.73786407766990292</v>
      </c>
      <c r="O14" s="92">
        <f>I14/E14</f>
        <v>1560.6060606060605</v>
      </c>
      <c r="P14" s="92">
        <f>K14/E14</f>
        <v>1151.5151515151515</v>
      </c>
      <c r="Q14" s="80">
        <v>3</v>
      </c>
      <c r="R14" s="80">
        <v>2</v>
      </c>
      <c r="S14" s="80" t="s">
        <v>61</v>
      </c>
      <c r="T14" s="5" t="s">
        <v>90</v>
      </c>
      <c r="U14" s="9"/>
      <c r="W14" s="87">
        <f t="shared" ref="W14:X18" si="8">D14</f>
        <v>109.9</v>
      </c>
      <c r="X14" s="88">
        <f t="shared" si="8"/>
        <v>33</v>
      </c>
      <c r="Y14" s="93">
        <f t="shared" ref="Y14:Z18" si="9">H14</f>
        <v>168</v>
      </c>
      <c r="Z14" s="91">
        <f t="shared" si="9"/>
        <v>51500</v>
      </c>
      <c r="AA14" s="91">
        <f>K14</f>
        <v>38000</v>
      </c>
      <c r="AB14" s="91">
        <f t="shared" ref="AB14:AD18" si="10">M14</f>
        <v>13500</v>
      </c>
      <c r="AC14" s="4">
        <f t="shared" si="10"/>
        <v>0.73786407766990292</v>
      </c>
      <c r="AD14" s="92">
        <f t="shared" si="10"/>
        <v>1560.6060606060605</v>
      </c>
      <c r="AE14" s="80" t="str">
        <f>S14</f>
        <v>계</v>
      </c>
      <c r="AF14" s="80" t="str">
        <f>Q14&amp;"/"&amp;R14</f>
        <v>3/2</v>
      </c>
      <c r="AH14" s="20" t="str">
        <f t="shared" si="1"/>
        <v>대원칸타빌3차</v>
      </c>
      <c r="AI14" s="88">
        <f t="shared" si="0"/>
        <v>33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X</v>
      </c>
      <c r="AQ14" s="80" t="str">
        <f>IF(O14="","",IF(O14&lt;=$AQ$1,"O","X"))</f>
        <v>X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 t="s">
        <v>862</v>
      </c>
      <c r="B15" s="10" t="s">
        <v>951</v>
      </c>
      <c r="C15" s="89">
        <v>789</v>
      </c>
      <c r="D15" s="87">
        <v>109.9</v>
      </c>
      <c r="E15" s="88">
        <v>33</v>
      </c>
      <c r="F15" s="87">
        <v>84.4</v>
      </c>
      <c r="G15" s="17">
        <v>26</v>
      </c>
      <c r="H15" s="89">
        <v>118</v>
      </c>
      <c r="I15" s="90">
        <v>50000</v>
      </c>
      <c r="J15" s="90" t="s">
        <v>952</v>
      </c>
      <c r="K15" s="90"/>
      <c r="L15" s="90"/>
      <c r="M15" s="91">
        <f>I15-K15</f>
        <v>50000</v>
      </c>
      <c r="N15" s="4">
        <f>IF(ISERROR(K15/I15),"",K15/I15)</f>
        <v>0</v>
      </c>
      <c r="O15" s="92">
        <f>I15/E15</f>
        <v>1515.1515151515152</v>
      </c>
      <c r="P15" s="92">
        <f>K15/E15</f>
        <v>0</v>
      </c>
      <c r="Q15" s="80">
        <v>3</v>
      </c>
      <c r="R15" s="80">
        <v>2</v>
      </c>
      <c r="S15" s="80" t="s">
        <v>61</v>
      </c>
      <c r="T15" s="5" t="s">
        <v>867</v>
      </c>
      <c r="U15" s="9"/>
      <c r="W15" s="87">
        <f t="shared" si="8"/>
        <v>109.9</v>
      </c>
      <c r="X15" s="88">
        <f t="shared" si="8"/>
        <v>33</v>
      </c>
      <c r="Y15" s="93">
        <f t="shared" si="9"/>
        <v>118</v>
      </c>
      <c r="Z15" s="91">
        <f t="shared" si="9"/>
        <v>50000</v>
      </c>
      <c r="AA15" s="91">
        <f>K15</f>
        <v>0</v>
      </c>
      <c r="AB15" s="91">
        <f t="shared" si="10"/>
        <v>50000</v>
      </c>
      <c r="AC15" s="4">
        <f t="shared" si="10"/>
        <v>0</v>
      </c>
      <c r="AD15" s="92">
        <f t="shared" si="10"/>
        <v>1515.1515151515152</v>
      </c>
      <c r="AE15" s="80" t="str">
        <f>S15</f>
        <v>계</v>
      </c>
      <c r="AF15" s="80" t="str">
        <f>Q15&amp;"/"&amp;R15</f>
        <v>3/2</v>
      </c>
      <c r="AH15" s="20" t="str">
        <f t="shared" si="1"/>
        <v>대원칸타빌3차</v>
      </c>
      <c r="AI15" s="88">
        <f t="shared" si="0"/>
        <v>33</v>
      </c>
      <c r="AJ15" s="80" t="str">
        <f>IF(AI15="","",$AJ$2)</f>
        <v>A-</v>
      </c>
      <c r="AK15" s="80" t="s">
        <v>13</v>
      </c>
      <c r="AL15" s="80" t="s">
        <v>62</v>
      </c>
      <c r="AM15" s="80" t="s">
        <v>63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X</v>
      </c>
      <c r="AQ15" s="80" t="str">
        <f>IF(O15="","",IF(O15&lt;=$AQ$1,"O","X"))</f>
        <v>X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 t="s">
        <v>862</v>
      </c>
      <c r="B16" s="10" t="s">
        <v>951</v>
      </c>
      <c r="C16" s="89">
        <v>789</v>
      </c>
      <c r="D16" s="87">
        <v>111.2</v>
      </c>
      <c r="E16" s="88">
        <v>34</v>
      </c>
      <c r="F16" s="87">
        <v>85</v>
      </c>
      <c r="G16" s="17">
        <v>26</v>
      </c>
      <c r="H16" s="89">
        <v>94</v>
      </c>
      <c r="I16" s="90">
        <v>49000</v>
      </c>
      <c r="J16" s="90" t="s">
        <v>69</v>
      </c>
      <c r="K16" s="90">
        <v>38000</v>
      </c>
      <c r="L16" s="90" t="s">
        <v>69</v>
      </c>
      <c r="M16" s="91">
        <f>I16-K16</f>
        <v>11000</v>
      </c>
      <c r="N16" s="4">
        <f>IF(ISERROR(K16/I16),"",K16/I16)</f>
        <v>0.77551020408163263</v>
      </c>
      <c r="O16" s="92">
        <f>I16/E16</f>
        <v>1441.1764705882354</v>
      </c>
      <c r="P16" s="92">
        <f>K16/E16</f>
        <v>1117.6470588235295</v>
      </c>
      <c r="Q16" s="80">
        <v>3</v>
      </c>
      <c r="R16" s="80">
        <v>2</v>
      </c>
      <c r="S16" s="80" t="s">
        <v>61</v>
      </c>
      <c r="T16" s="5" t="s">
        <v>664</v>
      </c>
      <c r="U16" s="9"/>
      <c r="W16" s="87">
        <f t="shared" si="8"/>
        <v>111.2</v>
      </c>
      <c r="X16" s="88">
        <f t="shared" si="8"/>
        <v>34</v>
      </c>
      <c r="Y16" s="93">
        <f t="shared" si="9"/>
        <v>94</v>
      </c>
      <c r="Z16" s="91">
        <f t="shared" si="9"/>
        <v>49000</v>
      </c>
      <c r="AA16" s="91">
        <f>K16</f>
        <v>38000</v>
      </c>
      <c r="AB16" s="91">
        <f t="shared" si="10"/>
        <v>11000</v>
      </c>
      <c r="AC16" s="4">
        <f t="shared" si="10"/>
        <v>0.77551020408163263</v>
      </c>
      <c r="AD16" s="92">
        <f t="shared" si="10"/>
        <v>1441.1764705882354</v>
      </c>
      <c r="AE16" s="80" t="str">
        <f>S16</f>
        <v>계</v>
      </c>
      <c r="AF16" s="80" t="str">
        <f>Q16&amp;"/"&amp;R16</f>
        <v>3/2</v>
      </c>
      <c r="AH16" s="20" t="str">
        <f t="shared" si="1"/>
        <v>대원칸타빌3차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X</v>
      </c>
      <c r="AQ16" s="80" t="str">
        <f>IF(O16="","",IF(O16&lt;=$AQ$1,"O","X"))</f>
        <v>X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 t="s">
        <v>862</v>
      </c>
      <c r="B17" s="10" t="s">
        <v>951</v>
      </c>
      <c r="C17" s="89">
        <v>789</v>
      </c>
      <c r="D17" s="87">
        <v>131.4</v>
      </c>
      <c r="E17" s="88">
        <v>40</v>
      </c>
      <c r="F17" s="87">
        <v>105.7</v>
      </c>
      <c r="G17" s="17">
        <v>32</v>
      </c>
      <c r="H17" s="89">
        <v>391</v>
      </c>
      <c r="I17" s="90">
        <v>62000</v>
      </c>
      <c r="J17" s="90" t="s">
        <v>68</v>
      </c>
      <c r="K17" s="90">
        <v>50000</v>
      </c>
      <c r="L17" s="90" t="s">
        <v>89</v>
      </c>
      <c r="M17" s="91">
        <f>I17-K17</f>
        <v>12000</v>
      </c>
      <c r="N17" s="4">
        <f>IF(ISERROR(K17/I17),"",K17/I17)</f>
        <v>0.80645161290322576</v>
      </c>
      <c r="O17" s="92">
        <f>I17/E17</f>
        <v>1550</v>
      </c>
      <c r="P17" s="92">
        <f>K17/E17</f>
        <v>1250</v>
      </c>
      <c r="Q17" s="80">
        <v>3</v>
      </c>
      <c r="R17" s="80">
        <v>2</v>
      </c>
      <c r="S17" s="80" t="s">
        <v>61</v>
      </c>
      <c r="T17" s="5">
        <v>131</v>
      </c>
      <c r="U17" s="9"/>
      <c r="W17" s="87">
        <f t="shared" si="8"/>
        <v>131.4</v>
      </c>
      <c r="X17" s="88">
        <f t="shared" si="8"/>
        <v>40</v>
      </c>
      <c r="Y17" s="93">
        <f t="shared" si="9"/>
        <v>391</v>
      </c>
      <c r="Z17" s="91">
        <f t="shared" si="9"/>
        <v>62000</v>
      </c>
      <c r="AA17" s="91">
        <f>K17</f>
        <v>50000</v>
      </c>
      <c r="AB17" s="91">
        <f t="shared" si="10"/>
        <v>12000</v>
      </c>
      <c r="AC17" s="4">
        <f t="shared" si="10"/>
        <v>0.80645161290322576</v>
      </c>
      <c r="AD17" s="92">
        <f t="shared" si="10"/>
        <v>1550</v>
      </c>
      <c r="AE17" s="80" t="str">
        <f>S17</f>
        <v>계</v>
      </c>
      <c r="AF17" s="80" t="str">
        <f>Q17&amp;"/"&amp;R17</f>
        <v>3/2</v>
      </c>
      <c r="AH17" s="20" t="str">
        <f t="shared" si="1"/>
        <v>대원칸타빌3차</v>
      </c>
      <c r="AI17" s="88">
        <f t="shared" si="0"/>
        <v>40</v>
      </c>
      <c r="AJ17" s="80" t="str">
        <f>IF(AI17="","",$AJ$2)</f>
        <v>A-</v>
      </c>
      <c r="AK17" s="80" t="s">
        <v>13</v>
      </c>
      <c r="AL17" s="80" t="s">
        <v>62</v>
      </c>
      <c r="AM17" s="80" t="s">
        <v>63</v>
      </c>
      <c r="AN17" s="80" t="str">
        <f>IF(AI17="","",$AN$2)</f>
        <v>C</v>
      </c>
      <c r="AO17" s="80" t="str">
        <f>IF(N17="","",IF(N17&gt;=$AO$1/100,"O","X"))</f>
        <v>O</v>
      </c>
      <c r="AP17" s="80" t="str">
        <f>IF(I17="","",IF(I17&lt;=$AP$1,"O","X"))</f>
        <v>X</v>
      </c>
      <c r="AQ17" s="80" t="str">
        <f>IF(O17="","",IF(O17&lt;=$AQ$1,"O","X"))</f>
        <v>X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X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x14ac:dyDescent="0.3">
      <c r="A18" s="9" t="s">
        <v>862</v>
      </c>
      <c r="B18" s="10" t="s">
        <v>951</v>
      </c>
      <c r="C18" s="89">
        <v>789</v>
      </c>
      <c r="D18" s="87">
        <v>164.8</v>
      </c>
      <c r="E18" s="88">
        <v>50</v>
      </c>
      <c r="F18" s="87">
        <v>131.9</v>
      </c>
      <c r="G18" s="17">
        <v>40</v>
      </c>
      <c r="H18" s="89">
        <v>18</v>
      </c>
      <c r="I18" s="90"/>
      <c r="J18" s="90"/>
      <c r="K18" s="90"/>
      <c r="L18" s="90"/>
      <c r="M18" s="91">
        <f>I18-K18</f>
        <v>0</v>
      </c>
      <c r="N18" s="4" t="str">
        <f>IF(ISERROR(K18/I18),"",K18/I18)</f>
        <v/>
      </c>
      <c r="O18" s="92">
        <f>I18/E18</f>
        <v>0</v>
      </c>
      <c r="P18" s="92">
        <f>K18/E18</f>
        <v>0</v>
      </c>
      <c r="Q18" s="80">
        <v>5</v>
      </c>
      <c r="R18" s="80">
        <v>3</v>
      </c>
      <c r="S18" s="80" t="s">
        <v>61</v>
      </c>
      <c r="T18" s="5">
        <v>164</v>
      </c>
      <c r="U18" s="9"/>
      <c r="W18" s="87">
        <f t="shared" si="8"/>
        <v>164.8</v>
      </c>
      <c r="X18" s="88">
        <f t="shared" si="8"/>
        <v>50</v>
      </c>
      <c r="Y18" s="93">
        <f t="shared" si="9"/>
        <v>18</v>
      </c>
      <c r="Z18" s="91">
        <f t="shared" si="9"/>
        <v>0</v>
      </c>
      <c r="AA18" s="91">
        <f>K18</f>
        <v>0</v>
      </c>
      <c r="AB18" s="91">
        <f t="shared" si="10"/>
        <v>0</v>
      </c>
      <c r="AC18" s="4" t="str">
        <f t="shared" si="10"/>
        <v/>
      </c>
      <c r="AD18" s="92">
        <f t="shared" si="10"/>
        <v>0</v>
      </c>
      <c r="AE18" s="80" t="str">
        <f>S18</f>
        <v>계</v>
      </c>
      <c r="AF18" s="80" t="str">
        <f>Q18&amp;"/"&amp;R18</f>
        <v>5/3</v>
      </c>
      <c r="AH18" s="20" t="str">
        <f t="shared" si="1"/>
        <v>대원칸타빌3차</v>
      </c>
      <c r="AI18" s="88">
        <f t="shared" si="0"/>
        <v>50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/>
      </c>
      <c r="AP18" s="80" t="str">
        <f>IF(I18="","",IF(I18&lt;=$AP$1,"O","X"))</f>
        <v/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X</v>
      </c>
      <c r="AU18" s="80" t="str">
        <f>IF(C18="","",IF(C18&gt;=$AU$1,"O","X"))</f>
        <v>O</v>
      </c>
      <c r="AV18" s="80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287" priority="220">
      <formula>AV4="X"</formula>
    </cfRule>
    <cfRule type="expression" dxfId="286" priority="221">
      <formula>AV4="후보"</formula>
    </cfRule>
  </conditionalFormatting>
  <conditionalFormatting sqref="AC1:AC2 AC4:AC6 N4:N5">
    <cfRule type="cellIs" dxfId="285" priority="217" operator="greaterThan">
      <formula>0.9</formula>
    </cfRule>
    <cfRule type="cellIs" dxfId="284" priority="218" operator="greaterThan">
      <formula>0.85</formula>
    </cfRule>
  </conditionalFormatting>
  <conditionalFormatting sqref="N1:N2">
    <cfRule type="cellIs" dxfId="283" priority="215" operator="greaterThan">
      <formula>0.9</formula>
    </cfRule>
    <cfRule type="cellIs" dxfId="282" priority="216" operator="greaterThan">
      <formula>0.85</formula>
    </cfRule>
  </conditionalFormatting>
  <conditionalFormatting sqref="N6">
    <cfRule type="cellIs" dxfId="281" priority="213" operator="greaterThan">
      <formula>0.9</formula>
    </cfRule>
    <cfRule type="cellIs" dxfId="280" priority="214" operator="greaterThan">
      <formula>0.85</formula>
    </cfRule>
  </conditionalFormatting>
  <conditionalFormatting sqref="E6">
    <cfRule type="expression" dxfId="279" priority="209">
      <formula>AND(IF(OR($Q6=1,$Q6=2),1,0),IF($X6&lt;=20,1,0))</formula>
    </cfRule>
    <cfRule type="expression" dxfId="278" priority="210">
      <formula>AND(IF($Q6=2,1,0),IF($X6&lt;30,1,0))</formula>
    </cfRule>
    <cfRule type="expression" dxfId="277" priority="211">
      <formula>AND(IF($Q6=3,1,0),IF($X6&lt;30,1,0))</formula>
    </cfRule>
    <cfRule type="expression" dxfId="276" priority="212">
      <formula>AND(IF($Q6=3,1,IF($Q6=4,1,0)),IF($F6&lt;=85,1,0))</formula>
    </cfRule>
  </conditionalFormatting>
  <conditionalFormatting sqref="X6">
    <cfRule type="expression" dxfId="275" priority="205">
      <formula>AND(IF(OR($Q6=1,$Q6=2),1,0),IF($X6&lt;=20,1,0))</formula>
    </cfRule>
    <cfRule type="expression" dxfId="274" priority="206">
      <formula>AND(IF($Q6=2,1,0),IF($X6&lt;30,1,0))</formula>
    </cfRule>
    <cfRule type="expression" dxfId="273" priority="207">
      <formula>AND(IF($Q6=3,1,0),IF($X6&lt;30,1,0))</formula>
    </cfRule>
    <cfRule type="expression" dxfId="272" priority="208">
      <formula>AND(IF($Q6=3,1,IF($Q6=4,1,0)),IF($F6&lt;=85,1,0))</formula>
    </cfRule>
  </conditionalFormatting>
  <conditionalFormatting sqref="AI6">
    <cfRule type="expression" dxfId="271" priority="201">
      <formula>AND(IF(OR($Q6=1,$Q6=2),1,0),IF($X6&lt;=20,1,0))</formula>
    </cfRule>
    <cfRule type="expression" dxfId="270" priority="202">
      <formula>AND(IF($Q6=2,1,0),IF($X6&lt;30,1,0))</formula>
    </cfRule>
    <cfRule type="expression" dxfId="269" priority="203">
      <formula>AND(IF($Q6=3,1,0),IF($X6&lt;30,1,0))</formula>
    </cfRule>
    <cfRule type="expression" dxfId="268" priority="204">
      <formula>AND(IF($Q6=3,1,IF($Q6=4,1,0)),IF($F6&lt;=85,1,0))</formula>
    </cfRule>
  </conditionalFormatting>
  <conditionalFormatting sqref="AV7">
    <cfRule type="expression" dxfId="267" priority="199">
      <formula>AV7="X"</formula>
    </cfRule>
    <cfRule type="expression" dxfId="266" priority="200">
      <formula>AV7="후보"</formula>
    </cfRule>
  </conditionalFormatting>
  <conditionalFormatting sqref="AC7">
    <cfRule type="cellIs" dxfId="265" priority="196" operator="greaterThan">
      <formula>0.9</formula>
    </cfRule>
    <cfRule type="cellIs" dxfId="264" priority="197" operator="greaterThan">
      <formula>0.85</formula>
    </cfRule>
  </conditionalFormatting>
  <conditionalFormatting sqref="N7">
    <cfRule type="cellIs" dxfId="263" priority="194" operator="greaterThan">
      <formula>0.9</formula>
    </cfRule>
    <cfRule type="cellIs" dxfId="262" priority="195" operator="greaterThan">
      <formula>0.85</formula>
    </cfRule>
  </conditionalFormatting>
  <conditionalFormatting sqref="E7">
    <cfRule type="expression" dxfId="261" priority="190">
      <formula>AND(IF(OR($Q7=1,$Q7=2),1,0),IF($X7&lt;=20,1,0))</formula>
    </cfRule>
    <cfRule type="expression" dxfId="260" priority="191">
      <formula>AND(IF($Q7=2,1,0),IF($X7&lt;30,1,0))</formula>
    </cfRule>
    <cfRule type="expression" dxfId="259" priority="192">
      <formula>AND(IF($Q7=3,1,0),IF($X7&lt;30,1,0))</formula>
    </cfRule>
    <cfRule type="expression" dxfId="258" priority="193">
      <formula>AND(IF($Q7=3,1,IF($Q7=4,1,0)),IF($F7&lt;=85,1,0))</formula>
    </cfRule>
  </conditionalFormatting>
  <conditionalFormatting sqref="X7">
    <cfRule type="expression" dxfId="257" priority="186">
      <formula>AND(IF(OR($Q7=1,$Q7=2),1,0),IF($X7&lt;=20,1,0))</formula>
    </cfRule>
    <cfRule type="expression" dxfId="256" priority="187">
      <formula>AND(IF($Q7=2,1,0),IF($X7&lt;30,1,0))</formula>
    </cfRule>
    <cfRule type="expression" dxfId="255" priority="188">
      <formula>AND(IF($Q7=3,1,0),IF($X7&lt;30,1,0))</formula>
    </cfRule>
    <cfRule type="expression" dxfId="254" priority="189">
      <formula>AND(IF($Q7=3,1,IF($Q7=4,1,0)),IF($F7&lt;=85,1,0))</formula>
    </cfRule>
  </conditionalFormatting>
  <conditionalFormatting sqref="AI7">
    <cfRule type="expression" dxfId="253" priority="182">
      <formula>AND(IF(OR($Q7=1,$Q7=2),1,0),IF($X7&lt;=20,1,0))</formula>
    </cfRule>
    <cfRule type="expression" dxfId="252" priority="183">
      <formula>AND(IF($Q7=2,1,0),IF($X7&lt;30,1,0))</formula>
    </cfRule>
    <cfRule type="expression" dxfId="251" priority="184">
      <formula>AND(IF($Q7=3,1,0),IF($X7&lt;30,1,0))</formula>
    </cfRule>
    <cfRule type="expression" dxfId="250" priority="185">
      <formula>AND(IF($Q7=3,1,IF($Q7=4,1,0)),IF($F7&lt;=85,1,0))</formula>
    </cfRule>
  </conditionalFormatting>
  <conditionalFormatting sqref="AV8">
    <cfRule type="expression" dxfId="249" priority="180">
      <formula>AV8="X"</formula>
    </cfRule>
    <cfRule type="expression" dxfId="248" priority="181">
      <formula>AV8="후보"</formula>
    </cfRule>
  </conditionalFormatting>
  <conditionalFormatting sqref="AC8">
    <cfRule type="cellIs" dxfId="247" priority="177" operator="greaterThan">
      <formula>0.9</formula>
    </cfRule>
    <cfRule type="cellIs" dxfId="246" priority="178" operator="greaterThan">
      <formula>0.85</formula>
    </cfRule>
  </conditionalFormatting>
  <conditionalFormatting sqref="N8">
    <cfRule type="cellIs" dxfId="245" priority="175" operator="greaterThan">
      <formula>0.9</formula>
    </cfRule>
    <cfRule type="cellIs" dxfId="244" priority="176" operator="greaterThan">
      <formula>0.85</formula>
    </cfRule>
  </conditionalFormatting>
  <conditionalFormatting sqref="E8">
    <cfRule type="expression" dxfId="243" priority="171">
      <formula>AND(IF(OR($Q8=1,$Q8=2),1,0),IF($X8&lt;=20,1,0))</formula>
    </cfRule>
    <cfRule type="expression" dxfId="242" priority="172">
      <formula>AND(IF($Q8=2,1,0),IF($X8&lt;30,1,0))</formula>
    </cfRule>
    <cfRule type="expression" dxfId="241" priority="173">
      <formula>AND(IF($Q8=3,1,0),IF($X8&lt;30,1,0))</formula>
    </cfRule>
    <cfRule type="expression" dxfId="240" priority="174">
      <formula>AND(IF($Q8=3,1,IF($Q8=4,1,0)),IF($F8&lt;=85,1,0))</formula>
    </cfRule>
  </conditionalFormatting>
  <conditionalFormatting sqref="X8">
    <cfRule type="expression" dxfId="239" priority="167">
      <formula>AND(IF(OR($Q8=1,$Q8=2),1,0),IF($X8&lt;=20,1,0))</formula>
    </cfRule>
    <cfRule type="expression" dxfId="238" priority="168">
      <formula>AND(IF($Q8=2,1,0),IF($X8&lt;30,1,0))</formula>
    </cfRule>
    <cfRule type="expression" dxfId="237" priority="169">
      <formula>AND(IF($Q8=3,1,0),IF($X8&lt;30,1,0))</formula>
    </cfRule>
    <cfRule type="expression" dxfId="236" priority="170">
      <formula>AND(IF($Q8=3,1,IF($Q8=4,1,0)),IF($F8&lt;=85,1,0))</formula>
    </cfRule>
  </conditionalFormatting>
  <conditionalFormatting sqref="AI8">
    <cfRule type="expression" dxfId="235" priority="163">
      <formula>AND(IF(OR($Q8=1,$Q8=2),1,0),IF($X8&lt;=20,1,0))</formula>
    </cfRule>
    <cfRule type="expression" dxfId="234" priority="164">
      <formula>AND(IF($Q8=2,1,0),IF($X8&lt;30,1,0))</formula>
    </cfRule>
    <cfRule type="expression" dxfId="233" priority="165">
      <formula>AND(IF($Q8=3,1,0),IF($X8&lt;30,1,0))</formula>
    </cfRule>
    <cfRule type="expression" dxfId="232" priority="166">
      <formula>AND(IF($Q8=3,1,IF($Q8=4,1,0)),IF($F8&lt;=85,1,0))</formula>
    </cfRule>
  </conditionalFormatting>
  <conditionalFormatting sqref="AV9">
    <cfRule type="expression" dxfId="231" priority="161">
      <formula>AV9="X"</formula>
    </cfRule>
    <cfRule type="expression" dxfId="230" priority="162">
      <formula>AV9="후보"</formula>
    </cfRule>
  </conditionalFormatting>
  <conditionalFormatting sqref="AC9 N9">
    <cfRule type="cellIs" dxfId="229" priority="158" operator="greaterThan">
      <formula>0.9</formula>
    </cfRule>
    <cfRule type="cellIs" dxfId="228" priority="159" operator="greaterThan">
      <formula>0.85</formula>
    </cfRule>
  </conditionalFormatting>
  <conditionalFormatting sqref="AV10">
    <cfRule type="expression" dxfId="227" priority="156">
      <formula>AV10="X"</formula>
    </cfRule>
    <cfRule type="expression" dxfId="226" priority="157">
      <formula>AV10="후보"</formula>
    </cfRule>
  </conditionalFormatting>
  <conditionalFormatting sqref="AC10">
    <cfRule type="cellIs" dxfId="225" priority="153" operator="greaterThan">
      <formula>0.9</formula>
    </cfRule>
    <cfRule type="cellIs" dxfId="224" priority="154" operator="greaterThan">
      <formula>0.85</formula>
    </cfRule>
  </conditionalFormatting>
  <conditionalFormatting sqref="N10">
    <cfRule type="cellIs" dxfId="223" priority="151" operator="greaterThan">
      <formula>0.9</formula>
    </cfRule>
    <cfRule type="cellIs" dxfId="222" priority="152" operator="greaterThan">
      <formula>0.85</formula>
    </cfRule>
  </conditionalFormatting>
  <conditionalFormatting sqref="E10">
    <cfRule type="expression" dxfId="221" priority="147">
      <formula>AND(IF(OR($Q10=1,$Q10=2),1,0),IF($X10&lt;=20,1,0))</formula>
    </cfRule>
    <cfRule type="expression" dxfId="220" priority="148">
      <formula>AND(IF($Q10=2,1,0),IF($X10&lt;30,1,0))</formula>
    </cfRule>
    <cfRule type="expression" dxfId="219" priority="149">
      <formula>AND(IF($Q10=3,1,0),IF($X10&lt;30,1,0))</formula>
    </cfRule>
    <cfRule type="expression" dxfId="218" priority="150">
      <formula>AND(IF($Q10=3,1,IF($Q10=4,1,0)),IF($F10&lt;=85,1,0))</formula>
    </cfRule>
  </conditionalFormatting>
  <conditionalFormatting sqref="X10">
    <cfRule type="expression" dxfId="217" priority="143">
      <formula>AND(IF(OR($Q10=1,$Q10=2),1,0),IF($X10&lt;=20,1,0))</formula>
    </cfRule>
    <cfRule type="expression" dxfId="216" priority="144">
      <formula>AND(IF($Q10=2,1,0),IF($X10&lt;30,1,0))</formula>
    </cfRule>
    <cfRule type="expression" dxfId="215" priority="145">
      <formula>AND(IF($Q10=3,1,0),IF($X10&lt;30,1,0))</formula>
    </cfRule>
    <cfRule type="expression" dxfId="214" priority="146">
      <formula>AND(IF($Q10=3,1,IF($Q10=4,1,0)),IF($F10&lt;=85,1,0))</formula>
    </cfRule>
  </conditionalFormatting>
  <conditionalFormatting sqref="AI10">
    <cfRule type="expression" dxfId="213" priority="139">
      <formula>AND(IF(OR($Q10=1,$Q10=2),1,0),IF($X10&lt;=20,1,0))</formula>
    </cfRule>
    <cfRule type="expression" dxfId="212" priority="140">
      <formula>AND(IF($Q10=2,1,0),IF($X10&lt;30,1,0))</formula>
    </cfRule>
    <cfRule type="expression" dxfId="211" priority="141">
      <formula>AND(IF($Q10=3,1,0),IF($X10&lt;30,1,0))</formula>
    </cfRule>
    <cfRule type="expression" dxfId="210" priority="142">
      <formula>AND(IF($Q10=3,1,IF($Q10=4,1,0)),IF($F10&lt;=85,1,0))</formula>
    </cfRule>
  </conditionalFormatting>
  <conditionalFormatting sqref="AV11">
    <cfRule type="expression" dxfId="209" priority="137">
      <formula>AV11="X"</formula>
    </cfRule>
    <cfRule type="expression" dxfId="208" priority="138">
      <formula>AV11="후보"</formula>
    </cfRule>
  </conditionalFormatting>
  <conditionalFormatting sqref="AC11">
    <cfRule type="cellIs" dxfId="207" priority="134" operator="greaterThan">
      <formula>0.9</formula>
    </cfRule>
    <cfRule type="cellIs" dxfId="206" priority="135" operator="greaterThan">
      <formula>0.85</formula>
    </cfRule>
  </conditionalFormatting>
  <conditionalFormatting sqref="N11">
    <cfRule type="cellIs" dxfId="205" priority="132" operator="greaterThan">
      <formula>0.9</formula>
    </cfRule>
    <cfRule type="cellIs" dxfId="204" priority="133" operator="greaterThan">
      <formula>0.85</formula>
    </cfRule>
  </conditionalFormatting>
  <conditionalFormatting sqref="E11">
    <cfRule type="expression" dxfId="203" priority="128">
      <formula>AND(IF(OR($Q11=1,$Q11=2),1,0),IF($X11&lt;=20,1,0))</formula>
    </cfRule>
    <cfRule type="expression" dxfId="202" priority="129">
      <formula>AND(IF($Q11=2,1,0),IF($X11&lt;30,1,0))</formula>
    </cfRule>
    <cfRule type="expression" dxfId="201" priority="130">
      <formula>AND(IF($Q11=3,1,0),IF($X11&lt;30,1,0))</formula>
    </cfRule>
    <cfRule type="expression" dxfId="200" priority="131">
      <formula>AND(IF($Q11=3,1,IF($Q11=4,1,0)),IF($F11&lt;=85,1,0))</formula>
    </cfRule>
  </conditionalFormatting>
  <conditionalFormatting sqref="X11">
    <cfRule type="expression" dxfId="199" priority="124">
      <formula>AND(IF(OR($Q11=1,$Q11=2),1,0),IF($X11&lt;=20,1,0))</formula>
    </cfRule>
    <cfRule type="expression" dxfId="198" priority="125">
      <formula>AND(IF($Q11=2,1,0),IF($X11&lt;30,1,0))</formula>
    </cfRule>
    <cfRule type="expression" dxfId="197" priority="126">
      <formula>AND(IF($Q11=3,1,0),IF($X11&lt;30,1,0))</formula>
    </cfRule>
    <cfRule type="expression" dxfId="196" priority="127">
      <formula>AND(IF($Q11=3,1,IF($Q11=4,1,0)),IF($F11&lt;=85,1,0))</formula>
    </cfRule>
  </conditionalFormatting>
  <conditionalFormatting sqref="AI11">
    <cfRule type="expression" dxfId="195" priority="120">
      <formula>AND(IF(OR($Q11=1,$Q11=2),1,0),IF($X11&lt;=20,1,0))</formula>
    </cfRule>
    <cfRule type="expression" dxfId="194" priority="121">
      <formula>AND(IF($Q11=2,1,0),IF($X11&lt;30,1,0))</formula>
    </cfRule>
    <cfRule type="expression" dxfId="193" priority="122">
      <formula>AND(IF($Q11=3,1,0),IF($X11&lt;30,1,0))</formula>
    </cfRule>
    <cfRule type="expression" dxfId="192" priority="123">
      <formula>AND(IF($Q11=3,1,IF($Q11=4,1,0)),IF($F11&lt;=85,1,0))</formula>
    </cfRule>
  </conditionalFormatting>
  <conditionalFormatting sqref="AV12">
    <cfRule type="expression" dxfId="191" priority="118">
      <formula>AV12="X"</formula>
    </cfRule>
    <cfRule type="expression" dxfId="190" priority="119">
      <formula>AV12="후보"</formula>
    </cfRule>
  </conditionalFormatting>
  <conditionalFormatting sqref="AC12">
    <cfRule type="cellIs" dxfId="189" priority="115" operator="greaterThan">
      <formula>0.9</formula>
    </cfRule>
    <cfRule type="cellIs" dxfId="188" priority="116" operator="greaterThan">
      <formula>0.85</formula>
    </cfRule>
  </conditionalFormatting>
  <conditionalFormatting sqref="N12">
    <cfRule type="cellIs" dxfId="187" priority="113" operator="greaterThan">
      <formula>0.9</formula>
    </cfRule>
    <cfRule type="cellIs" dxfId="186" priority="114" operator="greaterThan">
      <formula>0.85</formula>
    </cfRule>
  </conditionalFormatting>
  <conditionalFormatting sqref="E12">
    <cfRule type="expression" dxfId="185" priority="109">
      <formula>AND(IF(OR($Q12=1,$Q12=2),1,0),IF($X12&lt;=20,1,0))</formula>
    </cfRule>
    <cfRule type="expression" dxfId="184" priority="110">
      <formula>AND(IF($Q12=2,1,0),IF($X12&lt;30,1,0))</formula>
    </cfRule>
    <cfRule type="expression" dxfId="183" priority="111">
      <formula>AND(IF($Q12=3,1,0),IF($X12&lt;30,1,0))</formula>
    </cfRule>
    <cfRule type="expression" dxfId="182" priority="112">
      <formula>AND(IF($Q12=3,1,IF($Q12=4,1,0)),IF($F12&lt;=85,1,0))</formula>
    </cfRule>
  </conditionalFormatting>
  <conditionalFormatting sqref="X12">
    <cfRule type="expression" dxfId="181" priority="105">
      <formula>AND(IF(OR($Q12=1,$Q12=2),1,0),IF($X12&lt;=20,1,0))</formula>
    </cfRule>
    <cfRule type="expression" dxfId="180" priority="106">
      <formula>AND(IF($Q12=2,1,0),IF($X12&lt;30,1,0))</formula>
    </cfRule>
    <cfRule type="expression" dxfId="179" priority="107">
      <formula>AND(IF($Q12=3,1,0),IF($X12&lt;30,1,0))</formula>
    </cfRule>
    <cfRule type="expression" dxfId="178" priority="108">
      <formula>AND(IF($Q12=3,1,IF($Q12=4,1,0)),IF($F12&lt;=85,1,0))</formula>
    </cfRule>
  </conditionalFormatting>
  <conditionalFormatting sqref="AI12">
    <cfRule type="expression" dxfId="177" priority="101">
      <formula>AND(IF(OR($Q12=1,$Q12=2),1,0),IF($X12&lt;=20,1,0))</formula>
    </cfRule>
    <cfRule type="expression" dxfId="176" priority="102">
      <formula>AND(IF($Q12=2,1,0),IF($X12&lt;30,1,0))</formula>
    </cfRule>
    <cfRule type="expression" dxfId="175" priority="103">
      <formula>AND(IF($Q12=3,1,0),IF($X12&lt;30,1,0))</formula>
    </cfRule>
    <cfRule type="expression" dxfId="174" priority="104">
      <formula>AND(IF($Q12=3,1,IF($Q12=4,1,0)),IF($F12&lt;=85,1,0))</formula>
    </cfRule>
  </conditionalFormatting>
  <conditionalFormatting sqref="AV13">
    <cfRule type="expression" dxfId="173" priority="99">
      <formula>AV13="X"</formula>
    </cfRule>
    <cfRule type="expression" dxfId="172" priority="100">
      <formula>AV13="후보"</formula>
    </cfRule>
  </conditionalFormatting>
  <conditionalFormatting sqref="AC13 N13">
    <cfRule type="cellIs" dxfId="171" priority="96" operator="greaterThan">
      <formula>0.9</formula>
    </cfRule>
    <cfRule type="cellIs" dxfId="170" priority="97" operator="greaterThan">
      <formula>0.85</formula>
    </cfRule>
  </conditionalFormatting>
  <conditionalFormatting sqref="AV14">
    <cfRule type="expression" dxfId="169" priority="94">
      <formula>AV14="X"</formula>
    </cfRule>
    <cfRule type="expression" dxfId="168" priority="95">
      <formula>AV14="후보"</formula>
    </cfRule>
  </conditionalFormatting>
  <conditionalFormatting sqref="AC14">
    <cfRule type="cellIs" dxfId="167" priority="91" operator="greaterThan">
      <formula>0.9</formula>
    </cfRule>
    <cfRule type="cellIs" dxfId="166" priority="92" operator="greaterThan">
      <formula>0.85</formula>
    </cfRule>
  </conditionalFormatting>
  <conditionalFormatting sqref="N14">
    <cfRule type="cellIs" dxfId="165" priority="89" operator="greaterThan">
      <formula>0.9</formula>
    </cfRule>
    <cfRule type="cellIs" dxfId="164" priority="90" operator="greaterThan">
      <formula>0.85</formula>
    </cfRule>
  </conditionalFormatting>
  <conditionalFormatting sqref="E14">
    <cfRule type="expression" dxfId="163" priority="85">
      <formula>AND(IF(OR($Q14=1,$Q14=2),1,0),IF($X14&lt;=20,1,0))</formula>
    </cfRule>
    <cfRule type="expression" dxfId="162" priority="86">
      <formula>AND(IF($Q14=2,1,0),IF($X14&lt;30,1,0))</formula>
    </cfRule>
    <cfRule type="expression" dxfId="161" priority="87">
      <formula>AND(IF($Q14=3,1,0),IF($X14&lt;30,1,0))</formula>
    </cfRule>
    <cfRule type="expression" dxfId="160" priority="88">
      <formula>AND(IF($Q14=3,1,IF($Q14=4,1,0)),IF($F14&lt;=85,1,0))</formula>
    </cfRule>
  </conditionalFormatting>
  <conditionalFormatting sqref="X14">
    <cfRule type="expression" dxfId="159" priority="81">
      <formula>AND(IF(OR($Q14=1,$Q14=2),1,0),IF($X14&lt;=20,1,0))</formula>
    </cfRule>
    <cfRule type="expression" dxfId="158" priority="82">
      <formula>AND(IF($Q14=2,1,0),IF($X14&lt;30,1,0))</formula>
    </cfRule>
    <cfRule type="expression" dxfId="157" priority="83">
      <formula>AND(IF($Q14=3,1,0),IF($X14&lt;30,1,0))</formula>
    </cfRule>
    <cfRule type="expression" dxfId="156" priority="84">
      <formula>AND(IF($Q14=3,1,IF($Q14=4,1,0)),IF($F14&lt;=85,1,0))</formula>
    </cfRule>
  </conditionalFormatting>
  <conditionalFormatting sqref="AI14">
    <cfRule type="expression" dxfId="155" priority="77">
      <formula>AND(IF(OR($Q14=1,$Q14=2),1,0),IF($X14&lt;=20,1,0))</formula>
    </cfRule>
    <cfRule type="expression" dxfId="154" priority="78">
      <formula>AND(IF($Q14=2,1,0),IF($X14&lt;30,1,0))</formula>
    </cfRule>
    <cfRule type="expression" dxfId="153" priority="79">
      <formula>AND(IF($Q14=3,1,0),IF($X14&lt;30,1,0))</formula>
    </cfRule>
    <cfRule type="expression" dxfId="152" priority="80">
      <formula>AND(IF($Q14=3,1,IF($Q14=4,1,0)),IF($F14&lt;=85,1,0))</formula>
    </cfRule>
  </conditionalFormatting>
  <conditionalFormatting sqref="AV15">
    <cfRule type="expression" dxfId="151" priority="75">
      <formula>AV15="X"</formula>
    </cfRule>
    <cfRule type="expression" dxfId="150" priority="76">
      <formula>AV15="후보"</formula>
    </cfRule>
  </conditionalFormatting>
  <conditionalFormatting sqref="AC15">
    <cfRule type="cellIs" dxfId="149" priority="72" operator="greaterThan">
      <formula>0.9</formula>
    </cfRule>
    <cfRule type="cellIs" dxfId="148" priority="73" operator="greaterThan">
      <formula>0.85</formula>
    </cfRule>
  </conditionalFormatting>
  <conditionalFormatting sqref="N15">
    <cfRule type="cellIs" dxfId="147" priority="70" operator="greaterThan">
      <formula>0.9</formula>
    </cfRule>
    <cfRule type="cellIs" dxfId="146" priority="71" operator="greaterThan">
      <formula>0.85</formula>
    </cfRule>
  </conditionalFormatting>
  <conditionalFormatting sqref="E15">
    <cfRule type="expression" dxfId="145" priority="66">
      <formula>AND(IF(OR($Q15=1,$Q15=2),1,0),IF($X15&lt;=20,1,0))</formula>
    </cfRule>
    <cfRule type="expression" dxfId="144" priority="67">
      <formula>AND(IF($Q15=2,1,0),IF($X15&lt;30,1,0))</formula>
    </cfRule>
    <cfRule type="expression" dxfId="143" priority="68">
      <formula>AND(IF($Q15=3,1,0),IF($X15&lt;30,1,0))</formula>
    </cfRule>
    <cfRule type="expression" dxfId="142" priority="69">
      <formula>AND(IF($Q15=3,1,IF($Q15=4,1,0)),IF($F15&lt;=85,1,0))</formula>
    </cfRule>
  </conditionalFormatting>
  <conditionalFormatting sqref="X15">
    <cfRule type="expression" dxfId="141" priority="62">
      <formula>AND(IF(OR($Q15=1,$Q15=2),1,0),IF($X15&lt;=20,1,0))</formula>
    </cfRule>
    <cfRule type="expression" dxfId="140" priority="63">
      <formula>AND(IF($Q15=2,1,0),IF($X15&lt;30,1,0))</formula>
    </cfRule>
    <cfRule type="expression" dxfId="139" priority="64">
      <formula>AND(IF($Q15=3,1,0),IF($X15&lt;30,1,0))</formula>
    </cfRule>
    <cfRule type="expression" dxfId="138" priority="65">
      <formula>AND(IF($Q15=3,1,IF($Q15=4,1,0)),IF($F15&lt;=85,1,0))</formula>
    </cfRule>
  </conditionalFormatting>
  <conditionalFormatting sqref="AI15">
    <cfRule type="expression" dxfId="137" priority="58">
      <formula>AND(IF(OR($Q15=1,$Q15=2),1,0),IF($X15&lt;=20,1,0))</formula>
    </cfRule>
    <cfRule type="expression" dxfId="136" priority="59">
      <formula>AND(IF($Q15=2,1,0),IF($X15&lt;30,1,0))</formula>
    </cfRule>
    <cfRule type="expression" dxfId="135" priority="60">
      <formula>AND(IF($Q15=3,1,0),IF($X15&lt;30,1,0))</formula>
    </cfRule>
    <cfRule type="expression" dxfId="134" priority="61">
      <formula>AND(IF($Q15=3,1,IF($Q15=4,1,0)),IF($F15&lt;=85,1,0))</formula>
    </cfRule>
  </conditionalFormatting>
  <conditionalFormatting sqref="AV16">
    <cfRule type="expression" dxfId="133" priority="56">
      <formula>AV16="X"</formula>
    </cfRule>
    <cfRule type="expression" dxfId="132" priority="57">
      <formula>AV16="후보"</formula>
    </cfRule>
  </conditionalFormatting>
  <conditionalFormatting sqref="AC16">
    <cfRule type="cellIs" dxfId="131" priority="53" operator="greaterThan">
      <formula>0.9</formula>
    </cfRule>
    <cfRule type="cellIs" dxfId="130" priority="54" operator="greaterThan">
      <formula>0.85</formula>
    </cfRule>
  </conditionalFormatting>
  <conditionalFormatting sqref="N16">
    <cfRule type="cellIs" dxfId="129" priority="51" operator="greaterThan">
      <formula>0.9</formula>
    </cfRule>
    <cfRule type="cellIs" dxfId="128" priority="52" operator="greaterThan">
      <formula>0.85</formula>
    </cfRule>
  </conditionalFormatting>
  <conditionalFormatting sqref="E16">
    <cfRule type="expression" dxfId="127" priority="47">
      <formula>AND(IF(OR($Q16=1,$Q16=2),1,0),IF($X16&lt;=20,1,0))</formula>
    </cfRule>
    <cfRule type="expression" dxfId="126" priority="48">
      <formula>AND(IF($Q16=2,1,0),IF($X16&lt;30,1,0))</formula>
    </cfRule>
    <cfRule type="expression" dxfId="125" priority="49">
      <formula>AND(IF($Q16=3,1,0),IF($X16&lt;30,1,0))</formula>
    </cfRule>
    <cfRule type="expression" dxfId="124" priority="50">
      <formula>AND(IF($Q16=3,1,IF($Q16=4,1,0)),IF($F16&lt;=85,1,0))</formula>
    </cfRule>
  </conditionalFormatting>
  <conditionalFormatting sqref="X16">
    <cfRule type="expression" dxfId="123" priority="43">
      <formula>AND(IF(OR($Q16=1,$Q16=2),1,0),IF($X16&lt;=20,1,0))</formula>
    </cfRule>
    <cfRule type="expression" dxfId="122" priority="44">
      <formula>AND(IF($Q16=2,1,0),IF($X16&lt;30,1,0))</formula>
    </cfRule>
    <cfRule type="expression" dxfId="121" priority="45">
      <formula>AND(IF($Q16=3,1,0),IF($X16&lt;30,1,0))</formula>
    </cfRule>
    <cfRule type="expression" dxfId="120" priority="46">
      <formula>AND(IF($Q16=3,1,IF($Q16=4,1,0)),IF($F16&lt;=85,1,0))</formula>
    </cfRule>
  </conditionalFormatting>
  <conditionalFormatting sqref="AI16">
    <cfRule type="expression" dxfId="119" priority="39">
      <formula>AND(IF(OR($Q16=1,$Q16=2),1,0),IF($X16&lt;=20,1,0))</formula>
    </cfRule>
    <cfRule type="expression" dxfId="118" priority="40">
      <formula>AND(IF($Q16=2,1,0),IF($X16&lt;30,1,0))</formula>
    </cfRule>
    <cfRule type="expression" dxfId="117" priority="41">
      <formula>AND(IF($Q16=3,1,0),IF($X16&lt;30,1,0))</formula>
    </cfRule>
    <cfRule type="expression" dxfId="116" priority="42">
      <formula>AND(IF($Q16=3,1,IF($Q16=4,1,0)),IF($F16&lt;=85,1,0))</formula>
    </cfRule>
  </conditionalFormatting>
  <conditionalFormatting sqref="AV17">
    <cfRule type="expression" dxfId="115" priority="37">
      <formula>AV17="X"</formula>
    </cfRule>
    <cfRule type="expression" dxfId="114" priority="38">
      <formula>AV17="후보"</formula>
    </cfRule>
  </conditionalFormatting>
  <conditionalFormatting sqref="AC17">
    <cfRule type="cellIs" dxfId="113" priority="34" operator="greaterThan">
      <formula>0.9</formula>
    </cfRule>
    <cfRule type="cellIs" dxfId="112" priority="35" operator="greaterThan">
      <formula>0.85</formula>
    </cfRule>
  </conditionalFormatting>
  <conditionalFormatting sqref="N17">
    <cfRule type="cellIs" dxfId="111" priority="32" operator="greaterThan">
      <formula>0.9</formula>
    </cfRule>
    <cfRule type="cellIs" dxfId="110" priority="33" operator="greaterThan">
      <formula>0.85</formula>
    </cfRule>
  </conditionalFormatting>
  <conditionalFormatting sqref="E17">
    <cfRule type="expression" dxfId="109" priority="28">
      <formula>AND(IF(OR($Q17=1,$Q17=2),1,0),IF($X17&lt;=20,1,0))</formula>
    </cfRule>
    <cfRule type="expression" dxfId="108" priority="29">
      <formula>AND(IF($Q17=2,1,0),IF($X17&lt;30,1,0))</formula>
    </cfRule>
    <cfRule type="expression" dxfId="107" priority="30">
      <formula>AND(IF($Q17=3,1,0),IF($X17&lt;30,1,0))</formula>
    </cfRule>
    <cfRule type="expression" dxfId="106" priority="31">
      <formula>AND(IF($Q17=3,1,IF($Q17=4,1,0)),IF($F17&lt;=85,1,0))</formula>
    </cfRule>
  </conditionalFormatting>
  <conditionalFormatting sqref="X17">
    <cfRule type="expression" dxfId="105" priority="24">
      <formula>AND(IF(OR($Q17=1,$Q17=2),1,0),IF($X17&lt;=20,1,0))</formula>
    </cfRule>
    <cfRule type="expression" dxfId="104" priority="25">
      <formula>AND(IF($Q17=2,1,0),IF($X17&lt;30,1,0))</formula>
    </cfRule>
    <cfRule type="expression" dxfId="103" priority="26">
      <formula>AND(IF($Q17=3,1,0),IF($X17&lt;30,1,0))</formula>
    </cfRule>
    <cfRule type="expression" dxfId="102" priority="27">
      <formula>AND(IF($Q17=3,1,IF($Q17=4,1,0)),IF($F17&lt;=85,1,0))</formula>
    </cfRule>
  </conditionalFormatting>
  <conditionalFormatting sqref="AI17">
    <cfRule type="expression" dxfId="101" priority="20">
      <formula>AND(IF(OR($Q17=1,$Q17=2),1,0),IF($X17&lt;=20,1,0))</formula>
    </cfRule>
    <cfRule type="expression" dxfId="100" priority="21">
      <formula>AND(IF($Q17=2,1,0),IF($X17&lt;30,1,0))</formula>
    </cfRule>
    <cfRule type="expression" dxfId="99" priority="22">
      <formula>AND(IF($Q17=3,1,0),IF($X17&lt;30,1,0))</formula>
    </cfRule>
    <cfRule type="expression" dxfId="98" priority="23">
      <formula>AND(IF($Q17=3,1,IF($Q17=4,1,0)),IF($F17&lt;=85,1,0))</formula>
    </cfRule>
  </conditionalFormatting>
  <conditionalFormatting sqref="AV18">
    <cfRule type="expression" dxfId="97" priority="18">
      <formula>AV18="X"</formula>
    </cfRule>
    <cfRule type="expression" dxfId="96" priority="19">
      <formula>AV18="후보"</formula>
    </cfRule>
  </conditionalFormatting>
  <conditionalFormatting sqref="AC18">
    <cfRule type="cellIs" dxfId="95" priority="15" operator="greaterThan">
      <formula>0.9</formula>
    </cfRule>
    <cfRule type="cellIs" dxfId="94" priority="16" operator="greaterThan">
      <formula>0.85</formula>
    </cfRule>
  </conditionalFormatting>
  <conditionalFormatting sqref="N18">
    <cfRule type="cellIs" dxfId="93" priority="13" operator="greaterThan">
      <formula>0.9</formula>
    </cfRule>
    <cfRule type="cellIs" dxfId="92" priority="14" operator="greaterThan">
      <formula>0.85</formula>
    </cfRule>
  </conditionalFormatting>
  <conditionalFormatting sqref="E18">
    <cfRule type="expression" dxfId="91" priority="9">
      <formula>AND(IF(OR($Q18=1,$Q18=2),1,0),IF($X18&lt;=20,1,0))</formula>
    </cfRule>
    <cfRule type="expression" dxfId="90" priority="10">
      <formula>AND(IF($Q18=2,1,0),IF($X18&lt;30,1,0))</formula>
    </cfRule>
    <cfRule type="expression" dxfId="89" priority="11">
      <formula>AND(IF($Q18=3,1,0),IF($X18&lt;30,1,0))</formula>
    </cfRule>
    <cfRule type="expression" dxfId="88" priority="12">
      <formula>AND(IF($Q18=3,1,IF($Q18=4,1,0)),IF($F18&lt;=85,1,0))</formula>
    </cfRule>
  </conditionalFormatting>
  <conditionalFormatting sqref="X18">
    <cfRule type="expression" dxfId="87" priority="5">
      <formula>AND(IF(OR($Q18=1,$Q18=2),1,0),IF($X18&lt;=20,1,0))</formula>
    </cfRule>
    <cfRule type="expression" dxfId="86" priority="6">
      <formula>AND(IF($Q18=2,1,0),IF($X18&lt;30,1,0))</formula>
    </cfRule>
    <cfRule type="expression" dxfId="85" priority="7">
      <formula>AND(IF($Q18=3,1,0),IF($X18&lt;30,1,0))</formula>
    </cfRule>
    <cfRule type="expression" dxfId="84" priority="8">
      <formula>AND(IF($Q18=3,1,IF($Q18=4,1,0)),IF($F18&lt;=85,1,0))</formula>
    </cfRule>
  </conditionalFormatting>
  <conditionalFormatting sqref="AI18">
    <cfRule type="expression" dxfId="83" priority="1">
      <formula>AND(IF(OR($Q18=1,$Q18=2),1,0),IF($X18&lt;=20,1,0))</formula>
    </cfRule>
    <cfRule type="expression" dxfId="82" priority="2">
      <formula>AND(IF($Q18=2,1,0),IF($X18&lt;30,1,0))</formula>
    </cfRule>
    <cfRule type="expression" dxfId="81" priority="3">
      <formula>AND(IF($Q18=3,1,0),IF($X18&lt;30,1,0))</formula>
    </cfRule>
    <cfRule type="expression" dxfId="80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주중동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872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주중동 대원칸타빌2차('14.04.,780^)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879</v>
      </c>
      <c r="B6" s="10" t="s">
        <v>953</v>
      </c>
      <c r="C6" s="89">
        <v>780</v>
      </c>
      <c r="D6" s="87">
        <v>109.2</v>
      </c>
      <c r="E6" s="88">
        <v>33</v>
      </c>
      <c r="F6" s="87">
        <v>84.8</v>
      </c>
      <c r="G6" s="17">
        <v>26</v>
      </c>
      <c r="H6" s="89">
        <v>414</v>
      </c>
      <c r="I6" s="90">
        <v>45000</v>
      </c>
      <c r="J6" s="90" t="s">
        <v>69</v>
      </c>
      <c r="K6" s="90">
        <v>39000</v>
      </c>
      <c r="L6" s="90" t="s">
        <v>89</v>
      </c>
      <c r="M6" s="91">
        <f>I6-K6</f>
        <v>6000</v>
      </c>
      <c r="N6" s="4">
        <f>IF(ISERROR(K6/I6),"",K6/I6)</f>
        <v>0.8666666666666667</v>
      </c>
      <c r="O6" s="92">
        <f>I6/E6</f>
        <v>1363.6363636363637</v>
      </c>
      <c r="P6" s="92">
        <f>K6/E6</f>
        <v>1181.8181818181818</v>
      </c>
      <c r="Q6" s="80">
        <v>3</v>
      </c>
      <c r="R6" s="80">
        <v>2</v>
      </c>
      <c r="S6" s="80" t="s">
        <v>61</v>
      </c>
      <c r="T6" s="5" t="s">
        <v>90</v>
      </c>
      <c r="U6" s="9"/>
      <c r="W6" s="87">
        <f t="shared" ref="W6:X8" si="1">D6</f>
        <v>109.2</v>
      </c>
      <c r="X6" s="88">
        <f t="shared" si="1"/>
        <v>33</v>
      </c>
      <c r="Y6" s="93">
        <f t="shared" ref="Y6:Z8" si="2">H6</f>
        <v>414</v>
      </c>
      <c r="Z6" s="91">
        <f t="shared" si="2"/>
        <v>45000</v>
      </c>
      <c r="AA6" s="91">
        <f>K6</f>
        <v>39000</v>
      </c>
      <c r="AB6" s="91">
        <f t="shared" ref="AB6:AD8" si="3">M6</f>
        <v>6000</v>
      </c>
      <c r="AC6" s="4">
        <f t="shared" si="3"/>
        <v>0.8666666666666667</v>
      </c>
      <c r="AD6" s="92">
        <f t="shared" si="3"/>
        <v>1363.6363636363637</v>
      </c>
      <c r="AE6" s="80" t="str">
        <f>S6</f>
        <v>계</v>
      </c>
      <c r="AF6" s="80" t="str">
        <f>Q6&amp;"/"&amp;R6</f>
        <v>3/2</v>
      </c>
      <c r="AH6" s="20" t="str">
        <f>IF(A6="","",A6)</f>
        <v>대원칸타빌2차</v>
      </c>
      <c r="AI6" s="88">
        <f t="shared" si="0"/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X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879</v>
      </c>
      <c r="B7" s="10" t="s">
        <v>953</v>
      </c>
      <c r="C7" s="89">
        <v>780</v>
      </c>
      <c r="D7" s="87">
        <v>109.9</v>
      </c>
      <c r="E7" s="88">
        <v>33</v>
      </c>
      <c r="F7" s="87">
        <v>84.4</v>
      </c>
      <c r="G7" s="17">
        <v>26</v>
      </c>
      <c r="H7" s="89">
        <v>207</v>
      </c>
      <c r="I7" s="90">
        <v>45000</v>
      </c>
      <c r="J7" s="90" t="s">
        <v>101</v>
      </c>
      <c r="K7" s="90"/>
      <c r="L7" s="90"/>
      <c r="M7" s="91">
        <f>I7-K7</f>
        <v>45000</v>
      </c>
      <c r="N7" s="4">
        <f>IF(ISERROR(K7/I7),"",K7/I7)</f>
        <v>0</v>
      </c>
      <c r="O7" s="92">
        <f>I7/E7</f>
        <v>1363.6363636363637</v>
      </c>
      <c r="P7" s="92">
        <f>K7/E7</f>
        <v>0</v>
      </c>
      <c r="Q7" s="80">
        <v>3</v>
      </c>
      <c r="R7" s="80">
        <v>2</v>
      </c>
      <c r="S7" s="80" t="s">
        <v>61</v>
      </c>
      <c r="T7" s="5" t="s">
        <v>861</v>
      </c>
      <c r="U7" s="9"/>
      <c r="W7" s="87">
        <f t="shared" si="1"/>
        <v>109.9</v>
      </c>
      <c r="X7" s="88">
        <f t="shared" si="1"/>
        <v>33</v>
      </c>
      <c r="Y7" s="93">
        <f t="shared" si="2"/>
        <v>207</v>
      </c>
      <c r="Z7" s="91">
        <f t="shared" si="2"/>
        <v>45000</v>
      </c>
      <c r="AA7" s="91">
        <f>K7</f>
        <v>0</v>
      </c>
      <c r="AB7" s="91">
        <f t="shared" si="3"/>
        <v>45000</v>
      </c>
      <c r="AC7" s="4">
        <f t="shared" si="3"/>
        <v>0</v>
      </c>
      <c r="AD7" s="92">
        <f t="shared" si="3"/>
        <v>1363.6363636363637</v>
      </c>
      <c r="AE7" s="80" t="str">
        <f>S7</f>
        <v>계</v>
      </c>
      <c r="AF7" s="80" t="str">
        <f>Q7&amp;"/"&amp;R7</f>
        <v>3/2</v>
      </c>
      <c r="AH7" s="20" t="str">
        <f>IF(A7="","",A7)</f>
        <v>대원칸타빌2차</v>
      </c>
      <c r="AI7" s="88">
        <f t="shared" si="0"/>
        <v>33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879</v>
      </c>
      <c r="B8" s="10" t="s">
        <v>953</v>
      </c>
      <c r="C8" s="89">
        <v>780</v>
      </c>
      <c r="D8" s="87">
        <v>109.2</v>
      </c>
      <c r="E8" s="88">
        <v>33</v>
      </c>
      <c r="F8" s="87">
        <v>84.5</v>
      </c>
      <c r="G8" s="17">
        <v>26</v>
      </c>
      <c r="H8" s="89">
        <v>159</v>
      </c>
      <c r="I8" s="90">
        <v>46000</v>
      </c>
      <c r="J8" s="90" t="s">
        <v>89</v>
      </c>
      <c r="K8" s="90">
        <v>38000</v>
      </c>
      <c r="L8" s="90" t="s">
        <v>68</v>
      </c>
      <c r="M8" s="91">
        <f>I8-K8</f>
        <v>8000</v>
      </c>
      <c r="N8" s="4">
        <f>IF(ISERROR(K8/I8),"",K8/I8)</f>
        <v>0.82608695652173914</v>
      </c>
      <c r="O8" s="92">
        <f>I8/E8</f>
        <v>1393.939393939394</v>
      </c>
      <c r="P8" s="92">
        <f>K8/E8</f>
        <v>1151.5151515151515</v>
      </c>
      <c r="Q8" s="80">
        <v>3</v>
      </c>
      <c r="R8" s="80">
        <v>2</v>
      </c>
      <c r="S8" s="80" t="s">
        <v>61</v>
      </c>
      <c r="T8" s="5" t="s">
        <v>867</v>
      </c>
      <c r="U8" s="9"/>
      <c r="W8" s="87">
        <f t="shared" si="1"/>
        <v>109.2</v>
      </c>
      <c r="X8" s="88">
        <f t="shared" si="1"/>
        <v>33</v>
      </c>
      <c r="Y8" s="93">
        <f t="shared" si="2"/>
        <v>159</v>
      </c>
      <c r="Z8" s="91">
        <f t="shared" si="2"/>
        <v>46000</v>
      </c>
      <c r="AA8" s="91">
        <f>K8</f>
        <v>38000</v>
      </c>
      <c r="AB8" s="91">
        <f t="shared" si="3"/>
        <v>8000</v>
      </c>
      <c r="AC8" s="4">
        <f t="shared" si="3"/>
        <v>0.82608695652173914</v>
      </c>
      <c r="AD8" s="92">
        <f t="shared" si="3"/>
        <v>1393.939393939394</v>
      </c>
      <c r="AE8" s="80" t="str">
        <f>S8</f>
        <v>계</v>
      </c>
      <c r="AF8" s="80" t="str">
        <f>Q8&amp;"/"&amp;R8</f>
        <v>3/2</v>
      </c>
      <c r="AH8" s="20" t="str">
        <f>IF(A8="","",A8)</f>
        <v>대원칸타빌2차</v>
      </c>
      <c r="AI8" s="88">
        <f t="shared" si="0"/>
        <v>33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X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79" priority="58">
      <formula>AV4="X"</formula>
    </cfRule>
    <cfRule type="expression" dxfId="78" priority="59">
      <formula>AV4="후보"</formula>
    </cfRule>
  </conditionalFormatting>
  <conditionalFormatting sqref="AC1:AC2 AC4:AC6 N4:N5">
    <cfRule type="cellIs" dxfId="77" priority="55" operator="greaterThan">
      <formula>0.9</formula>
    </cfRule>
    <cfRule type="cellIs" dxfId="76" priority="56" operator="greaterThan">
      <formula>0.85</formula>
    </cfRule>
  </conditionalFormatting>
  <conditionalFormatting sqref="N1:N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6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6">
    <cfRule type="expression" dxfId="71" priority="47">
      <formula>AND(IF(OR($Q6=1,$Q6=2),1,0),IF($X6&lt;=20,1,0))</formula>
    </cfRule>
    <cfRule type="expression" dxfId="70" priority="48">
      <formula>AND(IF($Q6=2,1,0),IF($X6&lt;30,1,0))</formula>
    </cfRule>
    <cfRule type="expression" dxfId="69" priority="49">
      <formula>AND(IF($Q6=3,1,0),IF($X6&lt;30,1,0))</formula>
    </cfRule>
    <cfRule type="expression" dxfId="68" priority="50">
      <formula>AND(IF($Q6=3,1,IF($Q6=4,1,0)),IF($F6&lt;=85,1,0))</formula>
    </cfRule>
  </conditionalFormatting>
  <conditionalFormatting sqref="X6">
    <cfRule type="expression" dxfId="67" priority="43">
      <formula>AND(IF(OR($Q6=1,$Q6=2),1,0),IF($X6&lt;=20,1,0))</formula>
    </cfRule>
    <cfRule type="expression" dxfId="66" priority="44">
      <formula>AND(IF($Q6=2,1,0),IF($X6&lt;30,1,0))</formula>
    </cfRule>
    <cfRule type="expression" dxfId="65" priority="45">
      <formula>AND(IF($Q6=3,1,0),IF($X6&lt;30,1,0))</formula>
    </cfRule>
    <cfRule type="expression" dxfId="64" priority="46">
      <formula>AND(IF($Q6=3,1,IF($Q6=4,1,0)),IF($F6&lt;=85,1,0))</formula>
    </cfRule>
  </conditionalFormatting>
  <conditionalFormatting sqref="AI6">
    <cfRule type="expression" dxfId="63" priority="39">
      <formula>AND(IF(OR($Q6=1,$Q6=2),1,0),IF($X6&lt;=20,1,0))</formula>
    </cfRule>
    <cfRule type="expression" dxfId="62" priority="40">
      <formula>AND(IF($Q6=2,1,0),IF($X6&lt;30,1,0))</formula>
    </cfRule>
    <cfRule type="expression" dxfId="61" priority="41">
      <formula>AND(IF($Q6=3,1,0),IF($X6&lt;30,1,0))</formula>
    </cfRule>
    <cfRule type="expression" dxfId="60" priority="42">
      <formula>AND(IF($Q6=3,1,IF($Q6=4,1,0)),IF($F6&lt;=85,1,0))</formula>
    </cfRule>
  </conditionalFormatting>
  <conditionalFormatting sqref="AV7">
    <cfRule type="expression" dxfId="59" priority="37">
      <formula>AV7="X"</formula>
    </cfRule>
    <cfRule type="expression" dxfId="58" priority="38">
      <formula>AV7="후보"</formula>
    </cfRule>
  </conditionalFormatting>
  <conditionalFormatting sqref="AC7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7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7">
    <cfRule type="expression" dxfId="53" priority="28">
      <formula>AND(IF(OR($Q7=1,$Q7=2),1,0),IF($X7&lt;=20,1,0))</formula>
    </cfRule>
    <cfRule type="expression" dxfId="52" priority="29">
      <formula>AND(IF($Q7=2,1,0),IF($X7&lt;30,1,0))</formula>
    </cfRule>
    <cfRule type="expression" dxfId="51" priority="30">
      <formula>AND(IF($Q7=3,1,0),IF($X7&lt;30,1,0))</formula>
    </cfRule>
    <cfRule type="expression" dxfId="50" priority="31">
      <formula>AND(IF($Q7=3,1,IF($Q7=4,1,0)),IF($F7&lt;=85,1,0))</formula>
    </cfRule>
  </conditionalFormatting>
  <conditionalFormatting sqref="X7">
    <cfRule type="expression" dxfId="49" priority="24">
      <formula>AND(IF(OR($Q7=1,$Q7=2),1,0),IF($X7&lt;=20,1,0))</formula>
    </cfRule>
    <cfRule type="expression" dxfId="48" priority="25">
      <formula>AND(IF($Q7=2,1,0),IF($X7&lt;30,1,0))</formula>
    </cfRule>
    <cfRule type="expression" dxfId="47" priority="26">
      <formula>AND(IF($Q7=3,1,0),IF($X7&lt;30,1,0))</formula>
    </cfRule>
    <cfRule type="expression" dxfId="46" priority="27">
      <formula>AND(IF($Q7=3,1,IF($Q7=4,1,0)),IF($F7&lt;=85,1,0))</formula>
    </cfRule>
  </conditionalFormatting>
  <conditionalFormatting sqref="AI7">
    <cfRule type="expression" dxfId="45" priority="20">
      <formula>AND(IF(OR($Q7=1,$Q7=2),1,0),IF($X7&lt;=20,1,0))</formula>
    </cfRule>
    <cfRule type="expression" dxfId="44" priority="21">
      <formula>AND(IF($Q7=2,1,0),IF($X7&lt;30,1,0))</formula>
    </cfRule>
    <cfRule type="expression" dxfId="43" priority="22">
      <formula>AND(IF($Q7=3,1,0),IF($X7&lt;30,1,0))</formula>
    </cfRule>
    <cfRule type="expression" dxfId="42" priority="23">
      <formula>AND(IF($Q7=3,1,IF($Q7=4,1,0)),IF($F7&lt;=85,1,0))</formula>
    </cfRule>
  </conditionalFormatting>
  <conditionalFormatting sqref="AV8">
    <cfRule type="expression" dxfId="41" priority="18">
      <formula>AV8="X"</formula>
    </cfRule>
    <cfRule type="expression" dxfId="40" priority="19">
      <formula>AV8="후보"</formula>
    </cfRule>
  </conditionalFormatting>
  <conditionalFormatting sqref="AC8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">
    <cfRule type="expression" dxfId="35" priority="9">
      <formula>AND(IF(OR($Q8=1,$Q8=2),1,0),IF($X8&lt;=20,1,0))</formula>
    </cfRule>
    <cfRule type="expression" dxfId="34" priority="10">
      <formula>AND(IF($Q8=2,1,0),IF($X8&lt;30,1,0))</formula>
    </cfRule>
    <cfRule type="expression" dxfId="33" priority="11">
      <formula>AND(IF($Q8=3,1,0),IF($X8&lt;30,1,0))</formula>
    </cfRule>
    <cfRule type="expression" dxfId="32" priority="12">
      <formula>AND(IF($Q8=3,1,IF($Q8=4,1,0)),IF($F8&lt;=85,1,0))</formula>
    </cfRule>
  </conditionalFormatting>
  <conditionalFormatting sqref="X8">
    <cfRule type="expression" dxfId="31" priority="5">
      <formula>AND(IF(OR($Q8=1,$Q8=2),1,0),IF($X8&lt;=20,1,0))</formula>
    </cfRule>
    <cfRule type="expression" dxfId="30" priority="6">
      <formula>AND(IF($Q8=2,1,0),IF($X8&lt;30,1,0))</formula>
    </cfRule>
    <cfRule type="expression" dxfId="29" priority="7">
      <formula>AND(IF($Q8=3,1,0),IF($X8&lt;30,1,0))</formula>
    </cfRule>
    <cfRule type="expression" dxfId="28" priority="8">
      <formula>AND(IF($Q8=3,1,IF($Q8=4,1,0)),IF($F8&lt;=85,1,0))</formula>
    </cfRule>
  </conditionalFormatting>
  <conditionalFormatting sqref="AI8">
    <cfRule type="expression" dxfId="27" priority="1">
      <formula>AND(IF(OR($Q8=1,$Q8=2),1,0),IF($X8&lt;=20,1,0))</formula>
    </cfRule>
    <cfRule type="expression" dxfId="26" priority="2">
      <formula>AND(IF($Q8=2,1,0),IF($X8&lt;30,1,0))</formula>
    </cfRule>
    <cfRule type="expression" dxfId="25" priority="3">
      <formula>AND(IF($Q8=3,1,0),IF($X8&lt;30,1,0))</formula>
    </cfRule>
    <cfRule type="expression" dxfId="24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954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동명 단지명('19.04,905^)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20</v>
      </c>
      <c r="B6" s="10" t="s">
        <v>955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단지명</v>
      </c>
      <c r="AI6" s="88">
        <f>IF(E6="","",E6)</f>
        <v>24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22</vt:i4>
      </vt:variant>
    </vt:vector>
  </HeadingPairs>
  <TitlesOfParts>
    <vt:vector size="36" baseType="lpstr">
      <vt:lpstr>단지추출</vt:lpstr>
      <vt:lpstr>단지추출_가격표용</vt:lpstr>
      <vt:lpstr>동별가격표</vt:lpstr>
      <vt:lpstr>정보입력(KB)</vt:lpstr>
      <vt:lpstr>정보입력</vt:lpstr>
      <vt:lpstr>내덕동</vt:lpstr>
      <vt:lpstr>내수읍</vt:lpstr>
      <vt:lpstr>사천동</vt:lpstr>
      <vt:lpstr>오창읍</vt:lpstr>
      <vt:lpstr>우암동</vt:lpstr>
      <vt:lpstr>율량동</vt:lpstr>
      <vt:lpstr>주성동</vt:lpstr>
      <vt:lpstr>주중동</vt:lpstr>
      <vt:lpstr>양식</vt:lpstr>
      <vt:lpstr>내덕동!Print_Area</vt:lpstr>
      <vt:lpstr>내수읍!Print_Area</vt:lpstr>
      <vt:lpstr>단지추출!Print_Area</vt:lpstr>
      <vt:lpstr>단지추출_가격표용!Print_Area</vt:lpstr>
      <vt:lpstr>사천동!Print_Area</vt:lpstr>
      <vt:lpstr>양식!Print_Area</vt:lpstr>
      <vt:lpstr>오창읍!Print_Area</vt:lpstr>
      <vt:lpstr>우암동!Print_Area</vt:lpstr>
      <vt:lpstr>율량동!Print_Area</vt:lpstr>
      <vt:lpstr>주성동!Print_Area</vt:lpstr>
      <vt:lpstr>주중동!Print_Area</vt:lpstr>
      <vt:lpstr>내덕동!Print_Titles</vt:lpstr>
      <vt:lpstr>내수읍!Print_Titles</vt:lpstr>
      <vt:lpstr>단지추출!Print_Titles</vt:lpstr>
      <vt:lpstr>단지추출_가격표용!Print_Titles</vt:lpstr>
      <vt:lpstr>사천동!Print_Titles</vt:lpstr>
      <vt:lpstr>양식!Print_Titles</vt:lpstr>
      <vt:lpstr>오창읍!Print_Titles</vt:lpstr>
      <vt:lpstr>우암동!Print_Titles</vt:lpstr>
      <vt:lpstr>율량동!Print_Titles</vt:lpstr>
      <vt:lpstr>주성동!Print_Titles</vt:lpstr>
      <vt:lpstr>주중동!Print_Titles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2022-04-04T09:49:30Z</dcterms:modified>
</cp:coreProperties>
</file>